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_CAC_ByWeek" sheetId="2" r:id="rId6"/>
    <sheet state="visible" name="Results_Dashboard" sheetId="3" r:id="rId7"/>
    <sheet state="visible" name="CAC_Chartz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<sst xmlns="http://schemas.openxmlformats.org/spreadsheetml/2006/main" count="8352" uniqueCount="264">
  <si>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</si>
  <si>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</si>
  <si>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</si>
  <si>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</si>
  <si>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</si>
  <si>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</si>
  <si>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</si>
  <si>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</si>
  <si>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</si>
  <si>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</si>
  <si>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</si>
  <si>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</si>
  <si>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</si>
  <si>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</si>
  <si>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CAC</t>
  </si>
  <si>
    <t>Period</t>
  </si>
  <si>
    <t>Week</t>
  </si>
  <si>
    <t>1/21/2024</t>
  </si>
  <si>
    <t>Google Ads</t>
  </si>
  <si>
    <t>Search</t>
  </si>
  <si>
    <t>Fintech</t>
  </si>
  <si>
    <t>UAE</t>
  </si>
  <si>
    <t>1/22/2024</t>
  </si>
  <si>
    <t>TikTok Ads</t>
  </si>
  <si>
    <t>EdTech</t>
  </si>
  <si>
    <t>UK</t>
  </si>
  <si>
    <t>6/15/2024</t>
  </si>
  <si>
    <t>Video</t>
  </si>
  <si>
    <t>Baseline Avg CAC</t>
  </si>
  <si>
    <t>Healthcare</t>
  </si>
  <si>
    <t>USA</t>
  </si>
  <si>
    <t>Shopping</t>
  </si>
  <si>
    <t>SaaS</t>
  </si>
  <si>
    <t>Germany</t>
  </si>
  <si>
    <t>2/22/2024</t>
  </si>
  <si>
    <t>10/15/2024</t>
  </si>
  <si>
    <t>Canada</t>
  </si>
  <si>
    <t>8/14/2024</t>
  </si>
  <si>
    <t>Meta Ads</t>
  </si>
  <si>
    <t>Post Shift Avg CAC</t>
  </si>
  <si>
    <t>4/17/2024</t>
  </si>
  <si>
    <t>Display</t>
  </si>
  <si>
    <t>Reduction</t>
  </si>
  <si>
    <t>11/13/2024</t>
  </si>
  <si>
    <t>4/22/2024</t>
  </si>
  <si>
    <t>E-commerce</t>
  </si>
  <si>
    <t>% Change</t>
  </si>
  <si>
    <t>5/26/2024</t>
  </si>
  <si>
    <t>P- Value</t>
  </si>
  <si>
    <t>2/29/2024</t>
  </si>
  <si>
    <t>Result</t>
  </si>
  <si>
    <t>Not Significant</t>
  </si>
  <si>
    <t>8/13/2024</t>
  </si>
  <si>
    <t>8/20/2024</t>
  </si>
  <si>
    <t>12/25/2024</t>
  </si>
  <si>
    <t>12/30/2024</t>
  </si>
  <si>
    <t>India</t>
  </si>
  <si>
    <t>12/14/2024</t>
  </si>
  <si>
    <t>Australia</t>
  </si>
  <si>
    <t>8/29/2024</t>
  </si>
  <si>
    <t>12/26/2024</t>
  </si>
  <si>
    <t>5/23/2024</t>
  </si>
  <si>
    <t>11/26/2024</t>
  </si>
  <si>
    <t>11/16/2024</t>
  </si>
  <si>
    <t>2/27/2024</t>
  </si>
  <si>
    <t>5/24/2024</t>
  </si>
  <si>
    <t>10/14/2024</t>
  </si>
  <si>
    <t>3/21/2024</t>
  </si>
  <si>
    <t>9/30/2024</t>
  </si>
  <si>
    <t>8/16/2024</t>
  </si>
  <si>
    <t>4/27/2024</t>
  </si>
  <si>
    <t>5/17/2024</t>
  </si>
  <si>
    <t>11/29/2024</t>
  </si>
  <si>
    <t>12/28/2024</t>
  </si>
  <si>
    <t>2/20/2024</t>
  </si>
  <si>
    <t>5/16/2024</t>
  </si>
  <si>
    <t>6/30/2024</t>
  </si>
  <si>
    <t>6/23/2024</t>
  </si>
  <si>
    <t>6/13/2024</t>
  </si>
  <si>
    <t>4/29/2024</t>
  </si>
  <si>
    <t>5/13/2024</t>
  </si>
  <si>
    <t>5/28/2024</t>
  </si>
  <si>
    <t>3/26/2024</t>
  </si>
  <si>
    <t>9/28/2024</t>
  </si>
  <si>
    <t>AVERAGE of CAC</t>
  </si>
  <si>
    <t>Baseline</t>
  </si>
  <si>
    <t>Post-Shift</t>
  </si>
  <si>
    <t>3/13/2024</t>
  </si>
  <si>
    <t>Grand Total</t>
  </si>
  <si>
    <t>2/28/2024</t>
  </si>
  <si>
    <t>9/23/2024</t>
  </si>
  <si>
    <t>6/24/2024</t>
  </si>
  <si>
    <t>8/24/2024</t>
  </si>
  <si>
    <t>2/14/2024</t>
  </si>
  <si>
    <t>7/14/2024</t>
  </si>
  <si>
    <t>9/27/2024</t>
  </si>
  <si>
    <t>9/18/2024</t>
  </si>
  <si>
    <t>8/23/2024</t>
  </si>
  <si>
    <t>4/15/2024</t>
  </si>
  <si>
    <t>2/24/2024</t>
  </si>
  <si>
    <t>8/18/2024</t>
  </si>
  <si>
    <t>9/22/2024</t>
  </si>
  <si>
    <t>7/25/2024</t>
  </si>
  <si>
    <t>10/26/2024</t>
  </si>
  <si>
    <t>11/19/2024</t>
  </si>
  <si>
    <t>12/15/2024</t>
  </si>
  <si>
    <t>5/20/2024</t>
  </si>
  <si>
    <t>1/19/2024</t>
  </si>
  <si>
    <t>12/13/2024</t>
  </si>
  <si>
    <t>5/21/2024</t>
  </si>
  <si>
    <t>1/25/2024</t>
  </si>
  <si>
    <t>2/17/2024</t>
  </si>
  <si>
    <t>3/27/2024</t>
  </si>
  <si>
    <t>1/28/2024</t>
  </si>
  <si>
    <t>2/18/2024</t>
  </si>
  <si>
    <t>1/20/2024</t>
  </si>
  <si>
    <t>5/25/2024</t>
  </si>
  <si>
    <t>12/24/2024</t>
  </si>
  <si>
    <t>10/28/2024</t>
  </si>
  <si>
    <t>10/23/2024</t>
  </si>
  <si>
    <t>5/22/2024</t>
  </si>
  <si>
    <t>11/25/2024</t>
  </si>
  <si>
    <t>1/26/2024</t>
  </si>
  <si>
    <t>9/15/2024</t>
  </si>
  <si>
    <t>10/29/2024</t>
  </si>
  <si>
    <t>3/31/2024</t>
  </si>
  <si>
    <t>4/19/2024</t>
  </si>
  <si>
    <t>8/27/2024</t>
  </si>
  <si>
    <t>3/22/2024</t>
  </si>
  <si>
    <t>7/19/2024</t>
  </si>
  <si>
    <t>12/22/2024</t>
  </si>
  <si>
    <t>12/19/2024</t>
  </si>
  <si>
    <t>4/13/2024</t>
  </si>
  <si>
    <t>11/22/2024</t>
  </si>
  <si>
    <t>9/16/2024</t>
  </si>
  <si>
    <t>9/25/2024</t>
  </si>
  <si>
    <t>8/28/2024</t>
  </si>
  <si>
    <t>1/23/2024</t>
  </si>
  <si>
    <t>12/20/2024</t>
  </si>
  <si>
    <t>4/18/2024</t>
  </si>
  <si>
    <t>10/27/2024</t>
  </si>
  <si>
    <t>10/25/2024</t>
  </si>
  <si>
    <t>3/14/2024</t>
  </si>
  <si>
    <t>1/17/2024</t>
  </si>
  <si>
    <t>6/17/2024</t>
  </si>
  <si>
    <t>8/26/2024</t>
  </si>
  <si>
    <t>7/24/2024</t>
  </si>
  <si>
    <t>5/27/2024</t>
  </si>
  <si>
    <t>12/23/2024</t>
  </si>
  <si>
    <t>9/14/2024</t>
  </si>
  <si>
    <t>10/17/2024</t>
  </si>
  <si>
    <t>6/25/2024</t>
  </si>
  <si>
    <t>7/27/2024</t>
  </si>
  <si>
    <t>11/15/2024</t>
  </si>
  <si>
    <t>6/21/2024</t>
  </si>
  <si>
    <t>12/16/2024</t>
  </si>
  <si>
    <t>12/21/2024</t>
  </si>
  <si>
    <t>1/13/2024</t>
  </si>
  <si>
    <t>2/19/2024</t>
  </si>
  <si>
    <t>9/21/2024</t>
  </si>
  <si>
    <t>7/26/2024</t>
  </si>
  <si>
    <t>3/17/2024</t>
  </si>
  <si>
    <t>8/19/2024</t>
  </si>
  <si>
    <t>7/18/2024</t>
  </si>
  <si>
    <t>8/31/2024</t>
  </si>
  <si>
    <t>7/28/2024</t>
  </si>
  <si>
    <t>10/20/2024</t>
  </si>
  <si>
    <t>11/30/2024</t>
  </si>
  <si>
    <t>8/17/2024</t>
  </si>
  <si>
    <t>6/28/2024</t>
  </si>
  <si>
    <t>5/14/2024</t>
  </si>
  <si>
    <t>4/16/2024</t>
  </si>
  <si>
    <t>3/29/2024</t>
  </si>
  <si>
    <t>2/15/2024</t>
  </si>
  <si>
    <t>5/19/2024</t>
  </si>
  <si>
    <t>11/27/2024</t>
  </si>
  <si>
    <t>4/28/2024</t>
  </si>
  <si>
    <t>1/29/2024</t>
  </si>
  <si>
    <t>2/25/2024</t>
  </si>
  <si>
    <t>1/14/2024</t>
  </si>
  <si>
    <t>3/28/2024</t>
  </si>
  <si>
    <t>5/31/2024</t>
  </si>
  <si>
    <t>1/16/2024</t>
  </si>
  <si>
    <t>10/13/2024</t>
  </si>
  <si>
    <t>4/14/2024</t>
  </si>
  <si>
    <t>1/18/2024</t>
  </si>
  <si>
    <t>6/27/2024</t>
  </si>
  <si>
    <t>7/16/2024</t>
  </si>
  <si>
    <t>9/29/2024</t>
  </si>
  <si>
    <t>9/24/2024</t>
  </si>
  <si>
    <t>3/24/2024</t>
  </si>
  <si>
    <t>3/30/2024</t>
  </si>
  <si>
    <t>1/27/2024</t>
  </si>
  <si>
    <t>6/20/2024</t>
  </si>
  <si>
    <t>6/19/2024</t>
  </si>
  <si>
    <t>2/26/2024</t>
  </si>
  <si>
    <t>3/16/2024</t>
  </si>
  <si>
    <t>7/17/2024</t>
  </si>
  <si>
    <t>10/31/2024</t>
  </si>
  <si>
    <t>4/26/2024</t>
  </si>
  <si>
    <t>8/30/2024</t>
  </si>
  <si>
    <t>3/23/2024</t>
  </si>
  <si>
    <t>6/26/2024</t>
  </si>
  <si>
    <t>1/15/2024</t>
  </si>
  <si>
    <t>11/21/2024</t>
  </si>
  <si>
    <t>4/21/2024</t>
  </si>
  <si>
    <t>9/20/2024</t>
  </si>
  <si>
    <t>8/22/2024</t>
  </si>
  <si>
    <t>11/28/2024</t>
  </si>
  <si>
    <t>7/21/2024</t>
  </si>
  <si>
    <t>10/18/2024</t>
  </si>
  <si>
    <t>7/22/2024</t>
  </si>
  <si>
    <t>11/14/2024</t>
  </si>
  <si>
    <t>5/18/2024</t>
  </si>
  <si>
    <t>11/23/2024</t>
  </si>
  <si>
    <t>3/18/2024</t>
  </si>
  <si>
    <t>2/13/2024</t>
  </si>
  <si>
    <t>9/26/2024</t>
  </si>
  <si>
    <t>9/13/2024</t>
  </si>
  <si>
    <t>8/21/2024</t>
  </si>
  <si>
    <t>2/23/2024</t>
  </si>
  <si>
    <t>4/25/2024</t>
  </si>
  <si>
    <t>5/30/2024</t>
  </si>
  <si>
    <t>4/24/2024</t>
  </si>
  <si>
    <t>3/25/2024</t>
  </si>
  <si>
    <t>5/15/2024</t>
  </si>
  <si>
    <t>8/15/2024</t>
  </si>
  <si>
    <t>3/19/2024</t>
  </si>
  <si>
    <t>11/24/2024</t>
  </si>
  <si>
    <t>10/19/2024</t>
  </si>
  <si>
    <t>6/18/2024</t>
  </si>
  <si>
    <t>7/31/2024</t>
  </si>
  <si>
    <t>11/20/2024</t>
  </si>
  <si>
    <t>9/17/2024</t>
  </si>
  <si>
    <t>1/24/2024</t>
  </si>
  <si>
    <t>4/30/2024</t>
  </si>
  <si>
    <t>1/30/2024</t>
  </si>
  <si>
    <t>6/14/2024</t>
  </si>
  <si>
    <t>3/15/2024</t>
  </si>
  <si>
    <t>10/22/2024</t>
  </si>
  <si>
    <t>1/31/2024</t>
  </si>
  <si>
    <t>2/16/2024</t>
  </si>
  <si>
    <t>6/16/2024</t>
  </si>
  <si>
    <t>12/29/2024</t>
  </si>
  <si>
    <t>12/17/2024</t>
  </si>
  <si>
    <t>4/20/2024</t>
  </si>
  <si>
    <t>7/29/2024</t>
  </si>
  <si>
    <t>10/30/2024</t>
  </si>
  <si>
    <t>12/18/2024</t>
  </si>
  <si>
    <t>2/21/2024</t>
  </si>
  <si>
    <t>7/13/2024</t>
  </si>
  <si>
    <t>6/29/2024</t>
  </si>
  <si>
    <t>11/17/2024</t>
  </si>
  <si>
    <t>10/16/2024</t>
  </si>
  <si>
    <t>7/20/2024</t>
  </si>
  <si>
    <t>9/19/2024</t>
  </si>
  <si>
    <t>10/24/2024</t>
  </si>
  <si>
    <t>5/29/2024</t>
  </si>
  <si>
    <t>3/20/2024</t>
  </si>
  <si>
    <t>6/22/2024</t>
  </si>
  <si>
    <t>7/23/2024</t>
  </si>
  <si>
    <t>7/30/2024</t>
  </si>
  <si>
    <t>10/21/2024</t>
  </si>
  <si>
    <t>12/27/2024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</si>
</sst>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666666"/>
                </a:solidFill>
                <a:latin typeface="+mn-lt"/>
              </a:defRPr>
            </a:pPr>
            <a:r>
              <a:rPr b="1" i="0">
                <a:solidFill>
                  <a:srgbClr val="666666"/>
                </a:solidFill>
                <a:latin typeface="+mn-lt"/>
              </a:rPr>
              <a:t>Figure 4.1: Weekly Average CAC Trend - Baseline vs Post-Shift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Pivot_CAC_ByWeek!$B$1:$B$2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Pivot_CAC_ByWeek!$A$3:$A$56</c:f>
            </c:strRef>
          </c:cat>
          <c:val>
            <c:numRef>
              <c:f>Pivot_CAC_ByWeek!$B$3:$B$56</c:f>
              <c:numCache/>
            </c:numRef>
          </c:val>
          <c:smooth val="0"/>
        </c:ser>
        <c:ser>
          <c:idx val="1"/>
          <c:order val="1"/>
          <c:tx>
            <c:strRef>
              <c:f>Pivot_CAC_ByWeek!$C$1:$C$2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Pivot_CAC_ByWeek!$A$3:$A$56</c:f>
            </c:strRef>
          </c:cat>
          <c:val>
            <c:numRef>
              <c:f>Pivot_CAC_ByWeek!$C$3:$C$56</c:f>
              <c:numCache/>
            </c:numRef>
          </c:val>
          <c:smooth val="0"/>
        </c:ser>
        <c:axId val="1764055742"/>
        <c:axId val="1167945110"/>
      </c:lineChart>
      <c:catAx>
        <c:axId val="1764055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945110"/>
      </c:catAx>
      <c:valAx>
        <c:axId val="1167945110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Average CAC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055742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104775</xdr:rowOff>
    </xdr:from>
    <xdr:ext cx="12106275" cy="4343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801" sheet="Raw_data"/>
  </cacheSource>
  <cacheFields>
    <cacheField name="date">
      <sharedItems containsDate="1" containsMixedTypes="1">
        <s v="1/21/2024"/>
        <s v="1/22/2024"/>
        <s v="6/15/2024"/>
        <d v="2024-02-01T00:00:00Z"/>
        <s v="2/22/2024"/>
        <s v="10/15/2024"/>
        <s v="8/14/2024"/>
        <d v="2024-05-04T00:00:00Z"/>
        <s v="4/17/2024"/>
        <s v="11/13/2024"/>
        <s v="4/22/2024"/>
        <d v="2024-11-09T00:00:00Z"/>
        <s v="5/26/2024"/>
        <s v="2/29/2024"/>
        <s v="8/13/2024"/>
        <s v="8/20/2024"/>
        <s v="12/25/2024"/>
        <d v="2024-01-11T00:00:00Z"/>
        <d v="2024-04-07T00:00:00Z"/>
        <s v="12/30/2024"/>
        <s v="12/14/2024"/>
        <d v="2024-09-04T00:00:00Z"/>
        <d v="2024-08-06T00:00:00Z"/>
        <s v="8/29/2024"/>
        <d v="2024-05-09T00:00:00Z"/>
        <s v="12/26/2024"/>
        <s v="5/23/2024"/>
        <s v="11/26/2024"/>
        <s v="11/16/2024"/>
        <s v="2/27/2024"/>
        <d v="2024-12-11T00:00:00Z"/>
        <d v="2024-12-01T00:00:00Z"/>
        <s v="5/24/2024"/>
        <d v="2024-05-01T00:00:00Z"/>
        <d v="2024-06-01T00:00:00Z"/>
        <s v="10/14/2024"/>
        <d v="2024-06-03T00:00:00Z"/>
        <s v="3/21/2024"/>
        <d v="2024-08-01T00:00:00Z"/>
        <s v="9/30/2024"/>
        <d v="2024-07-03T00:00:00Z"/>
        <s v="8/16/2024"/>
        <d v="2024-10-08T00:00:00Z"/>
        <s v="4/27/2024"/>
        <s v="5/17/2024"/>
        <s v="11/29/2024"/>
        <d v="2024-04-12T00:00:00Z"/>
        <d v="2024-12-08T00:00:00Z"/>
        <d v="2024-05-06T00:00:00Z"/>
        <s v="12/28/2024"/>
        <s v="2/20/2024"/>
        <s v="5/16/2024"/>
        <s v="6/30/2024"/>
        <d v="2024-07-07T00:00:00Z"/>
        <s v="6/23/2024"/>
        <s v="6/13/2024"/>
        <d v="2024-11-01T00:00:00Z"/>
        <s v="4/29/2024"/>
        <d v="2024-07-04T00:00:00Z"/>
        <s v="5/13/2024"/>
        <d v="2024-08-10T00:00:00Z"/>
        <s v="5/28/2024"/>
        <s v="3/26/2024"/>
        <d v="2024-07-06T00:00:00Z"/>
        <s v="9/28/2024"/>
        <s v="3/13/2024"/>
        <s v="2/28/2024"/>
        <d v="2024-08-04T00:00:00Z"/>
        <s v="9/23/2024"/>
        <s v="6/24/2024"/>
        <s v="8/24/2024"/>
        <s v="2/14/2024"/>
        <s v="7/14/2024"/>
        <s v="9/27/2024"/>
        <s v="9/18/2024"/>
        <s v="8/23/2024"/>
        <d v="2024-04-04T00:00:00Z"/>
        <d v="2024-09-06T00:00:00Z"/>
        <s v="4/15/2024"/>
        <d v="2024-07-01T00:00:00Z"/>
        <s v="2/24/2024"/>
        <d v="2024-02-04T00:00:00Z"/>
        <d v="2024-06-09T00:00:00Z"/>
        <s v="8/18/2024"/>
        <s v="9/22/2024"/>
        <s v="7/25/2024"/>
        <d v="2024-01-12T00:00:00Z"/>
        <d v="2024-10-07T00:00:00Z"/>
        <d v="2024-11-04T00:00:00Z"/>
        <s v="10/26/2024"/>
        <s v="11/19/2024"/>
        <s v="12/15/2024"/>
        <s v="5/20/2024"/>
        <s v="1/19/2024"/>
        <s v="12/13/2024"/>
        <s v="5/21/2024"/>
        <d v="2024-07-12T00:00:00Z"/>
        <d v="2024-09-05T00:00:00Z"/>
        <s v="1/25/2024"/>
        <d v="2024-10-09T00:00:00Z"/>
        <d v="2024-04-06T00:00:00Z"/>
        <d v="2024-09-07T00:00:00Z"/>
        <d v="2024-09-11T00:00:00Z"/>
        <s v="2/17/2024"/>
        <s v="3/27/2024"/>
        <s v="1/28/2024"/>
        <s v="2/18/2024"/>
        <d v="2024-01-05T00:00:00Z"/>
        <d v="2024-10-01T00:00:00Z"/>
        <s v="1/20/2024"/>
        <d v="2024-07-02T00:00:00Z"/>
        <s v="5/25/2024"/>
        <s v="12/24/2024"/>
        <s v="10/28/2024"/>
        <s v="10/23/2024"/>
        <s v="5/22/2024"/>
        <s v="11/25/2024"/>
        <s v="1/26/2024"/>
        <s v="9/15/2024"/>
        <d v="2024-02-06T00:00:00Z"/>
        <d v="2024-12-10T00:00:00Z"/>
        <s v="10/29/2024"/>
        <s v="3/31/2024"/>
        <s v="4/19/2024"/>
        <d v="2024-01-03T00:00:00Z"/>
        <d v="2024-08-07T00:00:00Z"/>
        <s v="8/27/2024"/>
        <s v="3/22/2024"/>
        <s v="7/19/2024"/>
        <s v="12/22/2024"/>
        <s v="12/19/2024"/>
        <d v="2024-05-05T00:00:00Z"/>
        <d v="2024-06-12T00:00:00Z"/>
        <s v="4/13/2024"/>
        <s v="11/22/2024"/>
        <s v="9/16/2024"/>
        <s v="9/25/2024"/>
        <s v="8/28/2024"/>
        <d v="2024-10-06T00:00:00Z"/>
        <s v="1/23/2024"/>
        <s v="12/20/2024"/>
        <s v="4/18/2024"/>
        <d v="2024-08-11T00:00:00Z"/>
        <d v="2024-02-11T00:00:00Z"/>
        <d v="2024-04-01T00:00:00Z"/>
        <s v="10/27/2024"/>
        <s v="10/25/2024"/>
        <s v="3/14/2024"/>
        <s v="1/17/2024"/>
        <d v="2024-04-10T00:00:00Z"/>
        <d v="2024-11-05T00:00:00Z"/>
        <d v="2024-06-10T00:00:00Z"/>
        <s v="6/17/2024"/>
        <s v="8/26/2024"/>
        <d v="2024-07-09T00:00:00Z"/>
        <s v="7/24/2024"/>
        <d v="2024-04-09T00:00:00Z"/>
        <d v="2024-06-08T00:00:00Z"/>
        <s v="5/27/2024"/>
        <d v="2024-05-03T00:00:00Z"/>
        <d v="2024-12-06T00:00:00Z"/>
        <d v="2024-09-03T00:00:00Z"/>
        <s v="12/23/2024"/>
        <s v="9/14/2024"/>
        <d v="2024-05-11T00:00:00Z"/>
        <s v="10/17/2024"/>
        <s v="6/25/2024"/>
        <s v="7/27/2024"/>
        <s v="11/15/2024"/>
        <d v="2024-03-10T00:00:00Z"/>
        <s v="6/21/2024"/>
        <s v="12/16/2024"/>
        <s v="12/21/2024"/>
        <d v="2024-03-06T00:00:00Z"/>
        <d v="2024-01-08T00:00:00Z"/>
        <s v="1/13/2024"/>
        <s v="2/19/2024"/>
        <d v="2024-08-02T00:00:00Z"/>
        <s v="9/21/2024"/>
        <s v="7/26/2024"/>
        <s v="3/17/2024"/>
        <d v="2024-06-05T00:00:00Z"/>
        <s v="8/19/2024"/>
        <s v="7/18/2024"/>
        <s v="8/31/2024"/>
        <s v="7/28/2024"/>
        <s v="10/20/2024"/>
        <d v="2024-03-04T00:00:00Z"/>
        <s v="11/30/2024"/>
        <d v="2024-11-12T00:00:00Z"/>
        <s v="8/17/2024"/>
        <d v="2024-05-07T00:00:00Z"/>
        <s v="6/28/2024"/>
        <d v="2024-11-08T00:00:00Z"/>
        <d v="2024-10-03T00:00:00Z"/>
        <s v="5/14/2024"/>
        <s v="4/16/2024"/>
        <s v="3/29/2024"/>
        <d v="2024-12-07T00:00:00Z"/>
        <s v="2/15/2024"/>
        <d v="2024-02-10T00:00:00Z"/>
        <d v="2024-01-10T00:00:00Z"/>
        <s v="5/19/2024"/>
        <d v="2024-02-08T00:00:00Z"/>
        <s v="11/27/2024"/>
        <d v="2024-08-03T00:00:00Z"/>
        <s v="4/28/2024"/>
        <s v="1/29/2024"/>
        <d v="2024-06-07T00:00:00Z"/>
        <s v="2/25/2024"/>
        <s v="1/14/2024"/>
        <s v="3/28/2024"/>
        <d v="2024-02-09T00:00:00Z"/>
        <s v="5/31/2024"/>
        <s v="1/16/2024"/>
        <s v="10/13/2024"/>
        <d v="2024-03-11T00:00:00Z"/>
        <d v="2024-05-02T00:00:00Z"/>
        <d v="2024-01-09T00:00:00Z"/>
        <s v="4/14/2024"/>
        <d v="2024-03-08T00:00:00Z"/>
        <s v="1/18/2024"/>
        <s v="6/27/2024"/>
        <s v="7/16/2024"/>
        <d v="2024-06-04T00:00:00Z"/>
        <d v="2024-01-02T00:00:00Z"/>
        <s v="9/29/2024"/>
        <d v="2024-01-04T00:00:00Z"/>
        <s v="9/24/2024"/>
        <s v="3/24/2024"/>
        <s v="3/30/2024"/>
        <d v="2024-04-11T00:00:00Z"/>
        <s v="1/27/2024"/>
        <d v="2024-08-08T00:00:00Z"/>
        <s v="6/20/2024"/>
        <d v="2024-07-08T00:00:00Z"/>
        <d v="2024-12-05T00:00:00Z"/>
        <s v="6/19/2024"/>
        <s v="2/26/2024"/>
        <d v="2024-07-05T00:00:00Z"/>
        <d v="2024-03-01T00:00:00Z"/>
        <s v="3/16/2024"/>
        <s v="7/17/2024"/>
        <s v="10/31/2024"/>
        <s v="4/26/2024"/>
        <s v="8/30/2024"/>
        <d v="2024-04-08T00:00:00Z"/>
        <d v="2024-03-07T00:00:00Z"/>
        <s v="3/23/2024"/>
        <s v="6/26/2024"/>
        <d v="2024-09-08T00:00:00Z"/>
        <d v="2024-10-11T00:00:00Z"/>
        <s v="1/15/2024"/>
        <s v="11/21/2024"/>
        <s v="4/21/2024"/>
        <d v="2024-02-05T00:00:00Z"/>
        <s v="9/20/2024"/>
        <s v="8/22/2024"/>
        <s v="11/28/2024"/>
        <d v="2024-10-05T00:00:00Z"/>
        <s v="7/21/2024"/>
        <d v="2024-05-08T00:00:00Z"/>
        <d v="2024-08-12T00:00:00Z"/>
        <s v="10/18/2024"/>
        <d v="2024-02-03T00:00:00Z"/>
        <s v="7/22/2024"/>
        <s v="11/14/2024"/>
        <s v="5/18/2024"/>
        <s v="11/23/2024"/>
        <d v="2024-05-12T00:00:00Z"/>
        <d v="2024-09-10T00:00:00Z"/>
        <s v="3/18/2024"/>
        <s v="2/13/2024"/>
        <s v="9/26/2024"/>
        <s v="9/13/2024"/>
        <d v="2024-12-12T00:00:00Z"/>
        <s v="8/21/2024"/>
        <s v="2/23/2024"/>
        <s v="4/25/2024"/>
        <d v="2024-11-10T00:00:00Z"/>
        <d v="2024-10-02T00:00:00Z"/>
        <s v="5/30/2024"/>
        <s v="4/24/2024"/>
        <s v="3/25/2024"/>
        <s v="5/15/2024"/>
        <s v="8/15/2024"/>
        <d v="2024-09-02T00:00:00Z"/>
        <d v="2024-12-03T00:00:00Z"/>
        <d v="2024-03-09T00:00:00Z"/>
        <s v="3/19/2024"/>
        <d v="2024-06-11T00:00:00Z"/>
        <s v="11/24/2024"/>
        <s v="10/19/2024"/>
        <d v="2024-01-01T00:00:00Z"/>
        <d v="2024-12-09T00:00:00Z"/>
        <d v="2024-02-07T00:00:00Z"/>
        <d v="2024-03-03T00:00:00Z"/>
        <s v="6/18/2024"/>
        <s v="7/31/2024"/>
        <s v="11/20/2024"/>
        <s v="9/17/2024"/>
        <s v="1/24/2024"/>
        <s v="4/30/2024"/>
        <s v="1/30/2024"/>
        <d v="2024-03-02T00:00:00Z"/>
        <s v="6/14/2024"/>
        <d v="2024-11-02T00:00:00Z"/>
        <d v="2024-11-07T00:00:00Z"/>
        <s v="3/15/2024"/>
        <s v="10/22/2024"/>
        <d v="2024-04-02T00:00:00Z"/>
        <s v="1/31/2024"/>
        <d v="2024-09-01T00:00:00Z"/>
        <s v="2/16/2024"/>
        <d v="2024-06-02T00:00:00Z"/>
        <d v="2024-10-12T00:00:00Z"/>
        <s v="6/16/2024"/>
        <d v="2024-11-11T00:00:00Z"/>
        <d v="2024-04-03T00:00:00Z"/>
        <d v="2024-06-06T00:00:00Z"/>
        <s v="12/29/2024"/>
        <s v="12/17/2024"/>
        <s v="4/20/2024"/>
        <s v="7/29/2024"/>
        <d v="2024-03-12T00:00:00Z"/>
        <d v="2024-05-10T00:00:00Z"/>
        <s v="10/30/2024"/>
        <s v="12/18/2024"/>
        <s v="2/21/2024"/>
        <s v="7/13/2024"/>
        <d v="2024-08-05T00:00:00Z"/>
        <d v="2024-01-06T00:00:00Z"/>
        <s v="6/29/2024"/>
        <s v="11/17/2024"/>
        <d v="2024-11-03T00:00:00Z"/>
        <s v="10/16/2024"/>
        <d v="2024-12-02T00:00:00Z"/>
        <d v="2024-12-04T00:00:00Z"/>
        <d v="2024-11-06T00:00:00Z"/>
        <d v="2024-09-12T00:00:00Z"/>
        <s v="7/20/2024"/>
        <d v="2024-02-02T00:00:00Z"/>
        <d v="2024-08-09T00:00:00Z"/>
        <d v="2024-03-05T00:00:00Z"/>
        <s v="9/19/2024"/>
        <d v="2024-07-11T00:00:00Z"/>
        <d v="2024-10-04T00:00:00Z"/>
        <d v="2024-02-12T00:00:00Z"/>
        <s v="10/24/2024"/>
        <s v="5/29/2024"/>
        <d v="2024-09-09T00:00:00Z"/>
        <s v="3/20/2024"/>
        <s v="6/22/2024"/>
        <s v="7/23/2024"/>
        <s v="7/30/2024"/>
        <s v="10/21/2024"/>
        <d v="2024-04-05T00:00:00Z"/>
        <d v="2024-10-10T00:00:00Z"/>
        <d v="2024-07-10T00:00:00Z"/>
        <s v="12/27/2024"/>
      </sharedItems>
    </cacheField>
    <cacheField name="platform" numFmtId="0">
      <sharedItems>
        <s v="Google Ads"/>
        <s v="TikTok Ads"/>
        <s v="Meta Ads"/>
      </sharedItems>
    </cacheField>
    <cacheField name="campaign_type" numFmtId="0">
      <sharedItems>
        <s v="Search"/>
        <s v="Video"/>
        <s v="Shopping"/>
        <s v="Display"/>
      </sharedItems>
    </cacheField>
    <cacheField name="industry" numFmtId="0">
      <sharedItems>
        <s v="Fintech"/>
        <s v="EdTech"/>
        <s v="Healthcare"/>
        <s v="SaaS"/>
        <s v="E-commerce"/>
      </sharedItems>
    </cacheField>
    <cacheField name="country" numFmtId="0">
      <sharedItems>
        <s v="UAE"/>
        <s v="UK"/>
        <s v="USA"/>
        <s v="Germany"/>
        <s v="Canada"/>
        <s v="India"/>
        <s v="Australia"/>
      </sharedItems>
    </cacheField>
    <cacheField name="impressions" numFmtId="0">
      <sharedItems containsSemiMixedTypes="0" containsString="0" containsNumber="1" containsInteger="1">
        <n v="59886.0"/>
        <n v="135608.0"/>
        <n v="92313.0"/>
        <n v="83953.0"/>
        <n v="91807.0"/>
        <n v="17666.0"/>
        <n v="118252.0"/>
        <n v="92939.0"/>
        <n v="30939.0"/>
        <n v="8748.0"/>
        <n v="98264.0"/>
        <n v="173229.0"/>
        <n v="147483.0"/>
        <n v="116472.0"/>
        <n v="37711.0"/>
        <n v="96412.0"/>
        <n v="184476.0"/>
        <n v="38828.0"/>
        <n v="187957.0"/>
        <n v="34592.0"/>
        <n v="185798.0"/>
        <n v="194407.0"/>
        <n v="188062.0"/>
        <n v="195710.0"/>
        <n v="198824.0"/>
        <n v="196962.0"/>
        <n v="105386.0"/>
        <n v="49425.0"/>
        <n v="191141.0"/>
        <n v="91900.0"/>
        <n v="11801.0"/>
        <n v="193926.0"/>
        <n v="35355.0"/>
        <n v="133148.0"/>
        <n v="104657.0"/>
        <n v="174160.0"/>
        <n v="6015.0"/>
        <n v="17763.0"/>
        <n v="97193.0"/>
        <n v="58682.0"/>
        <n v="108196.0"/>
        <n v="63243.0"/>
        <n v="152979.0"/>
        <n v="132600.0"/>
        <n v="110977.0"/>
        <n v="87152.0"/>
        <n v="164096.0"/>
        <n v="21389.0"/>
        <n v="69323.0"/>
        <n v="138291.0"/>
        <n v="72444.0"/>
        <n v="160002.0"/>
        <n v="16246.0"/>
        <n v="15789.0"/>
        <n v="25103.0"/>
        <n v="138515.0"/>
        <n v="180399.0"/>
        <n v="62545.0"/>
        <n v="72526.0"/>
        <n v="67823.0"/>
        <n v="164937.0"/>
        <n v="114575.0"/>
        <n v="132157.0"/>
        <n v="108145.0"/>
        <n v="72642.0"/>
        <n v="131678.0"/>
        <n v="34402.0"/>
        <n v="58276.0"/>
        <n v="168059.0"/>
        <n v="91123.0"/>
        <n v="16344.0"/>
        <n v="99457.0"/>
        <n v="57375.0"/>
        <n v="115017.0"/>
        <n v="90431.0"/>
        <n v="140566.0"/>
        <n v="133583.0"/>
        <n v="198555.0"/>
        <n v="88560.0"/>
        <n v="117217.0"/>
        <n v="104616.0"/>
        <n v="79553.0"/>
        <n v="170904.0"/>
        <n v="88807.0"/>
        <n v="157499.0"/>
        <n v="46846.0"/>
        <n v="104986.0"/>
        <n v="172516.0"/>
        <n v="187099.0"/>
        <n v="111661.0"/>
        <n v="79441.0"/>
        <n v="14078.0"/>
        <n v="182235.0"/>
        <n v="128629.0"/>
        <n v="21309.0"/>
        <n v="167932.0"/>
        <n v="162795.0"/>
        <n v="50893.0"/>
        <n v="81619.0"/>
        <n v="154381.0"/>
        <n v="124273.0"/>
        <n v="6969.0"/>
        <n v="29089.0"/>
        <n v="10704.0"/>
        <n v="22772.0"/>
        <n v="68449.0"/>
        <n v="51819.0"/>
        <n v="173722.0"/>
        <n v="119014.0"/>
        <n v="159741.0"/>
        <n v="167982.0"/>
        <n v="96658.0"/>
        <n v="43467.0"/>
        <n v="41378.0"/>
        <n v="100673.0"/>
        <n v="191994.0"/>
        <n v="152235.0"/>
        <n v="66929.0"/>
        <n v="188202.0"/>
        <n v="184316.0"/>
        <n v="65545.0"/>
        <n v="33141.0"/>
        <n v="76229.0"/>
        <n v="141614.0"/>
        <n v="161193.0"/>
        <n v="142244.0"/>
        <n v="178063.0"/>
        <n v="193978.0"/>
        <n v="187051.0"/>
        <n v="152977.0"/>
        <n v="129447.0"/>
        <n v="28387.0"/>
        <n v="88986.0"/>
        <n v="170268.0"/>
        <n v="122322.0"/>
        <n v="69429.0"/>
        <n v="196675.0"/>
        <n v="104134.0"/>
        <n v="150544.0"/>
        <n v="75553.0"/>
        <n v="149565.0"/>
        <n v="12896.0"/>
        <n v="70428.0"/>
        <n v="12345.0"/>
        <n v="18140.0"/>
        <n v="42823.0"/>
        <n v="34118.0"/>
        <n v="127775.0"/>
        <n v="136354.0"/>
        <n v="115454.0"/>
        <n v="37994.0"/>
        <n v="74615.0"/>
        <n v="176790.0"/>
        <n v="60077.0"/>
        <n v="151295.0"/>
        <n v="20282.0"/>
        <n v="185488.0"/>
        <n v="28567.0"/>
        <n v="96170.0"/>
        <n v="101019.0"/>
        <n v="91795.0"/>
        <n v="22543.0"/>
        <n v="119598.0"/>
        <n v="158504.0"/>
        <n v="39542.0"/>
        <n v="110848.0"/>
        <n v="79964.0"/>
        <n v="105127.0"/>
        <n v="73803.0"/>
        <n v="96575.0"/>
        <n v="162489.0"/>
        <n v="76155.0"/>
        <n v="180021.0"/>
        <n v="79965.0"/>
        <n v="49789.0"/>
        <n v="195026.0"/>
        <n v="130438.0"/>
        <n v="141917.0"/>
        <n v="146958.0"/>
        <n v="13605.0"/>
        <n v="116041.0"/>
        <n v="170396.0"/>
        <n v="19743.0"/>
        <n v="94081.0"/>
        <n v="141643.0"/>
        <n v="90716.0"/>
        <n v="72055.0"/>
        <n v="112692.0"/>
        <n v="31672.0"/>
        <n v="59131.0"/>
        <n v="119397.0"/>
        <n v="157008.0"/>
        <n v="111956.0"/>
        <n v="10939.0"/>
        <n v="72293.0"/>
        <n v="78402.0"/>
        <n v="160892.0"/>
        <n v="154092.0"/>
        <n v="73323.0"/>
        <n v="58521.0"/>
        <n v="48361.0"/>
        <n v="179870.0"/>
        <n v="114850.0"/>
        <n v="54976.0"/>
        <n v="162636.0"/>
        <n v="23375.0"/>
        <n v="167917.0"/>
        <n v="71216.0"/>
        <n v="29618.0"/>
        <n v="136461.0"/>
        <n v="132426.0"/>
        <n v="159692.0"/>
        <n v="27931.0"/>
        <n v="131155.0"/>
        <n v="66842.0"/>
        <n v="7642.0"/>
        <n v="70618.0"/>
        <n v="74212.0"/>
        <n v="10039.0"/>
        <n v="102088.0"/>
        <n v="25025.0"/>
        <n v="36707.0"/>
        <n v="17356.0"/>
        <n v="86257.0"/>
        <n v="32518.0"/>
        <n v="75269.0"/>
        <n v="20534.0"/>
        <n v="98500.0"/>
        <n v="41468.0"/>
        <n v="123696.0"/>
        <n v="81848.0"/>
        <n v="92923.0"/>
        <n v="170732.0"/>
        <n v="86471.0"/>
        <n v="115986.0"/>
        <n v="42019.0"/>
        <n v="34063.0"/>
        <n v="107476.0"/>
        <n v="33302.0"/>
        <n v="70206.0"/>
        <n v="16094.0"/>
        <n v="182718.0"/>
        <n v="66169.0"/>
        <n v="24404.0"/>
        <n v="30517.0"/>
        <n v="145148.0"/>
        <n v="37101.0"/>
        <n v="151480.0"/>
        <n v="159813.0"/>
        <n v="135956.0"/>
        <n v="70982.0"/>
        <n v="132992.0"/>
        <n v="13597.0"/>
        <n v="199472.0"/>
        <n v="108751.0"/>
        <n v="175591.0"/>
        <n v="36027.0"/>
        <n v="57265.0"/>
        <n v="161904.0"/>
        <n v="49757.0"/>
        <n v="168623.0"/>
        <n v="98079.0"/>
        <n v="11305.0"/>
        <n v="109188.0"/>
        <n v="73309.0"/>
        <n v="81996.0"/>
        <n v="122192.0"/>
        <n v="79960.0"/>
        <n v="188804.0"/>
        <n v="80139.0"/>
        <n v="51999.0"/>
        <n v="119527.0"/>
        <n v="194073.0"/>
        <n v="55599.0"/>
        <n v="176541.0"/>
        <n v="118710.0"/>
        <n v="113297.0"/>
        <n v="6881.0"/>
        <n v="121477.0"/>
        <n v="188419.0"/>
        <n v="46743.0"/>
        <n v="93302.0"/>
        <n v="140747.0"/>
        <n v="36831.0"/>
        <n v="146842.0"/>
        <n v="69892.0"/>
        <n v="118985.0"/>
        <n v="12452.0"/>
        <n v="85077.0"/>
        <n v="39782.0"/>
        <n v="192135.0"/>
        <n v="156317.0"/>
        <n v="39754.0"/>
        <n v="84526.0"/>
        <n v="159226.0"/>
        <n v="178503.0"/>
        <n v="176946.0"/>
        <n v="163124.0"/>
        <n v="150486.0"/>
        <n v="88384.0"/>
        <n v="74922.0"/>
        <n v="188846.0"/>
        <n v="10209.0"/>
        <n v="31140.0"/>
        <n v="46850.0"/>
        <n v="17720.0"/>
        <n v="16781.0"/>
        <n v="61652.0"/>
        <n v="194933.0"/>
        <n v="100386.0"/>
        <n v="50203.0"/>
        <n v="85428.0"/>
        <n v="192428.0"/>
        <n v="33756.0"/>
        <n v="103162.0"/>
        <n v="142844.0"/>
        <n v="50201.0"/>
        <n v="143421.0"/>
        <n v="71537.0"/>
        <n v="198604.0"/>
        <n v="114028.0"/>
        <n v="180309.0"/>
        <n v="168402.0"/>
        <n v="125419.0"/>
        <n v="123680.0"/>
        <n v="117660.0"/>
        <n v="76916.0"/>
        <n v="150631.0"/>
        <n v="126635.0"/>
        <n v="159721.0"/>
        <n v="150698.0"/>
        <n v="98348.0"/>
        <n v="110603.0"/>
        <n v="76792.0"/>
        <n v="44405.0"/>
        <n v="49462.0"/>
        <n v="140440.0"/>
        <n v="112392.0"/>
        <n v="125654.0"/>
        <n v="167002.0"/>
        <n v="108247.0"/>
        <n v="53128.0"/>
        <n v="65942.0"/>
        <n v="32160.0"/>
        <n v="58364.0"/>
        <n v="79462.0"/>
        <n v="151864.0"/>
        <n v="182926.0"/>
        <n v="107489.0"/>
        <n v="40709.0"/>
        <n v="143561.0"/>
        <n v="94242.0"/>
        <n v="111311.0"/>
        <n v="130865.0"/>
        <n v="138639.0"/>
        <n v="147355.0"/>
        <n v="26751.0"/>
        <n v="42706.0"/>
        <n v="173337.0"/>
        <n v="99948.0"/>
        <n v="65282.0"/>
        <n v="48790.0"/>
        <n v="163272.0"/>
        <n v="149233.0"/>
        <n v="7637.0"/>
        <n v="20198.0"/>
        <n v="32675.0"/>
        <n v="116560.0"/>
        <n v="176459.0"/>
        <n v="49980.0"/>
        <n v="98944.0"/>
        <n v="115310.0"/>
        <n v="8626.0"/>
        <n v="88732.0"/>
        <n v="29502.0"/>
        <n v="198085.0"/>
        <n v="111802.0"/>
        <n v="65186.0"/>
        <n v="101176.0"/>
        <n v="41307.0"/>
        <n v="174579.0"/>
        <n v="83137.0"/>
        <n v="122897.0"/>
        <n v="47462.0"/>
        <n v="99202.0"/>
        <n v="125871.0"/>
        <n v="8880.0"/>
        <n v="156388.0"/>
        <n v="109672.0"/>
        <n v="70030.0"/>
        <n v="149375.0"/>
        <n v="123171.0"/>
        <n v="52779.0"/>
        <n v="117036.0"/>
        <n v="177517.0"/>
        <n v="196349.0"/>
        <n v="174898.0"/>
        <n v="83972.0"/>
        <n v="165371.0"/>
        <n v="133949.0"/>
        <n v="105400.0"/>
        <n v="63959.0"/>
        <n v="6044.0"/>
        <n v="90945.0"/>
        <n v="73681.0"/>
        <n v="195545.0"/>
        <n v="183428.0"/>
        <n v="173913.0"/>
        <n v="190541.0"/>
        <n v="122116.0"/>
        <n v="47879.0"/>
        <n v="164876.0"/>
        <n v="163253.0"/>
        <n v="120631.0"/>
        <n v="12610.0"/>
        <n v="62676.0"/>
        <n v="59943.0"/>
        <n v="78302.0"/>
        <n v="154805.0"/>
        <n v="41839.0"/>
        <n v="127872.0"/>
        <n v="146779.0"/>
        <n v="133588.0"/>
        <n v="82462.0"/>
        <n v="55248.0"/>
        <n v="90374.0"/>
        <n v="104976.0"/>
        <n v="124774.0"/>
        <n v="109263.0"/>
        <n v="105814.0"/>
        <n v="41113.0"/>
        <n v="43098.0"/>
        <n v="25991.0"/>
        <n v="150778.0"/>
        <n v="113500.0"/>
        <n v="140453.0"/>
        <n v="27936.0"/>
        <n v="133303.0"/>
        <n v="117333.0"/>
        <n v="152680.0"/>
        <n v="168384.0"/>
        <n v="106026.0"/>
        <n v="107364.0"/>
        <n v="132152.0"/>
        <n v="116695.0"/>
        <n v="116030.0"/>
        <n v="164599.0"/>
        <n v="188844.0"/>
        <n v="90468.0"/>
        <n v="117223.0"/>
        <n v="93478.0"/>
        <n v="9134.0"/>
        <n v="29485.0"/>
        <n v="22221.0"/>
        <n v="178567.0"/>
        <n v="93074.0"/>
        <n v="155840.0"/>
        <n v="21956.0"/>
        <n v="177224.0"/>
        <n v="93720.0"/>
        <n v="169909.0"/>
        <n v="46548.0"/>
        <n v="6875.0"/>
        <n v="106975.0"/>
        <n v="10574.0"/>
        <n v="147658.0"/>
        <n v="52013.0"/>
        <n v="49484.0"/>
        <n v="18877.0"/>
        <n v="106505.0"/>
        <n v="65107.0"/>
        <n v="69839.0"/>
        <n v="104794.0"/>
        <n v="33549.0"/>
        <n v="133027.0"/>
        <n v="27419.0"/>
        <n v="102648.0"/>
        <n v="181687.0"/>
        <n v="166792.0"/>
        <n v="7889.0"/>
        <n v="129746.0"/>
        <n v="94506.0"/>
        <n v="12086.0"/>
        <n v="145497.0"/>
        <n v="14491.0"/>
        <n v="156043.0"/>
        <n v="115304.0"/>
        <n v="132571.0"/>
        <n v="92502.0"/>
        <n v="133792.0"/>
        <n v="77258.0"/>
        <n v="74672.0"/>
        <n v="41558.0"/>
        <n v="134560.0"/>
        <n v="143518.0"/>
        <n v="7402.0"/>
        <n v="49225.0"/>
        <n v="173678.0"/>
        <n v="92793.0"/>
        <n v="122408.0"/>
        <n v="162826.0"/>
        <n v="134614.0"/>
        <n v="116451.0"/>
        <n v="188276.0"/>
        <n v="165552.0"/>
        <n v="82271.0"/>
        <n v="61921.0"/>
        <n v="161089.0"/>
        <n v="85618.0"/>
        <n v="30457.0"/>
        <n v="46420.0"/>
        <n v="180746.0"/>
        <n v="131244.0"/>
        <n v="86678.0"/>
        <n v="70226.0"/>
        <n v="124119.0"/>
        <n v="126292.0"/>
        <n v="189935.0"/>
        <n v="103066.0"/>
        <n v="11083.0"/>
        <n v="6074.0"/>
        <n v="54752.0"/>
        <n v="141313.0"/>
        <n v="34669.0"/>
        <n v="104714.0"/>
        <n v="109733.0"/>
        <n v="67502.0"/>
        <n v="129121.0"/>
        <n v="173102.0"/>
        <n v="140607.0"/>
        <n v="48351.0"/>
        <n v="118135.0"/>
        <n v="20185.0"/>
        <n v="50802.0"/>
        <n v="34048.0"/>
        <n v="56672.0"/>
        <n v="128962.0"/>
        <n v="15532.0"/>
        <n v="154666.0"/>
        <n v="9722.0"/>
        <n v="24464.0"/>
        <n v="170413.0"/>
        <n v="109205.0"/>
        <n v="161926.0"/>
        <n v="125725.0"/>
        <n v="116301.0"/>
        <n v="88251.0"/>
        <n v="185378.0"/>
        <n v="177905.0"/>
        <n v="122845.0"/>
        <n v="36017.0"/>
        <n v="71267.0"/>
        <n v="97152.0"/>
        <n v="33834.0"/>
        <n v="183775.0"/>
        <n v="199405.0"/>
        <n v="169512.0"/>
        <n v="14884.0"/>
        <n v="47623.0"/>
        <n v="102780.0"/>
        <n v="167717.0"/>
        <n v="189598.0"/>
        <n v="92273.0"/>
        <n v="118884.0"/>
        <n v="84303.0"/>
        <n v="89730.0"/>
        <n v="174737.0"/>
        <n v="145508.0"/>
        <n v="75649.0"/>
        <n v="85522.0"/>
        <n v="19588.0"/>
        <n v="92985.0"/>
        <n v="134198.0"/>
        <n v="25951.0"/>
        <n v="55385.0"/>
        <n v="21702.0"/>
        <n v="195972.0"/>
        <n v="73447.0"/>
        <n v="55867.0"/>
        <n v="64567.0"/>
        <n v="97254.0"/>
        <n v="147897.0"/>
        <n v="115379.0"/>
        <n v="51566.0"/>
        <n v="184889.0"/>
        <n v="100028.0"/>
        <n v="29741.0"/>
        <n v="155033.0"/>
        <n v="13562.0"/>
        <n v="84830.0"/>
        <n v="119427.0"/>
        <n v="175623.0"/>
        <n v="93919.0"/>
        <n v="46190.0"/>
        <n v="152996.0"/>
        <n v="62600.0"/>
        <n v="36127.0"/>
        <n v="110940.0"/>
        <n v="91332.0"/>
        <n v="149526.0"/>
        <n v="77746.0"/>
        <n v="105804.0"/>
        <n v="37599.0"/>
        <n v="9791.0"/>
        <n v="34802.0"/>
        <n v="81394.0"/>
        <n v="101299.0"/>
        <n v="140431.0"/>
        <n v="113368.0"/>
        <n v="89263.0"/>
        <n v="168947.0"/>
        <n v="139511.0"/>
        <n v="25927.0"/>
        <n v="165322.0"/>
        <n v="149542.0"/>
        <n v="20021.0"/>
        <n v="31783.0"/>
        <n v="171020.0"/>
        <n v="31325.0"/>
        <n v="49134.0"/>
        <n v="114599.0"/>
        <n v="198581.0"/>
        <n v="157890.0"/>
        <n v="161215.0"/>
        <n v="48147.0"/>
        <n v="90818.0"/>
        <n v="118415.0"/>
        <n v="113886.0"/>
        <n v="113668.0"/>
        <n v="76880.0"/>
        <n v="138438.0"/>
        <n v="34764.0"/>
        <n v="61387.0"/>
        <n v="139607.0"/>
        <n v="48271.0"/>
        <n v="181833.0"/>
        <n v="83678.0"/>
        <n v="32898.0"/>
        <n v="36153.0"/>
        <n v="140372.0"/>
        <n v="196889.0"/>
        <n v="77467.0"/>
        <n v="29016.0"/>
        <n v="117200.0"/>
        <n v="134157.0"/>
        <n v="161434.0"/>
        <n v="62888.0"/>
        <n v="108187.0"/>
        <n v="199363.0"/>
        <n v="59160.0"/>
        <n v="78551.0"/>
        <n v="186711.0"/>
        <n v="5528.0"/>
        <n v="144535.0"/>
        <n v="8188.0"/>
        <n v="71151.0"/>
        <n v="171797.0"/>
        <n v="173050.0"/>
        <n v="178269.0"/>
        <n v="164028.0"/>
        <n v="184504.0"/>
        <n v="119515.0"/>
        <n v="108591.0"/>
        <n v="68472.0"/>
        <n v="170201.0"/>
        <n v="92340.0"/>
        <n v="136940.0"/>
        <n v="106311.0"/>
        <n v="120016.0"/>
        <n v="193946.0"/>
        <n v="138780.0"/>
        <n v="51365.0"/>
        <n v="185903.0"/>
        <n v="61232.0"/>
        <n v="122286.0"/>
        <n v="60114.0"/>
        <n v="124004.0"/>
        <n v="168322.0"/>
        <n v="113957.0"/>
        <n v="137290.0"/>
        <n v="12253.0"/>
        <n v="109216.0"/>
        <n v="166215.0"/>
        <n v="140678.0"/>
        <n v="176066.0"/>
        <n v="59418.0"/>
        <n v="143183.0"/>
        <n v="194059.0"/>
        <n v="98899.0"/>
        <n v="129494.0"/>
        <n v="191443.0"/>
        <n v="61950.0"/>
        <n v="34605.0"/>
        <n v="127790.0"/>
        <n v="96310.0"/>
        <n v="197589.0"/>
        <n v="118566.0"/>
        <n v="199451.0"/>
        <n v="55406.0"/>
        <n v="141447.0"/>
        <n v="73591.0"/>
        <n v="66477.0"/>
        <n v="196386.0"/>
        <n v="78927.0"/>
        <n v="184857.0"/>
        <n v="122174.0"/>
        <n v="108719.0"/>
        <n v="186949.0"/>
        <n v="193869.0"/>
        <n v="158535.0"/>
        <n v="148949.0"/>
        <n v="184810.0"/>
        <n v="85989.0"/>
        <n v="35755.0"/>
        <n v="184298.0"/>
        <n v="22878.0"/>
        <n v="151539.0"/>
        <n v="180365.0"/>
        <n v="30168.0"/>
        <n v="26352.0"/>
        <n v="57979.0"/>
        <n v="173769.0"/>
        <n v="131206.0"/>
        <n v="64799.0"/>
        <n v="167893.0"/>
        <n v="72474.0"/>
        <n v="138678.0"/>
        <n v="70195.0"/>
        <n v="73513.0"/>
        <n v="162786.0"/>
        <n v="133909.0"/>
        <n v="92185.0"/>
        <n v="136637.0"/>
        <n v="56986.0"/>
        <n v="148859.0"/>
        <n v="151900.0"/>
        <n v="155555.0"/>
        <n v="198979.0"/>
        <n v="186740.0"/>
        <n v="126246.0"/>
        <n v="30835.0"/>
        <n v="112938.0"/>
        <n v="143573.0"/>
        <n v="113621.0"/>
        <n v="125155.0"/>
        <n v="52940.0"/>
        <n v="106069.0"/>
        <n v="185523.0"/>
        <n v="184969.0"/>
        <n v="118005.0"/>
        <n v="47176.0"/>
        <n v="8512.0"/>
        <n v="83591.0"/>
        <n v="88323.0"/>
        <n v="24755.0"/>
        <n v="99410.0"/>
        <n v="176250.0"/>
        <n v="184729.0"/>
        <n v="175381.0"/>
        <n v="174741.0"/>
        <n v="62033.0"/>
        <n v="6067.0"/>
        <n v="187941.0"/>
        <n v="8599.0"/>
        <n v="32476.0"/>
        <n v="64739.0"/>
        <n v="51666.0"/>
        <n v="39723.0"/>
        <n v="163984.0"/>
        <n v="51698.0"/>
        <n v="50206.0"/>
        <n v="194099.0"/>
        <n v="11820.0"/>
        <n v="56782.0"/>
        <n v="191894.0"/>
        <n v="55075.0"/>
        <n v="81830.0"/>
        <n v="87911.0"/>
        <n v="9521.0"/>
        <n v="88115.0"/>
        <n v="184030.0"/>
        <n v="151729.0"/>
        <n v="68176.0"/>
        <n v="160136.0"/>
        <n v="164504.0"/>
        <n v="111399.0"/>
        <n v="135011.0"/>
        <n v="24359.0"/>
        <n v="130611.0"/>
        <n v="156601.0"/>
        <n v="172967.0"/>
        <n v="165104.0"/>
        <n v="49109.0"/>
        <n v="46291.0"/>
        <n v="33750.0"/>
        <n v="177593.0"/>
        <n v="150465.0"/>
        <n v="25860.0"/>
        <n v="41375.0"/>
        <n v="26159.0"/>
        <n v="184541.0"/>
        <n v="196373.0"/>
        <n v="131031.0"/>
        <n v="113269.0"/>
        <n v="92346.0"/>
        <n v="143241.0"/>
        <n v="194137.0"/>
        <n v="79967.0"/>
        <n v="60919.0"/>
        <n v="40886.0"/>
        <n v="37646.0"/>
        <n v="117529.0"/>
        <n v="150250.0"/>
        <n v="196929.0"/>
        <n v="91491.0"/>
        <n v="154741.0"/>
        <n v="72963.0"/>
        <n v="194281.0"/>
        <n v="92844.0"/>
        <n v="132441.0"/>
        <n v="50076.0"/>
        <n v="180590.0"/>
        <n v="153530.0"/>
        <n v="135223.0"/>
        <n v="108152.0"/>
        <n v="76442.0"/>
        <n v="57335.0"/>
        <n v="82661.0"/>
        <n v="72902.0"/>
        <n v="63528.0"/>
        <n v="169238.0"/>
        <n v="14815.0"/>
        <n v="47278.0"/>
        <n v="15046.0"/>
        <n v="58968.0"/>
        <n v="13083.0"/>
        <n v="109222.0"/>
        <n v="45382.0"/>
        <n v="196432.0"/>
        <n v="71470.0"/>
        <n v="103026.0"/>
        <n v="140793.0"/>
        <n v="8970.0"/>
        <n v="177825.0"/>
        <n v="122512.0"/>
        <n v="107548.0"/>
        <n v="89224.0"/>
        <n v="100561.0"/>
        <n v="50111.0"/>
        <n v="65985.0"/>
        <n v="93257.0"/>
        <n v="102847.0"/>
        <n v="161738.0"/>
        <n v="46516.0"/>
        <n v="7802.0"/>
        <n v="15960.0"/>
        <n v="55701.0"/>
        <n v="64757.0"/>
        <n v="199291.0"/>
        <n v="116800.0"/>
        <n v="88470.0"/>
        <n v="186782.0"/>
        <n v="121832.0"/>
        <n v="88514.0"/>
        <n v="125424.0"/>
        <n v="23883.0"/>
        <n v="49864.0"/>
        <n v="190890.0"/>
        <n v="146295.0"/>
        <n v="29343.0"/>
        <n v="154712.0"/>
        <n v="60438.0"/>
        <n v="18149.0"/>
        <n v="39626.0"/>
        <n v="103730.0"/>
        <n v="35346.0"/>
        <n v="57776.0"/>
        <n v="178916.0"/>
        <n v="34778.0"/>
        <n v="179120.0"/>
        <n v="91706.0"/>
        <n v="7056.0"/>
        <n v="161646.0"/>
        <n v="177115.0"/>
        <n v="141087.0"/>
        <n v="184745.0"/>
        <n v="104969.0"/>
        <n v="80885.0"/>
        <n v="33807.0"/>
        <n v="198074.0"/>
        <n v="115282.0"/>
        <n v="45880.0"/>
        <n v="20993.0"/>
        <n v="183448.0"/>
        <n v="119944.0"/>
        <n v="69198.0"/>
        <n v="46936.0"/>
        <n v="21689.0"/>
        <n v="24504.0"/>
        <n v="119053.0"/>
        <n v="160522.0"/>
        <n v="158627.0"/>
        <n v="157955.0"/>
        <n v="196112.0"/>
        <n v="67167.0"/>
        <n v="90550.0"/>
        <n v="91150.0"/>
        <n v="157832.0"/>
        <n v="28958.0"/>
        <n v="8487.0"/>
        <n v="91284.0"/>
        <n v="84737.0"/>
        <n v="31547.0"/>
        <n v="162038.0"/>
        <n v="145119.0"/>
        <n v="92601.0"/>
        <n v="148041.0"/>
        <n v="25195.0"/>
        <n v="186465.0"/>
        <n v="136960.0"/>
        <n v="193405.0"/>
        <n v="118591.0"/>
        <n v="163349.0"/>
        <n v="166957.0"/>
        <n v="169818.0"/>
        <n v="158441.0"/>
        <n v="10380.0"/>
        <n v="27791.0"/>
        <n v="124870.0"/>
        <n v="137053.0"/>
        <n v="43062.0"/>
        <n v="177472.0"/>
        <n v="25967.0"/>
        <n v="139162.0"/>
        <n v="45364.0"/>
        <n v="62320.0"/>
        <n v="141436.0"/>
        <n v="152318.0"/>
        <n v="27778.0"/>
        <n v="82400.0"/>
        <n v="195606.0"/>
        <n v="18181.0"/>
        <n v="86560.0"/>
        <n v="89845.0"/>
        <n v="194121.0"/>
        <n v="81313.0"/>
        <n v="95153.0"/>
        <n v="104926.0"/>
        <n v="16093.0"/>
        <n v="155338.0"/>
        <n v="179877.0"/>
        <n v="185510.0"/>
        <n v="135992.0"/>
        <n v="192593.0"/>
        <n v="18487.0"/>
        <n v="88452.0"/>
        <n v="178714.0"/>
        <n v="113190.0"/>
        <n v="126103.0"/>
        <n v="101355.0"/>
        <n v="197974.0"/>
        <n v="49261.0"/>
        <n v="174668.0"/>
        <n v="163178.0"/>
        <n v="105726.0"/>
        <n v="74285.0"/>
        <n v="168471.0"/>
        <n v="128295.0"/>
        <n v="109777.0"/>
        <n v="153537.0"/>
        <n v="20915.0"/>
        <n v="29992.0"/>
        <n v="187461.0"/>
        <n v="107885.0"/>
        <n v="162242.0"/>
        <n v="34404.0"/>
        <n v="133773.0"/>
        <n v="185948.0"/>
        <n v="98375.0"/>
        <n v="190826.0"/>
        <n v="105050.0"/>
        <n v="52547.0"/>
        <n v="139648.0"/>
        <n v="186434.0"/>
        <n v="63001.0"/>
        <n v="132343.0"/>
        <n v="172570.0"/>
        <n v="196510.0"/>
        <n v="140875.0"/>
        <n v="50955.0"/>
        <n v="103991.0"/>
        <n v="22637.0"/>
        <n v="86099.0"/>
        <n v="181950.0"/>
        <n v="102229.0"/>
        <n v="53167.0"/>
        <n v="10177.0"/>
        <n v="67714.0"/>
        <n v="51032.0"/>
        <n v="68474.0"/>
        <n v="12838.0"/>
        <n v="151595.0"/>
        <n v="38799.0"/>
        <n v="121565.0"/>
        <n v="38762.0"/>
        <n v="32410.0"/>
        <n v="134132.0"/>
        <n v="38005.0"/>
        <n v="91348.0"/>
        <n v="87607.0"/>
        <n v="95288.0"/>
        <n v="68620.0"/>
        <n v="95975.0"/>
        <n v="162064.0"/>
        <n v="57712.0"/>
        <n v="147412.0"/>
        <n v="79525.0"/>
        <n v="78480.0"/>
        <n v="165232.0"/>
        <n v="13294.0"/>
        <n v="55333.0"/>
        <n v="177027.0"/>
        <n v="21679.0"/>
        <n v="18601.0"/>
        <n v="146583.0"/>
        <n v="46745.0"/>
        <n v="39505.0"/>
        <n v="179342.0"/>
        <n v="75410.0"/>
        <n v="83488.0"/>
        <n v="149143.0"/>
        <n v="52743.0"/>
        <n v="92091.0"/>
        <n v="118687.0"/>
        <n v="195664.0"/>
        <n v="89946.0"/>
        <n v="170529.0"/>
        <n v="129750.0"/>
        <n v="197882.0"/>
        <n v="58266.0"/>
        <n v="98699.0"/>
        <n v="172820.0"/>
        <n v="61902.0"/>
        <n v="148573.0"/>
        <n v="149654.0"/>
        <n v="191478.0"/>
        <n v="7196.0"/>
        <n v="30757.0"/>
        <n v="17578.0"/>
        <n v="65530.0"/>
        <n v="89403.0"/>
        <n v="27036.0"/>
        <n v="12712.0"/>
        <n v="24198.0"/>
        <n v="80324.0"/>
        <n v="160525.0"/>
        <n v="104821.0"/>
        <n v="48118.0"/>
        <n v="53709.0"/>
        <n v="25497.0"/>
        <n v="178782.0"/>
        <n v="189221.0"/>
        <n v="138704.0"/>
        <n v="120475.0"/>
        <n v="125019.0"/>
        <n v="198775.0"/>
        <n v="52059.0"/>
        <n v="183373.0"/>
        <n v="114844.0"/>
        <n v="53865.0"/>
        <n v="25080.0"/>
        <n v="95853.0"/>
        <n v="27593.0"/>
        <n v="34949.0"/>
        <n v="72986.0"/>
        <n v="149848.0"/>
        <n v="143235.0"/>
        <n v="157625.0"/>
        <n v="172816.0"/>
        <n v="56529.0"/>
        <n v="176030.0"/>
        <n v="128355.0"/>
        <n v="14096.0"/>
        <n v="31855.0"/>
        <n v="95218.0"/>
        <n v="102409.0"/>
        <n v="31049.0"/>
        <n v="129077.0"/>
        <n v="166874.0"/>
        <n v="153865.0"/>
        <n v="187199.0"/>
        <n v="117696.0"/>
        <n v="147324.0"/>
        <n v="39001.0"/>
        <n v="69277.0"/>
        <n v="166687.0"/>
        <n v="173898.0"/>
        <n v="117000.0"/>
        <n v="55697.0"/>
        <n v="46585.0"/>
        <n v="97345.0"/>
        <n v="143519.0"/>
        <n v="68843.0"/>
        <n v="129679.0"/>
        <n v="153157.0"/>
        <n v="138074.0"/>
        <n v="119132.0"/>
        <n v="43634.0"/>
        <n v="198899.0"/>
        <n v="143383.0"/>
        <n v="92469.0"/>
        <n v="30852.0"/>
        <n v="87565.0"/>
        <n v="154058.0"/>
        <n v="160579.0"/>
        <n v="34076.0"/>
        <n v="37261.0"/>
        <n v="178553.0"/>
        <n v="132390.0"/>
        <n v="166446.0"/>
        <n v="158807.0"/>
        <n v="66265.0"/>
        <n v="137156.0"/>
        <n v="123292.0"/>
        <n v="68642.0"/>
        <n v="147727.0"/>
        <n v="179818.0"/>
        <n v="158481.0"/>
        <n v="12784.0"/>
        <n v="117169.0"/>
        <n v="190928.0"/>
        <n v="38512.0"/>
        <n v="92986.0"/>
        <n v="80589.0"/>
        <n v="140475.0"/>
        <n v="103348.0"/>
        <n v="100343.0"/>
        <n v="179039.0"/>
        <n v="13100.0"/>
        <n v="167198.0"/>
        <n v="177420.0"/>
        <n v="195067.0"/>
        <n v="44435.0"/>
        <n v="57448.0"/>
        <n v="139158.0"/>
        <n v="148463.0"/>
        <n v="30123.0"/>
        <n v="139257.0"/>
        <n v="103053.0"/>
        <n v="44140.0"/>
        <n v="88698.0"/>
        <n v="182011.0"/>
        <n v="29180.0"/>
        <n v="138686.0"/>
        <n v="181976.0"/>
        <n v="103902.0"/>
        <n v="132081.0"/>
        <n v="25077.0"/>
        <n v="113987.0"/>
        <n v="14705.0"/>
        <n v="16955.0"/>
        <n v="127082.0"/>
        <n v="57299.0"/>
        <n v="134986.0"/>
        <n v="12546.0"/>
        <n v="161554.0"/>
        <n v="27499.0"/>
        <n v="153936.0"/>
        <n v="41232.0"/>
        <n v="133088.0"/>
        <n v="33082.0"/>
        <n v="179504.0"/>
        <n v="196312.0"/>
        <n v="17626.0"/>
        <n v="46603.0"/>
        <n v="113878.0"/>
        <n v="196354.0"/>
        <n v="62194.0"/>
        <n v="56069.0"/>
        <n v="18706.0"/>
        <n v="49390.0"/>
        <n v="23773.0"/>
        <n v="19959.0"/>
        <n v="166155.0"/>
        <n v="50819.0"/>
        <n v="15796.0"/>
        <n v="133422.0"/>
        <n v="181026.0"/>
        <n v="57784.0"/>
        <n v="81023.0"/>
        <n v="93623.0"/>
        <n v="118483.0"/>
        <n v="155018.0"/>
        <n v="13614.0"/>
        <n v="7594.0"/>
        <n v="161640.0"/>
        <n v="83845.0"/>
        <n v="195610.0"/>
        <n v="63812.0"/>
        <n v="33794.0"/>
        <n v="130056.0"/>
        <n v="149438.0"/>
        <n v="185750.0"/>
        <n v="24750.0"/>
        <n v="66262.0"/>
        <n v="126854.0"/>
        <n v="32559.0"/>
        <n v="85729.0"/>
        <n v="126432.0"/>
        <n v="196595.0"/>
        <n v="14028.0"/>
        <n v="77964.0"/>
        <n v="102677.0"/>
        <n v="137737.0"/>
        <n v="93534.0"/>
        <n v="127475.0"/>
        <n v="82700.0"/>
        <n v="96432.0"/>
        <n v="154656.0"/>
        <n v="115415.0"/>
        <n v="157963.0"/>
        <n v="133684.0"/>
        <n v="20091.0"/>
        <n v="126946.0"/>
        <n v="8311.0"/>
        <n v="140091.0"/>
        <n v="140121.0"/>
        <n v="159301.0"/>
        <n v="88940.0"/>
        <n v="194287.0"/>
        <n v="17911.0"/>
        <n v="9909.0"/>
        <n v="168616.0"/>
        <n v="139346.0"/>
        <n v="98740.0"/>
        <n v="26471.0"/>
        <n v="174048.0"/>
        <n v="8877.0"/>
        <n v="32488.0"/>
        <n v="77968.0"/>
        <n v="10156.0"/>
        <n v="63676.0"/>
        <n v="93545.0"/>
        <n v="8671.0"/>
        <n v="95930.0"/>
        <n v="73683.0"/>
        <n v="152932.0"/>
        <n v="125354.0"/>
        <n v="193613.0"/>
        <n v="158138.0"/>
        <n v="134814.0"/>
        <n v="102366.0"/>
        <n v="159044.0"/>
        <n v="35932.0"/>
        <n v="116561.0"/>
        <n v="8608.0"/>
        <n v="19284.0"/>
        <n v="161764.0"/>
        <n v="116045.0"/>
        <n v="61395.0"/>
        <n v="119183.0"/>
        <n v="26747.0"/>
        <n v="157898.0"/>
        <n v="49456.0"/>
        <n v="150213.0"/>
        <n v="73305.0"/>
        <n v="187663.0"/>
        <n v="85066.0"/>
        <n v="12045.0"/>
        <n v="77796.0"/>
        <n v="90443.0"/>
        <n v="52838.0"/>
        <n v="61284.0"/>
        <n v="163624.0"/>
        <n v="194674.0"/>
        <n v="15485.0"/>
        <n v="138154.0"/>
        <n v="76922.0"/>
        <n v="13947.0"/>
        <n v="199164.0"/>
        <n v="138018.0"/>
        <n v="161408.0"/>
        <n v="130811.0"/>
        <n v="140460.0"/>
        <n v="119731.0"/>
        <n v="61437.0"/>
        <n v="37827.0"/>
        <n v="180848.0"/>
        <n v="30545.0"/>
        <n v="21643.0"/>
        <n v="58164.0"/>
        <n v="69102.0"/>
        <n v="164852.0"/>
        <n v="149064.0"/>
        <n v="80888.0"/>
        <n v="21471.0"/>
        <n v="160182.0"/>
        <n v="30226.0"/>
        <n v="146677.0"/>
        <n v="74859.0"/>
        <n v="127232.0"/>
        <n v="83243.0"/>
        <n v="85846.0"/>
        <n v="150227.0"/>
        <n v="50411.0"/>
        <n v="100552.0"/>
        <n v="32428.0"/>
        <n v="84517.0"/>
        <n v="160091.0"/>
        <n v="158778.0"/>
        <n v="145284.0"/>
        <n v="82665.0"/>
        <n v="157973.0"/>
        <n v="48898.0"/>
        <n v="185923.0"/>
        <n v="89688.0"/>
        <n v="15273.0"/>
        <n v="71107.0"/>
        <n v="79681.0"/>
        <n v="102148.0"/>
        <n v="115540.0"/>
        <n v="16766.0"/>
        <n v="96931.0"/>
        <n v="175574.0"/>
        <n v="175330.0"/>
        <n v="45225.0"/>
        <n v="79992.0"/>
        <n v="23113.0"/>
        <n v="89383.0"/>
        <n v="128900.0"/>
        <n v="179159.0"/>
        <n v="15739.0"/>
        <n v="25243.0"/>
        <n v="196745.0"/>
        <n v="23186.0"/>
        <n v="189480.0"/>
        <n v="112518.0"/>
        <n v="116789.0"/>
        <n v="42575.0"/>
        <n v="51557.0"/>
        <n v="131681.0"/>
        <n v="89833.0"/>
        <n v="116161.0"/>
        <n v="53544.0"/>
        <n v="107126.0"/>
        <n v="182395.0"/>
        <n v="39253.0"/>
        <n v="109794.0"/>
        <n v="27612.0"/>
        <n v="61994.0"/>
        <n v="48953.0"/>
        <n v="13484.0"/>
        <n v="13255.0"/>
        <n v="162889.0"/>
        <n v="21972.0"/>
        <n v="186136.0"/>
        <n v="135171.0"/>
        <n v="176656.0"/>
        <n v="51678.0"/>
        <n v="26491.0"/>
        <n v="174862.0"/>
        <n v="77353.0"/>
        <n v="108726.0"/>
        <n v="196883.0"/>
        <n v="180627.0"/>
        <n v="85196.0"/>
        <n v="74098.0"/>
        <n v="166711.0"/>
        <n v="141501.0"/>
        <n v="81303.0"/>
        <n v="83871.0"/>
        <n v="178013.0"/>
        <n v="160341.0"/>
        <n v="138135.0"/>
        <n v="72500.0"/>
        <n v="104626.0"/>
        <n v="70107.0"/>
        <n v="63952.0"/>
        <n v="43148.0"/>
        <n v="193326.0"/>
        <n v="80507.0"/>
        <n v="128556.0"/>
        <n v="29055.0"/>
        <n v="172517.0"/>
        <n v="84712.0"/>
        <n v="115760.0"/>
        <n v="187831.0"/>
        <n v="72278.0"/>
        <n v="121107.0"/>
        <n v="112930.0"/>
        <n v="94767.0"/>
        <n v="189933.0"/>
        <n v="17281.0"/>
        <n v="41388.0"/>
        <n v="52083.0"/>
        <n v="110109.0"/>
        <n v="73743.0"/>
        <n v="79189.0"/>
        <n v="179943.0"/>
        <n v="22414.0"/>
        <n v="107299.0"/>
        <n v="68815.0"/>
        <n v="164457.0"/>
        <n v="105477.0"/>
        <n v="160816.0"/>
        <n v="23904.0"/>
        <n v="60448.0"/>
        <n v="138332.0"/>
        <n v="112399.0"/>
        <n v="180069.0"/>
        <n v="155354.0"/>
        <n v="163564.0"/>
        <n v="146587.0"/>
        <n v="79843.0"/>
        <n v="128245.0"/>
        <n v="161252.0"/>
        <n v="107262.0"/>
        <n v="22139.0"/>
        <n v="30618.0"/>
        <n v="78606.0"/>
        <n v="31885.0"/>
        <n v="11713.0"/>
        <n v="26637.0"/>
        <n v="44387.0"/>
        <n v="91392.0"/>
        <n v="31727.0"/>
        <n v="154676.0"/>
        <n v="122710.0"/>
        <n v="194117.0"/>
        <n v="23043.0"/>
        <n v="21198.0"/>
        <n v="132208.0"/>
        <n v="19040.0"/>
        <n v="157270.0"/>
        <n v="33433.0"/>
        <n v="94786.0"/>
        <n v="144895.0"/>
        <n v="57996.0"/>
        <n v="154631.0"/>
        <n v="56209.0"/>
        <n v="187411.0"/>
        <n v="46583.0"/>
        <n v="17438.0"/>
        <n v="122784.0"/>
        <n v="151730.0"/>
        <n v="83498.0"/>
        <n v="194060.0"/>
        <n v="30118.0"/>
        <n v="88904.0"/>
        <n v="119911.0"/>
        <n v="184702.0"/>
        <n v="5209.0"/>
        <n v="88717.0"/>
        <n v="146788.0"/>
        <n v="89052.0"/>
        <n v="46971.0"/>
        <n v="185419.0"/>
        <n v="36391.0"/>
        <n v="169575.0"/>
        <n v="146656.0"/>
        <n v="116972.0"/>
        <n v="45664.0"/>
        <n v="125759.0"/>
        <n v="26529.0"/>
        <n v="114863.0"/>
        <n v="171353.0"/>
        <n v="49522.0"/>
        <n v="136135.0"/>
        <n v="172108.0"/>
        <n v="193151.0"/>
        <n v="102519.0"/>
        <n v="36092.0"/>
        <n v="6628.0"/>
        <n v="28593.0"/>
        <n v="186845.0"/>
        <n v="25930.0"/>
        <n v="114914.0"/>
        <n v="34652.0"/>
        <n v="136585.0"/>
        <n v="192822.0"/>
        <n v="63738.0"/>
        <n v="28267.0"/>
        <n v="42606.0"/>
        <n v="120409.0"/>
        <n v="120210.0"/>
        <n v="96360.0"/>
        <n v="186006.0"/>
        <n v="34036.0"/>
        <n v="116709.0"/>
        <n v="98276.0"/>
        <n v="162353.0"/>
        <n v="129790.0"/>
        <n v="184982.0"/>
        <n v="166673.0"/>
        <n v="109148.0"/>
        <n v="173700.0"/>
        <n v="173001.0"/>
        <n v="56534.0"/>
        <n v="58520.0"/>
        <n v="111071.0"/>
        <n v="153750.0"/>
        <n v="108717.0"/>
        <n v="141455.0"/>
        <n v="158742.0"/>
        <n v="26845.0"/>
        <n v="92332.0"/>
        <n v="90953.0"/>
        <n v="15047.0"/>
        <n v="57632.0"/>
        <n v="193568.0"/>
        <n v="30343.0"/>
        <n v="6903.0"/>
        <n v="194291.0"/>
        <n v="25704.0"/>
        <n v="18696.0"/>
        <n v="165408.0"/>
        <n v="191372.0"/>
        <n v="71247.0"/>
        <n v="132294.0"/>
        <n v="66086.0"/>
        <n v="186232.0"/>
        <n v="145225.0"/>
        <n v="15470.0"/>
        <n v="91814.0"/>
        <n v="96087.0"/>
        <n v="92943.0"/>
        <n v="36411.0"/>
        <n v="145170.0"/>
        <n v="146428.0"/>
        <n v="151772.0"/>
        <n v="179561.0"/>
        <n v="100381.0"/>
        <n v="180552.0"/>
        <n v="163328.0"/>
        <n v="93635.0"/>
        <n v="133526.0"/>
        <n v="48475.0"/>
        <n v="195722.0"/>
        <n v="106277.0"/>
        <n v="153953.0"/>
        <n v="142135.0"/>
        <n v="107891.0"/>
        <n v="191380.0"/>
        <n v="123372.0"/>
        <n v="104464.0"/>
        <n v="113502.0"/>
        <n v="95196.0"/>
        <n v="86362.0"/>
        <n v="78532.0"/>
        <n v="184081.0"/>
        <n v="93966.0"/>
        <n v="28667.0"/>
        <n v="154239.0"/>
        <n v="103576.0"/>
        <n v="111154.0"/>
        <n v="104456.0"/>
        <n v="173307.0"/>
        <n v="197459.0"/>
        <n v="138528.0"/>
        <n v="188490.0"/>
        <n v="155929.0"/>
        <n v="177220.0"/>
        <n v="188552.0"/>
        <n v="136460.0"/>
        <n v="124614.0"/>
        <n v="28359.0"/>
        <n v="81759.0"/>
        <n v="131230.0"/>
        <n v="49659.0"/>
        <n v="103029.0"/>
        <n v="52368.0"/>
        <n v="144585.0"/>
        <n v="40308.0"/>
        <n v="43635.0"/>
        <n v="164074.0"/>
        <n v="107300.0"/>
        <n v="177443.0"/>
        <n v="141268.0"/>
        <n v="145631.0"/>
        <n v="191041.0"/>
        <n v="72145.0"/>
        <n v="113447.0"/>
        <n v="195512.0"/>
        <n v="149446.0"/>
        <n v="154307.0"/>
        <n v="149675.0"/>
        <n v="184065.0"/>
        <n v="64484.0"/>
        <n v="148088.0"/>
        <n v="28068.0"/>
        <n v="131385.0"/>
        <n v="77882.0"/>
        <n v="90066.0"/>
        <n v="186775.0"/>
        <n v="57328.0"/>
        <n v="87570.0"/>
        <n v="54864.0"/>
        <n v="91861.0"/>
        <n v="16920.0"/>
        <n v="117421.0"/>
        <n v="146332.0"/>
        <n v="144993.0"/>
        <n v="35702.0"/>
        <n v="184976.0"/>
        <n v="119235.0"/>
        <n v="127211.0"/>
        <n v="27584.0"/>
        <n v="194928.0"/>
        <n v="90349.0"/>
        <n v="170011.0"/>
        <n v="54158.0"/>
        <n v="143485.0"/>
        <n v="165470.0"/>
        <n v="112596.0"/>
        <n v="82604.0"/>
        <n v="162454.0"/>
        <n v="143667.0"/>
        <n v="83702.0"/>
        <n v="41497.0"/>
        <n v="88442.0"/>
        <n v="143723.0"/>
        <n v="30392.0"/>
        <n v="94412.0"/>
        <n v="56305.0"/>
        <n v="142456.0"/>
        <n v="27169.0"/>
        <n v="127179.0"/>
        <n v="20797.0"/>
        <n v="188201.0"/>
        <n v="77726.0"/>
        <n v="23123.0"/>
        <n v="86689.0"/>
        <n v="159251.0"/>
        <n v="70180.0"/>
        <n v="83466.0"/>
        <n v="137602.0"/>
        <n v="64222.0"/>
        <n v="116739.0"/>
        <n v="50869.0"/>
        <n v="127155.0"/>
        <n v="162883.0"/>
        <n v="115716.0"/>
        <n v="40306.0"/>
        <n v="138025.0"/>
        <n v="145510.0"/>
        <n v="168297.0"/>
        <n v="66157.0"/>
        <n v="115003.0"/>
        <n v="173292.0"/>
        <n v="94440.0"/>
        <n v="93003.0"/>
        <n v="112294.0"/>
        <n v="165321.0"/>
        <n v="137895.0"/>
        <n v="7978.0"/>
        <n v="113994.0"/>
        <n v="90794.0"/>
        <n v="118694.0"/>
        <n v="99805.0"/>
        <n v="187156.0"/>
        <n v="120152.0"/>
        <n v="117458.0"/>
        <n v="35398.0"/>
        <n v="98386.0"/>
        <n v="70133.0"/>
        <n v="30169.0"/>
        <n v="122959.0"/>
        <n v="73083.0"/>
        <n v="113889.0"/>
        <n v="57203.0"/>
        <n v="36562.0"/>
        <n v="177256.0"/>
        <n v="179036.0"/>
        <n v="87481.0"/>
        <n v="130645.0"/>
        <n v="121089.0"/>
        <n v="15589.0"/>
        <n v="101411.0"/>
        <n v="142045.0"/>
        <n v="42236.0"/>
        <n v="75628.0"/>
        <n v="116184.0"/>
        <n v="121465.0"/>
        <n v="108510.0"/>
        <n v="199650.0"/>
        <n v="73734.0"/>
        <n v="149532.0"/>
        <n v="79432.0"/>
        <n v="192583.0"/>
        <n v="79266.0"/>
        <n v="33695.0"/>
        <n v="92030.0"/>
        <n v="26259.0"/>
        <n v="99447.0"/>
        <n v="170910.0"/>
        <n v="180259.0"/>
        <n v="146964.0"/>
        <n v="153057.0"/>
        <n v="78635.0"/>
        <n v="54031.0"/>
        <n v="162743.0"/>
        <n v="144494.0"/>
        <n v="112549.0"/>
        <n v="148994.0"/>
        <n v="87373.0"/>
        <n v="41200.0"/>
        <n v="51986.0"/>
        <n v="190392.0"/>
        <n v="137817.0"/>
        <n v="153145.0"/>
        <n v="20718.0"/>
        <n v="5059.0"/>
        <n v="96045.0"/>
        <n v="12644.0"/>
        <n v="91901.0"/>
        <n v="120431.0"/>
        <n v="7948.0"/>
        <n v="108924.0"/>
        <n v="66402.0"/>
        <n v="96676.0"/>
        <n v="10108.0"/>
        <n v="23936.0"/>
        <n v="157455.0"/>
        <n v="165805.0"/>
        <n v="69385.0"/>
        <n v="89944.0"/>
        <n v="62603.0"/>
        <n v="62284.0"/>
        <n v="172812.0"/>
        <n v="82764.0"/>
        <n v="133260.0"/>
        <n v="188420.0"/>
        <n v="89431.0"/>
        <n v="52897.0"/>
        <n v="83334.0"/>
        <n v="180721.0"/>
        <n v="195759.0"/>
        <n v="158514.0"/>
        <n v="82948.0"/>
        <n v="44420.0"/>
        <n v="57006.0"/>
        <n v="37588.0"/>
        <n v="196605.0"/>
        <n v="59376.0"/>
        <n v="15865.0"/>
        <n v="80511.0"/>
        <n v="143944.0"/>
        <n v="44612.0"/>
        <n v="17299.0"/>
        <n v="71514.0"/>
        <n v="37135.0"/>
        <n v="80542.0"/>
        <n v="112992.0"/>
        <n v="119863.0"/>
        <n v="108806.0"/>
        <n v="7234.0"/>
        <n v="143541.0"/>
        <n v="5497.0"/>
        <n v="160478.0"/>
        <n v="116011.0"/>
        <n v="166243.0"/>
        <n v="62868.0"/>
        <n v="132953.0"/>
        <n v="107326.0"/>
        <n v="24854.0"/>
        <n v="175949.0"/>
        <n v="131956.0"/>
        <n v="90096.0"/>
        <n v="48766.0"/>
        <n v="68989.0"/>
        <n v="197557.0"/>
        <n v="96178.0"/>
        <n v="144940.0"/>
        <n v="152322.0"/>
        <n v="89124.0"/>
        <n v="126404.0"/>
        <n v="84654.0"/>
        <n v="95987.0"/>
        <n v="154088.0"/>
        <n v="71883.0"/>
        <n v="133716.0"/>
        <n v="43319.0"/>
        <n v="144911.0"/>
        <n v="180634.0"/>
        <n v="76095.0"/>
        <n v="180128.0"/>
        <n v="169849.0"/>
        <n v="122974.0"/>
        <n v="28553.0"/>
        <n v="77447.0"/>
      </sharedItems>
    </cacheField>
    <cacheField name="clicks" numFmtId="0">
      <sharedItems containsSemiMixedTypes="0" containsString="0" containsNumber="1" containsInteger="1">
        <n v="2113.0"/>
        <n v="5220.0"/>
        <n v="5991.0"/>
        <n v="5935.0"/>
        <n v="4489.0"/>
        <n v="724.0"/>
        <n v="3748.0"/>
        <n v="5176.0"/>
        <n v="937.0"/>
        <n v="362.0"/>
        <n v="3144.0"/>
        <n v="5092.0"/>
        <n v="2138.0"/>
        <n v="4006.0"/>
        <n v="2111.0"/>
        <n v="7047.0"/>
        <n v="8854.0"/>
        <n v="3607.0"/>
        <n v="4586.0"/>
        <n v="1615.0"/>
        <n v="5889.0"/>
        <n v="13122.0"/>
        <n v="8143.0"/>
        <n v="4481.0"/>
        <n v="9046.0"/>
        <n v="5081.0"/>
        <n v="3783.0"/>
        <n v="1996.0"/>
        <n v="4453.0"/>
        <n v="4696.0"/>
        <n v="795.0"/>
        <n v="5837.0"/>
        <n v="961.0"/>
        <n v="9120.0"/>
        <n v="4029.0"/>
        <n v="9683.0"/>
        <n v="410.0"/>
        <n v="726.0"/>
        <n v="6230.0"/>
        <n v="1748.0"/>
        <n v="5334.0"/>
        <n v="1707.0"/>
        <n v="4650.0"/>
        <n v="6802.0"/>
        <n v="4150.0"/>
        <n v="3599.0"/>
        <n v="1919.0"/>
        <n v="941.0"/>
        <n v="2169.0"/>
        <n v="3318.0"/>
        <n v="2339.0"/>
        <n v="7520.0"/>
        <n v="448.0"/>
        <n v="423.0"/>
        <n v="710.0"/>
        <n v="4377.0"/>
        <n v="6025.0"/>
        <n v="606.0"/>
        <n v="2146.0"/>
        <n v="2075.0"/>
        <n v="2039.0"/>
        <n v="2999.0"/>
        <n v="3882.0"/>
        <n v="3014.0"/>
        <n v="8374.0"/>
        <n v="1314.0"/>
        <n v="1183.0"/>
        <n v="3462.0"/>
        <n v="1567.0"/>
        <n v="452.0"/>
        <n v="5808.0"/>
        <n v="843.0"/>
        <n v="2771.0"/>
        <n v="1853.0"/>
        <n v="5046.0"/>
        <n v="3954.0"/>
        <n v="13104.0"/>
        <n v="1319.0"/>
        <n v="5602.0"/>
        <n v="4048.0"/>
        <n v="2712.0"/>
        <n v="4751.0"/>
        <n v="4999.0"/>
        <n v="1574.0"/>
        <n v="983.0"/>
        <n v="6131.0"/>
        <n v="6314.0"/>
        <n v="2469.0"/>
        <n v="3930.0"/>
        <n v="3082.0"/>
        <n v="763.0"/>
        <n v="5047.0"/>
        <n v="2109.0"/>
        <n v="432.0"/>
        <n v="6717.0"/>
        <n v="8107.0"/>
        <n v="1124.0"/>
        <n v="3623.0"/>
        <n v="1698.0"/>
        <n v="3603.0"/>
        <n v="176.0"/>
        <n v="1076.0"/>
        <n v="489.0"/>
        <n v="1045.0"/>
        <n v="3285.0"/>
        <n v="2497.0"/>
        <n v="3821.0"/>
        <n v="5938.0"/>
        <n v="6868.0"/>
        <n v="7693.0"/>
        <n v="2822.0"/>
        <n v="991.0"/>
        <n v="2023.0"/>
        <n v="5718.0"/>
        <n v="14898.0"/>
        <n v="6104.0"/>
        <n v="1539.0"/>
        <n v="7189.0"/>
        <n v="4091.0"/>
        <n v="3355.0"/>
        <n v="798.0"/>
        <n v="1562.0"/>
        <n v="10677.0"/>
        <n v="4916.0"/>
        <n v="4935.0"/>
        <n v="1851.0"/>
        <n v="5780.0"/>
        <n v="6284.0"/>
        <n v="5491.0"/>
        <n v="4310.0"/>
        <n v="672.0"/>
        <n v="1308.0"/>
        <n v="7917.0"/>
        <n v="6152.0"/>
        <n v="2430.0"/>
        <n v="4031.0"/>
        <n v="2890.0"/>
        <n v="3331.0"/>
        <n v="2437.0"/>
        <n v="535.0"/>
        <n v="3310.0"/>
        <n v="456.0"/>
        <n v="455.0"/>
        <n v="1588.0"/>
        <n v="1470.0"/>
        <n v="3871.0"/>
        <n v="3736.0"/>
        <n v="7227.0"/>
        <n v="1379.0"/>
        <n v="2327.0"/>
        <n v="4490.0"/>
        <n v="1994.0"/>
        <n v="2163.0"/>
        <n v="1740.0"/>
        <n v="3950.0"/>
        <n v="999.0"/>
        <n v="5145.0"/>
        <n v="2515.0"/>
        <n v="3800.0"/>
        <n v="333.0"/>
        <n v="1064.0"/>
        <n v="4897.0"/>
        <n v="1209.0"/>
        <n v="3181.0"/>
        <n v="1487.0"/>
        <n v="7747.0"/>
        <n v="1505.0"/>
        <n v="4925.0"/>
        <n v="4500.0"/>
        <n v="3548.0"/>
        <n v="13105.0"/>
        <n v="3070.0"/>
        <n v="622.0"/>
        <n v="9653.0"/>
        <n v="7721.0"/>
        <n v="4796.0"/>
        <n v="7494.0"/>
        <n v="300.0"/>
        <n v="6428.0"/>
        <n v="10138.0"/>
        <n v="619.0"/>
        <n v="5588.0"/>
        <n v="8526.0"/>
        <n v="3002.0"/>
        <n v="1678.0"/>
        <n v="2096.0"/>
        <n v="877.0"/>
        <n v="1425.0"/>
        <n v="3868.0"/>
        <n v="5024.0"/>
        <n v="2133.0"/>
        <n v="5911.0"/>
        <n v="113.0"/>
        <n v="4532.0"/>
        <n v="4531.0"/>
        <n v="9122.0"/>
        <n v="8860.0"/>
        <n v="1928.0"/>
        <n v="2713.0"/>
        <n v="7500.0"/>
        <n v="8234.0"/>
        <n v="2611.0"/>
        <n v="9237.0"/>
        <n v="1175.0"/>
        <n v="6246.0"/>
        <n v="2357.0"/>
        <n v="1883.0"/>
        <n v="3984.0"/>
        <n v="7309.0"/>
        <n v="6882.0"/>
        <n v="608.0"/>
        <n v="4052.0"/>
        <n v="202.0"/>
        <n v="3601.0"/>
        <n v="1528.0"/>
        <n v="501.0"/>
        <n v="1256.0"/>
        <n v="943.0"/>
        <n v="925.0"/>
        <n v="4597.0"/>
        <n v="1258.0"/>
        <n v="2604.0"/>
        <n v="993.0"/>
        <n v="5614.0"/>
        <n v="3354.0"/>
        <n v="6531.0"/>
        <n v="1694.0"/>
        <n v="1932.0"/>
        <n v="7700.0"/>
        <n v="4859.0"/>
        <n v="1357.0"/>
        <n v="2979.0"/>
        <n v="1243.0"/>
        <n v="4707.0"/>
        <n v="3007.0"/>
        <n v="3945.0"/>
        <n v="616.0"/>
        <n v="2558.0"/>
        <n v="2057.0"/>
        <n v="2575.0"/>
        <n v="5762.0"/>
        <n v="2166.0"/>
        <n v="2514.0"/>
        <n v="7575.0"/>
        <n v="11529.0"/>
        <n v="2548.0"/>
        <n v="7926.0"/>
        <n v="747.0"/>
        <n v="5286.0"/>
        <n v="5459.0"/>
        <n v="5864.0"/>
        <n v="2770.0"/>
        <n v="2302.0"/>
        <n v="4727.0"/>
        <n v="6896.0"/>
        <n v="3226.0"/>
        <n v="562.0"/>
        <n v="6354.0"/>
        <n v="2323.0"/>
        <n v="1508.0"/>
        <n v="4398.0"/>
        <n v="1591.0"/>
        <n v="5267.0"/>
        <n v="2436.0"/>
        <n v="930.0"/>
        <n v="6597.0"/>
        <n v="6346.0"/>
        <n v="3697.0"/>
        <n v="4378.0"/>
        <n v="4036.0"/>
        <n v="9675.0"/>
        <n v="357.0"/>
        <n v="1834.0"/>
        <n v="10231.0"/>
        <n v="1523.0"/>
        <n v="4058.0"/>
        <n v="8571.0"/>
        <n v="1572.0"/>
        <n v="10646.0"/>
        <n v="2851.0"/>
        <n v="4545.0"/>
        <n v="280.0"/>
        <n v="4032.0"/>
        <n v="3393.0"/>
        <n v="10663.0"/>
        <n v="5924.0"/>
        <n v="2007.0"/>
        <n v="2214.0"/>
        <n v="5206.0"/>
        <n v="9639.0"/>
        <n v="13784.0"/>
        <n v="4273.0"/>
        <n v="3641.0"/>
        <n v="1333.0"/>
        <n v="12671.0"/>
        <n v="314.0"/>
        <n v="1712.0"/>
        <n v="287.0"/>
        <n v="684.0"/>
        <n v="2614.0"/>
        <n v="4054.0"/>
        <n v="5250.0"/>
        <n v="1390.0"/>
        <n v="5134.0"/>
        <n v="9967.0"/>
        <n v="2150.0"/>
        <n v="1485.0"/>
        <n v="2971.0"/>
        <n v="2198.0"/>
        <n v="3542.0"/>
        <n v="1809.0"/>
        <n v="8162.0"/>
        <n v="3112.0"/>
        <n v="5823.0"/>
        <n v="5237.0"/>
        <n v="4126.0"/>
        <n v="8373.0"/>
        <n v="6388.0"/>
        <n v="2761.0"/>
        <n v="5648.0"/>
        <n v="4254.0"/>
        <n v="3625.0"/>
        <n v="4581.0"/>
        <n v="3225.0"/>
        <n v="2377.0"/>
        <n v="3317.0"/>
        <n v="1953.0"/>
        <n v="1206.0"/>
        <n v="11825.0"/>
        <n v="4934.0"/>
        <n v="8318.0"/>
        <n v="3406.0"/>
        <n v="6971.0"/>
        <n v="2044.0"/>
        <n v="1186.0"/>
        <n v="2241.0"/>
        <n v="2058.0"/>
        <n v="4358.0"/>
        <n v="6749.0"/>
        <n v="9144.0"/>
        <n v="5466.0"/>
        <n v="5765.0"/>
        <n v="9461.0"/>
        <n v="2204.0"/>
        <n v="7485.0"/>
        <n v="2084.0"/>
        <n v="3189.0"/>
        <n v="1389.0"/>
        <n v="1723.0"/>
        <n v="2824.0"/>
        <n v="5551.0"/>
        <n v="3686.0"/>
        <n v="415.0"/>
        <n v="878.0"/>
        <n v="4312.0"/>
        <n v="3670.0"/>
        <n v="1664.0"/>
        <n v="1850.0"/>
        <n v="3205.0"/>
        <n v="242.0"/>
        <n v="1579.0"/>
        <n v="604.0"/>
        <n v="14460.0"/>
        <n v="2247.0"/>
        <n v="1955.0"/>
        <n v="6505.0"/>
        <n v="1367.0"/>
        <n v="3247.0"/>
        <n v="2045.0"/>
        <n v="2040.0"/>
        <n v="1803.0"/>
        <n v="3083.0"/>
        <n v="216.0"/>
        <n v="7021.0"/>
        <n v="2675.0"/>
        <n v="6109.0"/>
        <n v="3756.0"/>
        <n v="596.0"/>
        <n v="3569.0"/>
        <n v="13917.0"/>
        <n v="8325.0"/>
        <n v="13029.0"/>
        <n v="4903.0"/>
        <n v="2993.0"/>
        <n v="7219.0"/>
        <n v="7704.0"/>
        <n v="2014.0"/>
        <n v="146.0"/>
        <n v="3637.0"/>
        <n v="4457.0"/>
        <n v="8799.0"/>
        <n v="2183.0"/>
        <n v="4549.0"/>
        <n v="5860.0"/>
        <n v="9527.0"/>
        <n v="5507.0"/>
        <n v="1149.0"/>
        <n v="5820.0"/>
        <n v="1779.0"/>
        <n v="1532.0"/>
        <n v="197.0"/>
        <n v="595.0"/>
        <n v="900.0"/>
        <n v="9535.0"/>
        <n v="2991.0"/>
        <n v="2953.0"/>
        <n v="5019.0"/>
        <n v="6545.0"/>
        <n v="3916.0"/>
        <n v="1646.0"/>
        <n v="2349.0"/>
        <n v="1238.0"/>
        <n v="3481.0"/>
        <n v="2829.0"/>
        <n v="6126.0"/>
        <n v="2347.0"/>
        <n v="1620.0"/>
        <n v="309.0"/>
        <n v="2985.0"/>
        <n v="7604.0"/>
        <n v="4213.0"/>
        <n v="1402.0"/>
        <n v="4225.0"/>
        <n v="2898.0"/>
        <n v="6214.0"/>
        <n v="4681.0"/>
        <n v="5152.0"/>
        <n v="4895.0"/>
        <n v="7572.0"/>
        <n v="5799.0"/>
        <n v="4177.0"/>
        <n v="11209.0"/>
        <n v="12860.0"/>
        <n v="5753.0"/>
        <n v="7935.0"/>
        <n v="5786.0"/>
        <n v="228.0"/>
        <n v="1341.0"/>
        <n v="1706.0"/>
        <n v="4566.0"/>
        <n v="1611.0"/>
        <n v="2374.0"/>
        <n v="2661.0"/>
        <n v="7781.0"/>
        <n v="1047.0"/>
        <n v="158.0"/>
        <n v="4300.0"/>
        <n v="389.0"/>
        <n v="6939.0"/>
        <n v="1565.0"/>
        <n v="1118.0"/>
        <n v="545.0"/>
        <n v="1022.0"/>
        <n v="1777.0"/>
        <n v="5920.0"/>
        <n v="1224.0"/>
        <n v="7808.0"/>
        <n v="1192.0"/>
        <n v="2330.0"/>
        <n v="8321.0"/>
        <n v="6071.0"/>
        <n v="416.0"/>
        <n v="4891.0"/>
        <n v="3269.0"/>
        <n v="594.0"/>
        <n v="4743.0"/>
        <n v="259.0"/>
        <n v="4478.0"/>
        <n v="3551.0"/>
        <n v="9147.0"/>
        <n v="2960.0"/>
        <n v="6943.0"/>
        <n v="3963.0"/>
        <n v="2665.0"/>
        <n v="1757.0"/>
        <n v="5947.0"/>
        <n v="10491.0"/>
        <n v="91.0"/>
        <n v="2367.0"/>
        <n v="11428.0"/>
        <n v="1261.0"/>
        <n v="6671.0"/>
        <n v="7815.0"/>
        <n v="3190.0"/>
        <n v="3388.0"/>
        <n v="11277.0"/>
        <n v="4337.0"/>
        <n v="3397.0"/>
        <n v="3814.0"/>
        <n v="6540.0"/>
        <n v="2679.0"/>
        <n v="1880.0"/>
        <n v="5604.0"/>
        <n v="2158.0"/>
        <n v="4037.0"/>
        <n v="6416.0"/>
        <n v="5165.0"/>
        <n v="10161.0"/>
        <n v="2380.0"/>
        <n v="193.0"/>
        <n v="128.0"/>
        <n v="2814.0"/>
        <n v="4762.0"/>
        <n v="1965.0"/>
        <n v="1015.0"/>
        <n v="6616.0"/>
        <n v="5859.0"/>
        <n v="4893.0"/>
        <n v="4414.0"/>
        <n v="6397.0"/>
        <n v="2156.0"/>
        <n v="8151.0"/>
        <n v="3617.0"/>
        <n v="694.0"/>
        <n v="2397.0"/>
        <n v="7337.0"/>
        <n v="593.0"/>
        <n v="5939.0"/>
        <n v="511.0"/>
        <n v="3936.0"/>
        <n v="4499.0"/>
        <n v="5424.0"/>
        <n v="4198.0"/>
        <n v="3244.0"/>
        <n v="5532.0"/>
        <n v="2714.0"/>
        <n v="1210.0"/>
        <n v="3962.0"/>
        <n v="1156.0"/>
        <n v="906.0"/>
        <n v="7093.0"/>
        <n v="5204.0"/>
        <n v="9475.0"/>
        <n v="541.0"/>
        <n v="1695.0"/>
        <n v="1952.0"/>
        <n v="4142.0"/>
        <n v="6673.0"/>
        <n v="6237.0"/>
        <n v="5932.0"/>
        <n v="4417.0"/>
        <n v="4621.0"/>
        <n v="5207.0"/>
        <n v="7158.0"/>
        <n v="1792.0"/>
        <n v="3378.0"/>
        <n v="434.0"/>
        <n v="8024.0"/>
        <n v="2670.0"/>
        <n v="809.0"/>
        <n v="1000.0"/>
        <n v="13796.0"/>
        <n v="2401.0"/>
        <n v="1681.0"/>
        <n v="1439.0"/>
        <n v="3374.0"/>
        <n v="2144.0"/>
        <n v="1531.0"/>
        <n v="6212.0"/>
        <n v="7402.0"/>
        <n v="1287.0"/>
        <n v="5782.0"/>
        <n v="790.0"/>
        <n v="2612.0"/>
        <n v="1146.0"/>
        <n v="9483.0"/>
        <n v="4968.0"/>
        <n v="3030.0"/>
        <n v="3136.0"/>
        <n v="3142.0"/>
        <n v="610.0"/>
        <n v="6512.0"/>
        <n v="3762.0"/>
        <n v="4321.0"/>
        <n v="2861.0"/>
        <n v="3110.0"/>
        <n v="1225.0"/>
        <n v="519.0"/>
        <n v="1708.0"/>
        <n v="5192.0"/>
        <n v="3504.0"/>
        <n v="1544.0"/>
        <n v="5260.0"/>
        <n v="3695.0"/>
        <n v="4510.0"/>
        <n v="8384.0"/>
        <n v="1501.0"/>
        <n v="4529.0"/>
        <n v="462.0"/>
        <n v="781.0"/>
        <n v="2616.0"/>
        <n v="858.0"/>
        <n v="1026.0"/>
        <n v="2028.0"/>
        <n v="1985.0"/>
        <n v="9204.0"/>
        <n v="5948.0"/>
        <n v="3562.0"/>
        <n v="3287.0"/>
        <n v="6500.0"/>
        <n v="4965.0"/>
        <n v="2864.0"/>
        <n v="1798.0"/>
        <n v="4734.0"/>
        <n v="1251.0"/>
        <n v="1608.0"/>
        <n v="10289.0"/>
        <n v="1182.0"/>
        <n v="10018.0"/>
        <n v="1743.0"/>
        <n v="882.0"/>
        <n v="4548.0"/>
        <n v="9568.0"/>
        <n v="3300.0"/>
        <n v="1088.0"/>
        <n v="1699.0"/>
        <n v="3407.0"/>
        <n v="6328.0"/>
        <n v="3307.0"/>
        <n v="2423.0"/>
        <n v="3847.0"/>
        <n v="958.0"/>
        <n v="2411.0"/>
        <n v="7748.0"/>
        <n v="108.0"/>
        <n v="7588.0"/>
        <n v="272.0"/>
        <n v="4368.0"/>
        <n v="5153.0"/>
        <n v="8565.0"/>
        <n v="8646.0"/>
        <n v="5905.0"/>
        <n v="15479.0"/>
        <n v="6824.0"/>
        <n v="2601.0"/>
        <n v="7931.0"/>
        <n v="2502.0"/>
        <n v="4683.0"/>
        <n v="3336.0"/>
        <n v="7854.0"/>
        <n v="4135.0"/>
        <n v="873.0"/>
        <n v="4647.0"/>
        <n v="2951.0"/>
        <n v="7642.0"/>
        <n v="4917.0"/>
        <n v="2083.0"/>
        <n v="3008.0"/>
        <n v="5011.0"/>
        <n v="468.0"/>
        <n v="5777.0"/>
        <n v="9158.0"/>
        <n v="5655.0"/>
        <n v="5264.0"/>
        <n v="5784.0"/>
        <n v="3434.0"/>
        <n v="2185.0"/>
        <n v="1631.0"/>
        <n v="6872.0"/>
        <n v="4076.0"/>
        <n v="7015.0"/>
        <n v="6905.0"/>
        <n v="4781.0"/>
        <n v="3711.0"/>
        <n v="3989.0"/>
        <n v="5965.0"/>
        <n v="2648.0"/>
        <n v="9873.0"/>
        <n v="2649.0"/>
        <n v="2718.0"/>
        <n v="6794.0"/>
        <n v="3172.0"/>
        <n v="3419.0"/>
        <n v="6499.0"/>
        <n v="4207.0"/>
        <n v="3140.0"/>
        <n v="13124.0"/>
        <n v="3836.0"/>
        <n v="12332.0"/>
        <n v="7447.0"/>
        <n v="997.0"/>
        <n v="654.0"/>
        <n v="7758.0"/>
        <n v="3455.0"/>
        <n v="6114.0"/>
        <n v="1080.0"/>
        <n v="1697.0"/>
        <n v="2081.0"/>
        <n v="6759.0"/>
        <n v="8279.0"/>
        <n v="842.0"/>
        <n v="4432.0"/>
        <n v="4022.0"/>
        <n v="1802.0"/>
        <n v="4239.0"/>
        <n v="2073.0"/>
        <n v="7406.0"/>
        <n v="5664.0"/>
        <n v="3779.0"/>
        <n v="4399.0"/>
        <n v="1270.0"/>
        <n v="3840.0"/>
        <n v="5270.0"/>
        <n v="4588.0"/>
        <n v="2089.0"/>
        <n v="4182.0"/>
        <n v="4203.0"/>
        <n v="3263.0"/>
        <n v="3474.0"/>
        <n v="10112.0"/>
        <n v="5256.0"/>
        <n v="1281.0"/>
        <n v="3139.0"/>
        <n v="6029.0"/>
        <n v="15407.0"/>
        <n v="5003.0"/>
        <n v="1278.0"/>
        <n v="251.0"/>
        <n v="2499.0"/>
        <n v="3965.0"/>
        <n v="811.0"/>
        <n v="4195.0"/>
        <n v="6204.0"/>
        <n v="2586.0"/>
        <n v="4226.0"/>
        <n v="7129.0"/>
        <n v="2667.0"/>
        <n v="201.0"/>
        <n v="9303.0"/>
        <n v="258.0"/>
        <n v="1136.0"/>
        <n v="1599.0"/>
        <n v="2965.0"/>
        <n v="1116.0"/>
        <n v="12971.0"/>
        <n v="1307.0"/>
        <n v="2399.0"/>
        <n v="4774.0"/>
        <n v="366.0"/>
        <n v="3264.0"/>
        <n v="7138.0"/>
        <n v="3056.0"/>
        <n v="237.0"/>
        <n v="5383.0"/>
        <n v="5649.0"/>
        <n v="4491.0"/>
        <n v="6581.0"/>
        <n v="3322.0"/>
        <n v="4155.0"/>
        <n v="3496.0"/>
        <n v="1461.0"/>
        <n v="2207.0"/>
        <n v="8628.0"/>
        <n v="5016.0"/>
        <n v="7958.0"/>
        <n v="1203.0"/>
        <n v="1976.0"/>
        <n v="1410.0"/>
        <n v="1811.0"/>
        <n v="5311.0"/>
        <n v="1569.0"/>
        <n v="2350.0"/>
        <n v="782.0"/>
        <n v="3063.0"/>
        <n v="5184.0"/>
        <n v="6092.0"/>
        <n v="3182.0"/>
        <n v="6815.0"/>
        <n v="7133.0"/>
        <n v="2640.0"/>
        <n v="1782.0"/>
        <n v="1874.0"/>
        <n v="4266.0"/>
        <n v="7196.0"/>
        <n v="2382.0"/>
        <n v="4053.0"/>
        <n v="6019.0"/>
        <n v="5618.0"/>
        <n v="5906.0"/>
        <n v="3277.0"/>
        <n v="2964.0"/>
        <n v="4857.0"/>
        <n v="3899.0"/>
        <n v="4250.0"/>
        <n v="2392.0"/>
        <n v="1869.0"/>
        <n v="4769.0"/>
        <n v="4942.0"/>
        <n v="711.0"/>
        <n v="6583.0"/>
        <n v="189.0"/>
        <n v="2803.0"/>
        <n v="400.0"/>
        <n v="1715.0"/>
        <n v="707.0"/>
        <n v="7306.0"/>
        <n v="2246.0"/>
        <n v="6501.0"/>
        <n v="2065.0"/>
        <n v="9066.0"/>
        <n v="2886.0"/>
        <n v="306.0"/>
        <n v="4285.0"/>
        <n v="4258.0"/>
        <n v="5255.0"/>
        <n v="3781.0"/>
        <n v="2320.0"/>
        <n v="1445.0"/>
        <n v="1930.0"/>
        <n v="6458.0"/>
        <n v="772.0"/>
        <n v="340.0"/>
        <n v="750.0"/>
        <n v="4138.0"/>
        <n v="3976.0"/>
        <n v="16660.0"/>
        <n v="8351.0"/>
        <n v="2459.0"/>
        <n v="14270.0"/>
        <n v="6786.0"/>
        <n v="1610.0"/>
        <n v="3787.0"/>
        <n v="1332.0"/>
        <n v="2074.0"/>
        <n v="7616.0"/>
        <n v="3394.0"/>
        <n v="346.0"/>
        <n v="10288.0"/>
        <n v="5554.0"/>
        <n v="918.0"/>
        <n v="1172.0"/>
        <n v="4335.0"/>
        <n v="1279.0"/>
        <n v="1490.0"/>
        <n v="4723.0"/>
        <n v="705.0"/>
        <n v="8794.0"/>
        <n v="1650.0"/>
        <n v="227.0"/>
        <n v="5253.0"/>
        <n v="8005.0"/>
        <n v="10609.0"/>
        <n v="12451.0"/>
        <n v="5773.0"/>
        <n v="3995.0"/>
        <n v="807.0"/>
        <n v="5783.0"/>
        <n v="4876.0"/>
        <n v="2817.0"/>
        <n v="583.0"/>
        <n v="8053.0"/>
        <n v="9331.0"/>
        <n v="3529.0"/>
        <n v="2234.0"/>
        <n v="895.0"/>
        <n v="899.0"/>
        <n v="4000.0"/>
        <n v="5425.0"/>
        <n v="7725.0"/>
        <n v="2780.0"/>
        <n v="2647.0"/>
        <n v="1907.0"/>
        <n v="3966.0"/>
        <n v="4119.0"/>
        <n v="4072.0"/>
        <n v="1355.0"/>
        <n v="271.0"/>
        <n v="2126.0"/>
        <n v="1415.0"/>
        <n v="2722.0"/>
        <n v="9998.0"/>
        <n v="4065.0"/>
        <n v="738.0"/>
        <n v="8689.0"/>
        <n v="5382.0"/>
        <n v="7852.0"/>
        <n v="4043.0"/>
        <n v="7906.0"/>
        <n v="5476.0"/>
        <n v="4992.0"/>
        <n v="503.0"/>
        <n v="2622.0"/>
        <n v="5550.0"/>
        <n v="1322.0"/>
        <n v="9210.0"/>
        <n v="656.0"/>
        <n v="7152.0"/>
        <n v="1628.0"/>
        <n v="3857.0"/>
        <n v="3026.0"/>
        <n v="4554.0"/>
        <n v="1902.0"/>
        <n v="3708.0"/>
        <n v="10817.0"/>
        <n v="1179.0"/>
        <n v="5323.0"/>
        <n v="2605.0"/>
        <n v="6270.0"/>
        <n v="1089.0"/>
        <n v="5404.0"/>
        <n v="3273.0"/>
        <n v="466.0"/>
        <n v="10718.0"/>
        <n v="4317.0"/>
        <n v="9739.0"/>
        <n v="8023.0"/>
        <n v="4949.0"/>
        <n v="693.0"/>
        <n v="3361.0"/>
        <n v="7559.0"/>
        <n v="4459.0"/>
        <n v="4375.0"/>
        <n v="10916.0"/>
        <n v="5172.0"/>
        <n v="8542.0"/>
        <n v="2094.0"/>
        <n v="6014.0"/>
        <n v="4695.0"/>
        <n v="7277.0"/>
        <n v="913.0"/>
        <n v="605.0"/>
        <n v="2511.0"/>
        <n v="3344.0"/>
        <n v="5110.0"/>
        <n v="1204.0"/>
        <n v="3491.0"/>
        <n v="5373.0"/>
        <n v="1898.0"/>
        <n v="12174.0"/>
        <n v="3077.0"/>
        <n v="2806.0"/>
        <n v="8743.0"/>
        <n v="3507.0"/>
        <n v="3692.0"/>
        <n v="10316.0"/>
        <n v="6818.0"/>
        <n v="3892.0"/>
        <n v="3067.0"/>
        <n v="876.0"/>
        <n v="2910.0"/>
        <n v="2536.0"/>
        <n v="413.0"/>
        <n v="3036.0"/>
        <n v="4923.0"/>
        <n v="784.0"/>
        <n v="9262.0"/>
        <n v="1303.0"/>
        <n v="1007.0"/>
        <n v="4694.0"/>
        <n v="1489.0"/>
        <n v="2914.0"/>
        <n v="3661.0"/>
        <n v="7108.0"/>
        <n v="3602.0"/>
        <n v="3848.0"/>
        <n v="5607.0"/>
        <n v="848.0"/>
        <n v="2298.0"/>
        <n v="7617.0"/>
        <n v="852.0"/>
        <n v="6160.0"/>
        <n v="706.0"/>
        <n v="2990.0"/>
        <n v="2140.0"/>
        <n v="2251.0"/>
        <n v="4071.0"/>
        <n v="3039.0"/>
        <n v="4049.0"/>
        <n v="5175.0"/>
        <n v="1207.0"/>
        <n v="3342.0"/>
        <n v="10586.0"/>
        <n v="6378.0"/>
        <n v="5162.0"/>
        <n v="11766.0"/>
        <n v="2452.0"/>
        <n v="5144.0"/>
        <n v="2651.0"/>
        <n v="2171.0"/>
        <n v="5512.0"/>
        <n v="2599.0"/>
        <n v="8706.0"/>
        <n v="6689.0"/>
        <n v="6414.0"/>
        <n v="1202.0"/>
        <n v="330.0"/>
        <n v="2018.0"/>
        <n v="5578.0"/>
        <n v="4339.0"/>
        <n v="708.0"/>
        <n v="212.0"/>
        <n v="1214.0"/>
        <n v="2337.0"/>
        <n v="6003.0"/>
        <n v="4224.0"/>
        <n v="1616.0"/>
        <n v="2868.0"/>
        <n v="1142.0"/>
        <n v="7705.0"/>
        <n v="7587.0"/>
        <n v="7794.0"/>
        <n v="8251.0"/>
        <n v="2956.0"/>
        <n v="7169.0"/>
        <n v="1098.0"/>
        <n v="1113.0"/>
        <n v="4658.0"/>
        <n v="896.0"/>
        <n v="1324.0"/>
        <n v="3379.0"/>
        <n v="9290.0"/>
        <n v="3981.0"/>
        <n v="9457.0"/>
        <n v="3819.0"/>
        <n v="4494.0"/>
        <n v="13079.0"/>
        <n v="1758.0"/>
        <n v="476.0"/>
        <n v="1411.0"/>
        <n v="2199.0"/>
        <n v="3389.0"/>
        <n v="1021.0"/>
        <n v="6641.0"/>
        <n v="5785.0"/>
        <n v="12036.0"/>
        <n v="1325.0"/>
        <n v="1450.0"/>
        <n v="5057.0"/>
        <n v="11384.0"/>
        <n v="5321.0"/>
        <n v="7979.0"/>
        <n v="957.0"/>
        <n v="1504.0"/>
        <n v="5178.0"/>
        <n v="10519.0"/>
        <n v="633.0"/>
        <n v="5848.0"/>
        <n v="5498.0"/>
        <n v="3313.0"/>
        <n v="3466.0"/>
        <n v="1937.0"/>
        <n v="2923.0"/>
        <n v="3412.0"/>
        <n v="2487.0"/>
        <n v="3213.0"/>
        <n v="3728.0"/>
        <n v="7804.0"/>
        <n v="1363.0"/>
        <n v="7213.0"/>
        <n v="7822.0"/>
        <n v="1881.0"/>
        <n v="2527.0"/>
        <n v="3363.0"/>
        <n v="7534.0"/>
        <n v="11724.0"/>
        <n v="6053.0"/>
        <n v="1055.0"/>
        <n v="3304.0"/>
        <n v="5078.0"/>
        <n v="1840.0"/>
        <n v="2082.0"/>
        <n v="1160.0"/>
        <n v="5043.0"/>
        <n v="1891.0"/>
        <n v="3461.0"/>
        <n v="14663.0"/>
        <n v="186.0"/>
        <n v="5132.0"/>
        <n v="7646.0"/>
        <n v="9129.0"/>
        <n v="1453.0"/>
        <n v="2338.0"/>
        <n v="3061.0"/>
        <n v="4810.0"/>
        <n v="554.0"/>
        <n v="2631.0"/>
        <n v="2607.0"/>
        <n v="2101.0"/>
        <n v="1073.0"/>
        <n v="1911.0"/>
        <n v="1464.0"/>
        <n v="2621.0"/>
        <n v="7752.0"/>
        <n v="3927.0"/>
        <n v="10051.0"/>
        <n v="341.0"/>
        <n v="3579.0"/>
        <n v="363.0"/>
        <n v="440.0"/>
        <n v="4346.0"/>
        <n v="725.0"/>
        <n v="6252.0"/>
        <n v="728.0"/>
        <n v="5895.0"/>
        <n v="1859.0"/>
        <n v="5243.0"/>
        <n v="5026.0"/>
        <n v="534.0"/>
        <n v="12642.0"/>
        <n v="955.0"/>
        <n v="3678.0"/>
        <n v="2945.0"/>
        <n v="2949.0"/>
        <n v="458.0"/>
        <n v="3368.0"/>
        <n v="461.0"/>
        <n v="586.0"/>
        <n v="6048.0"/>
        <n v="3206.0"/>
        <n v="301.0"/>
        <n v="8458.0"/>
        <n v="2769.0"/>
        <n v="907.0"/>
        <n v="1944.0"/>
        <n v="6319.0"/>
        <n v="8826.0"/>
        <n v="9146.0"/>
        <n v="744.0"/>
        <n v="225.0"/>
        <n v="5916.0"/>
        <n v="9956.0"/>
        <n v="2686.0"/>
        <n v="1030.0"/>
        <n v="3537.0"/>
        <n v="1653.0"/>
        <n v="3790.0"/>
        <n v="7243.0"/>
        <n v="553.0"/>
        <n v="342.0"/>
        <n v="2915.0"/>
        <n v="3131.0"/>
        <n v="3925.0"/>
        <n v="3544.0"/>
        <n v="7342.0"/>
        <n v="7155.0"/>
        <n v="6557.0"/>
        <n v="3866.0"/>
        <n v="956.0"/>
        <n v="6728.0"/>
        <n v="7242.0"/>
        <n v="4778.0"/>
        <n v="6738.0"/>
        <n v="4384.0"/>
        <n v="5032.0"/>
        <n v="1148.0"/>
        <n v="170.0"/>
        <n v="6508.0"/>
        <n v="4096.0"/>
        <n v="1589.0"/>
        <n v="1890.0"/>
        <n v="3846.0"/>
        <n v="230.0"/>
        <n v="919.0"/>
        <n v="3001.0"/>
        <n v="474.0"/>
        <n v="2974.0"/>
        <n v="156.0"/>
        <n v="1554.0"/>
        <n v="3757.0"/>
        <n v="6591.0"/>
        <n v="6179.0"/>
        <n v="9157.0"/>
        <n v="2846.0"/>
        <n v="2804.0"/>
        <n v="2589.0"/>
        <n v="2385.0"/>
        <n v="1440.0"/>
        <n v="4231.0"/>
        <n v="100.0"/>
        <n v="642.0"/>
        <n v="2652.0"/>
        <n v="6660.0"/>
        <n v="2038.0"/>
        <n v="5041.0"/>
        <n v="1099.0"/>
        <n v="3094.0"/>
        <n v="801.0"/>
        <n v="5242.0"/>
        <n v="3635.0"/>
        <n v="10790.0"/>
        <n v="5903.0"/>
        <n v="255.0"/>
        <n v="3703.0"/>
        <n v="3789.0"/>
        <n v="660.0"/>
        <n v="196.0"/>
        <n v="9518.0"/>
        <n v="2669.0"/>
        <n v="718.0"/>
        <n v="1683.0"/>
        <n v="1581.0"/>
        <n v="8895.0"/>
        <n v="2753.0"/>
        <n v="2969.0"/>
        <n v="1087.0"/>
        <n v="2072.0"/>
        <n v="5515.0"/>
        <n v="1728.0"/>
        <n v="936.0"/>
        <n v="1354.0"/>
        <n v="6445.0"/>
        <n v="5724.0"/>
        <n v="2070.0"/>
        <n v="753.0"/>
        <n v="4901.0"/>
        <n v="1196.0"/>
        <n v="7597.0"/>
        <n v="1661.0"/>
        <n v="3867.0"/>
        <n v="2821.0"/>
        <n v="2274.0"/>
        <n v="8683.0"/>
        <n v="1320.0"/>
        <n v="3861.0"/>
        <n v="603.0"/>
        <n v="4210.0"/>
        <n v="7256.0"/>
        <n v="8121.0"/>
        <n v="2521.0"/>
        <n v="12227.0"/>
        <n v="3193.0"/>
        <n v="7827.0"/>
        <n v="464.0"/>
        <n v="2936.0"/>
        <n v="2916.0"/>
        <n v="1205.0"/>
        <n v="1686.0"/>
        <n v="846.0"/>
        <n v="5844.0"/>
        <n v="6935.0"/>
        <n v="8766.0"/>
        <n v="2211.0"/>
        <n v="1164.0"/>
        <n v="5631.0"/>
        <n v="10273.0"/>
        <n v="6593.0"/>
        <n v="580.0"/>
        <n v="13240.0"/>
        <n v="512.0"/>
        <n v="6290.0"/>
        <n v="1597.0"/>
        <n v="6586.0"/>
        <n v="2188.0"/>
        <n v="2882.0"/>
        <n v="1725.0"/>
        <n v="4536.0"/>
        <n v="4379.0"/>
        <n v="1670.0"/>
        <n v="3631.0"/>
        <n v="8517.0"/>
        <n v="1122.0"/>
        <n v="3886.0"/>
        <n v="963.0"/>
        <n v="1847.0"/>
        <n v="2447.0"/>
        <n v="382.0"/>
        <n v="709.0"/>
        <n v="1915.0"/>
        <n v="13885.0"/>
        <n v="5231.0"/>
        <n v="2897.0"/>
        <n v="2966.0"/>
        <n v="1895.0"/>
        <n v="2968.0"/>
        <n v="10119.0"/>
        <n v="8074.0"/>
        <n v="2572.0"/>
        <n v="13670.0"/>
        <n v="6452.0"/>
        <n v="4154.0"/>
        <n v="6382.0"/>
        <n v="1886.0"/>
        <n v="2228.0"/>
        <n v="4045.0"/>
        <n v="1451.0"/>
        <n v="979.0"/>
        <n v="12334.0"/>
        <n v="2318.0"/>
        <n v="4910.0"/>
        <n v="912.0"/>
        <n v="3191.0"/>
        <n v="1473.0"/>
        <n v="2421.0"/>
        <n v="3148.0"/>
        <n v="2427.0"/>
        <n v="4662.0"/>
        <n v="13295.0"/>
        <n v="793.0"/>
        <n v="964.0"/>
        <n v="2781.0"/>
        <n v="2378.0"/>
        <n v="1991.0"/>
        <n v="4315.0"/>
        <n v="4174.0"/>
        <n v="472.0"/>
        <n v="2585.0"/>
        <n v="6391.0"/>
        <n v="9745.0"/>
        <n v="609.0"/>
        <n v="1493.0"/>
        <n v="9558.0"/>
        <n v="3585.0"/>
        <n v="3371.0"/>
        <n v="1946.0"/>
        <n v="5995.0"/>
        <n v="8046.0"/>
        <n v="5127.0"/>
        <n v="719.0"/>
        <n v="3914.0"/>
        <n v="1613.0"/>
        <n v="334.0"/>
        <n v="479.0"/>
        <n v="2705.0"/>
        <n v="2233.0"/>
        <n v="1624.0"/>
        <n v="5129.0"/>
        <n v="16422.0"/>
        <n v="1534.0"/>
        <n v="703.0"/>
        <n v="3133.0"/>
        <n v="5535.0"/>
        <n v="2682.0"/>
        <n v="1705.0"/>
        <n v="4793.0"/>
        <n v="1405.0"/>
        <n v="15667.0"/>
        <n v="2319.0"/>
        <n v="371.0"/>
        <n v="2063.0"/>
        <n v="3531.0"/>
        <n v="11721.0"/>
        <n v="951.0"/>
        <n v="1724.0"/>
        <n v="4592.0"/>
        <n v="198.0"/>
        <n v="816.0"/>
        <n v="2591.0"/>
        <n v="7750.0"/>
        <n v="1684.0"/>
        <n v="3730.0"/>
        <n v="5719.0"/>
        <n v="6269.0"/>
        <n v="516.0"/>
        <n v="1106.0"/>
        <n v="5766.0"/>
        <n v="5534.0"/>
        <n v="7936.0"/>
        <n v="12168.0"/>
        <n v="1050.0"/>
        <n v="261.0"/>
        <n v="4204.0"/>
        <n v="3803.0"/>
        <n v="866.0"/>
        <n v="5668.0"/>
        <n v="6228.0"/>
        <n v="1306.0"/>
        <n v="1769.0"/>
        <n v="1495.0"/>
        <n v="8356.0"/>
        <n v="6455.0"/>
        <n v="9002.0"/>
        <n v="2086.0"/>
        <n v="6640.0"/>
        <n v="2368.0"/>
        <n v="3977.0"/>
        <n v="5697.0"/>
        <n v="4772.0"/>
        <n v="4733.0"/>
        <n v="3951.0"/>
        <n v="7208.0"/>
        <n v="3477.0"/>
        <n v="1079.0"/>
        <n v="3604.0"/>
        <n v="2865.0"/>
        <n v="4920.0"/>
        <n v="1435.0"/>
        <n v="2673.0"/>
        <n v="5778.0"/>
        <n v="528.0"/>
        <n v="5336.0"/>
        <n v="4365.0"/>
        <n v="368.0"/>
        <n v="12659.0"/>
        <n v="743.0"/>
        <n v="9248.0"/>
        <n v="327.0"/>
        <n v="11711.0"/>
        <n v="1888.0"/>
        <n v="7527.0"/>
        <n v="9292.0"/>
        <n v="5562.0"/>
        <n v="529.0"/>
        <n v="3238.0"/>
        <n v="5037.0"/>
        <n v="4688.0"/>
        <n v="2796.0"/>
        <n v="8600.0"/>
        <n v="5691.0"/>
        <n v="6030.0"/>
        <n v="4981.0"/>
        <n v="4363.0"/>
        <n v="4633.0"/>
        <n v="3160.0"/>
        <n v="12624.0"/>
        <n v="6961.0"/>
        <n v="5095.0"/>
        <n v="2387.0"/>
        <n v="3733.0"/>
        <n v="8171.0"/>
        <n v="4314.0"/>
        <n v="2235.0"/>
        <n v="3170.0"/>
        <n v="2547.0"/>
        <n v="4735.0"/>
        <n v="5135.0"/>
        <n v="2104.0"/>
        <n v="1338.0"/>
        <n v="7465.0"/>
        <n v="1263.0"/>
        <n v="5124.0"/>
        <n v="6403.0"/>
        <n v="3292.0"/>
        <n v="5667.0"/>
        <n v="5970.0"/>
        <n v="3698.0"/>
        <n v="6879.0"/>
        <n v="6408.0"/>
        <n v="4607.0"/>
        <n v="6373.0"/>
        <n v="4462.0"/>
        <n v="4573.0"/>
        <n v="612.0"/>
        <n v="1316.0"/>
        <n v="2139.0"/>
        <n v="2413.0"/>
        <n v="6830.0"/>
        <n v="3351.0"/>
        <n v="8357.0"/>
        <n v="3853.0"/>
        <n v="2693.0"/>
        <n v="4400.0"/>
        <n v="4194.0"/>
        <n v="7393.0"/>
        <n v="3058.0"/>
        <n v="1826.0"/>
        <n v="8328.0"/>
        <n v="6456.0"/>
        <n v="9212.0"/>
        <n v="3143.0"/>
        <n v="6350.0"/>
        <n v="4561.0"/>
        <n v="990.0"/>
        <n v="6910.0"/>
        <n v="3029.0"/>
        <n v="2409.0"/>
        <n v="2161.0"/>
        <n v="3415.0"/>
        <n v="1876.0"/>
        <n v="2535.0"/>
        <n v="3428.0"/>
        <n v="7184.0"/>
        <n v="2783.0"/>
        <n v="5258.0"/>
        <n v="3968.0"/>
        <n v="1561.0"/>
        <n v="9161.0"/>
        <n v="5420.0"/>
        <n v="10149.0"/>
        <n v="4136.0"/>
        <n v="2668.0"/>
        <n v="5146.0"/>
        <n v="6852.0"/>
        <n v="3900.0"/>
        <n v="3299.0"/>
        <n v="2485.0"/>
        <n v="4786.0"/>
        <n v="1644.0"/>
        <n v="9943.0"/>
        <n v="546.0"/>
        <n v="5125.0"/>
        <n v="5627.0"/>
        <n v="2557.0"/>
        <n v="286.0"/>
        <n v="3727.0"/>
        <n v="9172.0"/>
        <n v="736.0"/>
        <n v="4089.0"/>
        <n v="2641.0"/>
        <n v="2067.0"/>
        <n v="4319.0"/>
        <n v="890.0"/>
        <n v="3089.0"/>
        <n v="8974.0"/>
        <n v="7394.0"/>
        <n v="1176.0"/>
        <n v="9192.0"/>
        <n v="5805.0"/>
        <n v="10535.0"/>
        <n v="1687.0"/>
        <n v="2921.0"/>
        <n v="7330.0"/>
        <n v="2219.0"/>
        <n v="1283.0"/>
        <n v="9039.0"/>
        <n v="4447.0"/>
        <n v="5901.0"/>
        <n v="557.0"/>
        <n v="4320.0"/>
        <n v="5638.0"/>
        <n v="1936.0"/>
        <n v="3986.0"/>
        <n v="4613.0"/>
        <n v="1044.0"/>
        <n v="7556.0"/>
        <n v="2293.0"/>
        <n v="3553.0"/>
        <n v="3040.0"/>
        <n v="4623.0"/>
        <n v="1029.0"/>
        <n v="1257.0"/>
        <n v="4059.0"/>
        <n v="11046.0"/>
        <n v="4181.0"/>
        <n v="8243.0"/>
        <n v="3499.0"/>
        <n v="285.0"/>
        <n v="9370.0"/>
        <n v="1013.0"/>
        <n v="794.0"/>
        <n v="5575.0"/>
        <n v="3721.0"/>
        <n v="4152.0"/>
        <n v="1990.0"/>
        <n v="5069.0"/>
        <n v="4130.0"/>
        <n v="11285.0"/>
        <n v="2425.0"/>
        <n v="1277.0"/>
        <n v="6267.0"/>
        <n v="669.0"/>
        <n v="5917.0"/>
        <n v="3315.0"/>
        <n v="5246.0"/>
        <n v="2587.0"/>
        <n v="2215.0"/>
        <n v="8723.0"/>
        <n v="8409.0"/>
        <n v="7509.0"/>
        <n v="3643.0"/>
        <n v="1763.0"/>
        <n v="6016.0"/>
        <n v="8654.0"/>
        <n v="7197.0"/>
        <n v="426.0"/>
        <n v="572.0"/>
        <n v="3326.0"/>
        <n v="6262.0"/>
        <n v="289.0"/>
        <n v="2134.0"/>
        <n v="2695.0"/>
        <n v="5326.0"/>
        <n v="320.0"/>
        <n v="1211.0"/>
        <n v="3810.0"/>
        <n v="9832.0"/>
        <n v="2650.0"/>
        <n v="2644.0"/>
        <n v="1396.0"/>
        <n v="1413.0"/>
        <n v="2972.0"/>
        <n v="2276.0"/>
        <n v="9364.0"/>
        <n v="3341.0"/>
        <n v="9379.0"/>
        <n v="7262.0"/>
        <n v="4565.0"/>
        <n v="1066.0"/>
        <n v="2981.0"/>
        <n v="1191.0"/>
        <n v="14922.0"/>
        <n v="564.0"/>
        <n v="3622.0"/>
        <n v="7873.0"/>
        <n v="1006.0"/>
        <n v="4236.0"/>
        <n v="2802.0"/>
        <n v="1114.0"/>
        <n v="5070.0"/>
        <n v="496.0"/>
        <n v="1980.0"/>
        <n v="231.0"/>
        <n v="4413.0"/>
        <n v="2726.0"/>
        <n v="2715.0"/>
        <n v="8163.0"/>
        <n v="7772.0"/>
        <n v="4784.0"/>
        <n v="1731.0"/>
        <n v="2952.0"/>
        <n v="4326.0"/>
        <n v="4328.0"/>
        <n v="5333.0"/>
        <n v="13678.0"/>
        <n v="2664.0"/>
        <n v="2937.0"/>
        <n v="9106.0"/>
        <n v="2077.0"/>
        <n v="1617.0"/>
        <n v="2534.0"/>
        <n v="7897.0"/>
        <n v="7821.0"/>
        <n v="2031.0"/>
        <n v="10555.0"/>
        <n v="5927.0"/>
        <n v="2939.0"/>
        <n v="850.0"/>
      </sharedItems>
    </cacheField>
    <cacheField name="CTR" numFmtId="0">
      <sharedItems containsSemiMixedTypes="0" containsString="0" containsNumber="1">
        <n v="0.0353"/>
        <n v="0.0385"/>
        <n v="0.0649"/>
        <n v="0.0707"/>
        <n v="0.0489"/>
        <n v="0.041"/>
        <n v="0.0317"/>
        <n v="0.0557"/>
        <n v="0.0303"/>
        <n v="0.0414"/>
        <n v="0.032"/>
        <n v="0.0294"/>
        <n v="0.0145"/>
        <n v="0.0344"/>
        <n v="0.056"/>
        <n v="0.0731"/>
        <n v="0.048"/>
        <n v="0.0929"/>
        <n v="0.0244"/>
        <n v="0.0467"/>
        <n v="0.0675"/>
        <n v="0.0433"/>
        <n v="0.0229"/>
        <n v="0.0455"/>
        <n v="0.0258"/>
        <n v="0.0359"/>
        <n v="0.0404"/>
        <n v="0.0233"/>
        <n v="0.0511"/>
        <n v="0.0674"/>
        <n v="0.0301"/>
        <n v="0.0272"/>
        <n v="0.0685"/>
        <n v="0.0556"/>
        <n v="0.0683"/>
        <n v="0.0409"/>
        <n v="0.0641"/>
        <n v="0.0298"/>
        <n v="0.0493"/>
        <n v="0.027"/>
        <n v="0.0304"/>
        <n v="0.0513"/>
        <n v="0.0374"/>
        <n v="0.0413"/>
        <n v="0.0117"/>
        <n v="0.044"/>
        <n v="0.0313"/>
        <n v="0.024"/>
        <n v="0.0323"/>
        <n v="0.047"/>
        <n v="0.0276"/>
        <n v="0.0268"/>
        <n v="0.0283"/>
        <n v="0.0316"/>
        <n v="0.0334"/>
        <n v="0.0097"/>
        <n v="0.0296"/>
        <n v="0.0306"/>
        <n v="0.0178"/>
        <n v="0.0227"/>
        <n v="0.0415"/>
        <n v="0.0636"/>
        <n v="0.0382"/>
        <n v="0.0203"/>
        <n v="0.0206"/>
        <n v="0.0172"/>
        <n v="0.0277"/>
        <n v="0.0584"/>
        <n v="0.0147"/>
        <n v="0.0241"/>
        <n v="0.0205"/>
        <n v="0.066"/>
        <n v="0.0149"/>
        <n v="0.0478"/>
        <n v="0.0387"/>
        <n v="0.0341"/>
        <n v="0.0278"/>
        <n v="0.0563"/>
        <n v="0.01"/>
        <n v="0.021"/>
        <n v="0.0366"/>
        <n v="0.0132"/>
        <n v="0.0352"/>
        <n v="0.0388"/>
        <n v="0.0542"/>
        <n v="0.0164"/>
        <n v="0.04"/>
        <n v="0.0498"/>
        <n v="0.0221"/>
        <n v="0.0444"/>
        <n v="0.011"/>
        <n v="0.029"/>
        <n v="0.0253"/>
        <n v="0.037"/>
        <n v="0.0457"/>
        <n v="0.0459"/>
        <n v="0.0482"/>
        <n v="0.022"/>
        <n v="0.0499"/>
        <n v="0.043"/>
        <n v="0.0458"/>
        <n v="0.0292"/>
        <n v="0.0228"/>
        <n v="0.0568"/>
        <n v="0.0776"/>
        <n v="0.0401"/>
        <n v="0.023"/>
        <n v="0.0222"/>
        <n v="0.0512"/>
        <n v="0.0754"/>
        <n v="0.0305"/>
        <n v="0.0347"/>
        <n v="0.0104"/>
        <n v="0.0336"/>
        <n v="0.0333"/>
        <n v="0.0237"/>
        <n v="0.0465"/>
        <n v="0.0503"/>
        <n v="0.035"/>
        <n v="0.0346"/>
        <n v="0.0192"/>
        <n v="0.0441"/>
        <n v="0.0163"/>
        <n v="0.0251"/>
        <n v="0.0371"/>
        <n v="0.0431"/>
        <n v="0.0274"/>
        <n v="0.0626"/>
        <n v="0.0363"/>
        <n v="0.0312"/>
        <n v="0.0254"/>
        <n v="0.0332"/>
        <n v="0.0143"/>
        <n v="0.0858"/>
        <n v="0.0213"/>
        <n v="0.0535"/>
        <n v="0.0249"/>
        <n v="0.0148"/>
        <n v="0.0089"/>
        <n v="0.0309"/>
        <n v="0.0287"/>
        <n v="0.0186"/>
        <n v="0.0737"/>
        <n v="0.0204"/>
        <n v="0.051"/>
        <n v="0.0466"/>
        <n v="0.0728"/>
        <n v="0.0384"/>
        <n v="0.0125"/>
        <n v="0.0495"/>
        <n v="0.0592"/>
        <n v="0.0338"/>
        <n v="0.0554"/>
        <n v="0.0595"/>
        <n v="0.0314"/>
        <n v="0.0594"/>
        <n v="0.0602"/>
        <n v="0.0331"/>
        <n v="0.0324"/>
        <n v="0.0182"/>
        <n v="0.0528"/>
        <n v="0.0627"/>
        <n v="0.0578"/>
        <n v="0.0567"/>
        <n v="0.0575"/>
        <n v="0.0263"/>
        <n v="0.0561"/>
        <n v="0.0417"/>
        <n v="0.0717"/>
        <n v="0.0475"/>
        <n v="0.0372"/>
        <n v="0.0552"/>
        <n v="0.0218"/>
        <n v="0.0265"/>
        <n v="0.05"/>
        <n v="0.0439"/>
        <n v="0.0502"/>
        <n v="0.0257"/>
        <n v="0.0533"/>
        <n v="0.0484"/>
        <n v="0.057"/>
        <n v="0.0809"/>
        <n v="0.0207"/>
        <n v="0.0208"/>
        <n v="0.0451"/>
        <n v="0.0562"/>
        <n v="0.0709"/>
        <n v="0.0365"/>
        <n v="0.0438"/>
        <n v="0.0903"/>
        <n v="0.0383"/>
        <n v="0.014"/>
        <n v="0.0311"/>
        <n v="0.0291"/>
        <n v="0.0844"/>
        <n v="0.0397"/>
        <n v="0.0166"/>
        <n v="0.0474"/>
        <n v="0.0848"/>
        <n v="0.0596"/>
        <n v="0.055"/>
        <n v="0.0769"/>
        <n v="0.0402"/>
        <n v="0.025"/>
        <n v="0.0329"/>
        <n v="0.0582"/>
        <n v="0.0184"/>
        <n v="0.036"/>
        <n v="0.0199"/>
        <n v="0.0279"/>
        <n v="0.0179"/>
        <n v="0.0327"/>
        <n v="0.0665"/>
        <n v="0.0248"/>
        <n v="0.034"/>
        <n v="0.0854"/>
        <n v="0.052"/>
        <n v="0.0151"/>
        <n v="0.0543"/>
        <n v="0.0326"/>
        <n v="0.0435"/>
        <n v="0.0609"/>
        <n v="0.0427"/>
        <n v="0.0725"/>
        <n v="0.0408"/>
        <n v="0.0225"/>
        <n v="0.0853"/>
        <n v="0.0555"/>
        <n v="0.0379"/>
        <n v="0.0505"/>
        <n v="0.0262"/>
        <n v="0.054"/>
        <n v="0.0779"/>
        <n v="0.0412"/>
        <n v="0.0671"/>
        <n v="0.0308"/>
        <n v="0.0162"/>
        <n v="0.0424"/>
        <n v="0.0523"/>
        <n v="0.0601"/>
        <n v="0.0518"/>
        <n v="0.0637"/>
        <n v="0.0144"/>
        <n v="0.0247"/>
        <n v="0.0411"/>
        <n v="0.0273"/>
        <n v="0.0677"/>
        <n v="0.0375"/>
        <n v="0.0328"/>
        <n v="0.0215"/>
        <n v="0.0432"/>
        <n v="0.0842"/>
        <n v="0.0662"/>
        <n v="0.0644"/>
        <n v="0.031"/>
        <n v="0.0369"/>
        <n v="0.0259"/>
        <n v="0.0234"/>
        <n v="0.058"/>
        <n v="0.0723"/>
        <n v="0.0159"/>
        <n v="0.0508"/>
        <n v="0.0183"/>
        <n v="0.0488"/>
        <n v="0.0139"/>
        <n v="0.0264"/>
        <n v="0.0579"/>
        <n v="0.0544"/>
        <n v="0.0288"/>
        <n v="0.0187"/>
        <n v="0.0281"/>
        <n v="0.073"/>
        <n v="0.0201"/>
        <n v="0.03"/>
        <n v="0.0643"/>
        <n v="0.0246"/>
        <n v="0.038"/>
        <n v="0.0648"/>
        <n v="0.0245"/>
        <n v="0.0449"/>
        <n v="0.0113"/>
        <n v="0.0784"/>
        <n v="0.0745"/>
        <n v="0.0181"/>
        <n v="0.0539"/>
        <n v="0.0315"/>
        <n v="0.0242"/>
        <n v="0.0605"/>
        <n v="0.045"/>
        <n v="0.0337"/>
        <n v="0.0109"/>
        <n v="0.0127"/>
        <n v="0.0157"/>
        <n v="0.0095"/>
        <n v="0.0361"/>
        <n v="0.0115"/>
        <n v="0.0616"/>
        <n v="0.0715"/>
        <n v="0.0231"/>
        <n v="0.0342"/>
        <n v="0.049"/>
        <n v="0.026"/>
        <n v="0.0118"/>
        <n v="0.0571"/>
        <n v="0.0376"/>
        <n v="0.0119"/>
        <n v="0.0198"/>
        <n v="0.067"/>
        <n v="0.0407"/>
        <n v="0.0486"/>
        <n v="0.0456"/>
        <n v="0.0573"/>
        <n v="0.0497"/>
        <n v="0.0681"/>
        <n v="0.0619"/>
        <n v="0.0768"/>
        <n v="0.0469"/>
        <n v="0.0454"/>
        <n v="0.0293"/>
        <n v="0.0734"/>
        <n v="0.0134"/>
        <n v="0.0284"/>
        <n v="0.0368"/>
        <n v="0.0226"/>
        <n v="0.0289"/>
        <n v="0.0096"/>
        <n v="0.0232"/>
        <n v="0.0565"/>
        <n v="0.0587"/>
        <n v="0.0364"/>
        <n v="0.0377"/>
        <n v="0.0492"/>
        <n v="0.069"/>
        <n v="0.0519"/>
        <n v="0.0357"/>
        <n v="0.0423"/>
        <n v="0.0442"/>
        <n v="0.0124"/>
        <n v="0.0481"/>
        <n v="0.0658"/>
        <n v="0.0136"/>
        <n v="0.0545"/>
        <n v="0.0599"/>
        <n v="0.0406"/>
        <n v="0.0405"/>
        <n v="0.0517"/>
        <n v="0.0175"/>
        <n v="0.0212"/>
        <n v="0.0514"/>
        <n v="0.0603"/>
        <n v="0.0868"/>
        <n v="0.0255"/>
        <n v="0.0446"/>
        <n v="0.0712"/>
        <n v="0.0569"/>
        <n v="0.0209"/>
        <n v="0.0335"/>
        <n v="0.0131"/>
        <n v="0.0302"/>
        <n v="0.0386"/>
        <n v="0.0261"/>
        <n v="0.0559"/>
        <n v="0.0356"/>
        <n v="0.019"/>
        <n v="0.0676"/>
        <n v="0.0524"/>
        <n v="0.0515"/>
        <n v="0.0395"/>
        <n v="0.0863"/>
        <n v="0.0461"/>
        <n v="0.0704"/>
        <n v="0.0223"/>
        <n v="0.0445"/>
        <n v="0.0297"/>
        <n v="0.074"/>
        <n v="0.0373"/>
        <n v="0.0583"/>
        <n v="0.0529"/>
        <n v="0.0656"/>
        <n v="0.0169"/>
        <n v="0.0531"/>
        <n v="0.0491"/>
        <n v="0.0638"/>
        <n v="0.0464"/>
        <n v="0.0267"/>
        <n v="0.0167"/>
        <n v="0.0153"/>
        <n v="0.0177"/>
        <n v="0.0362"/>
        <n v="0.0549"/>
        <n v="0.0436"/>
        <n v="0.0252"/>
        <n v="0.0551"/>
        <n v="0.033"/>
        <n v="0.053"/>
        <n v="0.0426"/>
        <n v="0.0392"/>
        <n v="0.0526"/>
        <n v="0.0224"/>
        <n v="0.0193"/>
        <n v="0.0307"/>
        <n v="0.0196"/>
        <n v="0.0525"/>
        <n v="0.0614"/>
        <n v="0.0485"/>
        <n v="0.0839"/>
        <n v="0.0271"/>
        <n v="0.017"/>
        <n v="0.0625"/>
        <n v="0.0818"/>
        <n v="0.0168"/>
        <n v="0.0295"/>
        <n v="0.0299"/>
        <n v="0.0126"/>
        <n v="0.02"/>
        <n v="0.0698"/>
        <n v="0.0185"/>
        <n v="0.0532"/>
        <n v="0.0828"/>
        <n v="0.0403"/>
        <n v="0.0116"/>
        <n v="0.0421"/>
        <n v="0.0339"/>
        <n v="0.0358"/>
        <n v="0.0389"/>
        <n v="0.0631"/>
        <n v="0.013"/>
        <n v="0.0604"/>
        <n v="0.0282"/>
        <n v="0.0322"/>
        <n v="0.0105"/>
        <n v="0.089"/>
        <n v="0.042"/>
        <n v="0.0325"/>
        <n v="0.0833"/>
        <n v="0.0422"/>
        <n v="0.0574"/>
        <n v="0.0791"/>
        <n v="0.0611"/>
        <n v="0.0393"/>
        <n v="0.0202"/>
        <n v="0.06"/>
        <n v="0.0418"/>
        <n v="0.0102"/>
        <n v="0.0607"/>
        <n v="0.0738"/>
        <n v="0.0479"/>
        <n v="0.0121"/>
        <n v="0.0443"/>
        <n v="0.077"/>
        <n v="0.0269"/>
        <n v="0.0243"/>
        <n v="0.0577"/>
        <n v="0.0678"/>
        <n v="0.0112"/>
        <n v="0.0128"/>
        <n v="0.0593"/>
        <n v="0.0266"/>
        <n v="0.0541"/>
        <n v="0.0669"/>
        <n v="0.088"/>
        <n v="0.0396"/>
        <n v="0.0589"/>
        <n v="0.0463"/>
        <n v="0.0219"/>
        <n v="0.0628"/>
        <n v="0.0437"/>
        <n v="0.0743"/>
        <n v="0.0836"/>
        <n v="0.0764"/>
        <n v="0.0558"/>
        <n v="0.0416"/>
        <n v="0.0399"/>
        <n v="0.0919"/>
        <n v="0.0506"/>
        <n v="0.018"/>
        <n v="0.0452"/>
        <n v="0.0752"/>
        <n v="0.0494"/>
        <n v="0.0239"/>
        <n v="0.0778"/>
        <n v="0.0476"/>
        <n v="0.0367"/>
        <n v="0.0487"/>
        <n v="0.0176"/>
        <n v="0.0135"/>
        <n v="0.0468"/>
        <n v="0.0689"/>
        <n v="0.0214"/>
        <n v="0.0553"/>
        <n v="0.0615"/>
        <n v="0.059"/>
        <n v="0.0808"/>
        <n v="0.0534"/>
        <n v="0.0477"/>
        <n v="0.0719"/>
        <n v="0.0319"/>
        <n v="0.0746"/>
        <n v="0.0154"/>
        <n v="0.0348"/>
        <n v="0.0892"/>
        <n v="0.0189"/>
        <n v="0.0586"/>
        <n v="0.0447"/>
        <n v="0.0391"/>
        <n v="0.0188"/>
        <n v="0.0624"/>
        <n v="0.0448"/>
        <n v="0.0647"/>
        <n v="0.062"/>
        <n v="0.0795"/>
        <n v="0.0137"/>
        <n v="0.0398"/>
        <n v="0.009"/>
        <n v="0.0682"/>
        <n v="0.0733"/>
        <n v="0.0092"/>
        <n v="0.0238"/>
        <n v="0.0652"/>
        <n v="0.0826"/>
        <n v="0.0345"/>
        <n v="0.0819"/>
        <n v="0.0142"/>
        <n v="0.0378"/>
        <n v="0.0761"/>
        <n v="0.0394"/>
        <n v="0.0103"/>
        <n v="0.028"/>
        <n v="0.0632"/>
        <n v="0.015"/>
        <n v="0.0194"/>
        <n v="0.0191"/>
        <n v="0.0634"/>
        <n v="0.0547"/>
        <n v="0.0509"/>
        <n v="0.0572"/>
        <n v="0.0133"/>
        <n v="0.0285"/>
        <n v="0.0576"/>
        <n v="0.0742"/>
        <n v="0.0355"/>
        <n v="0.0161"/>
        <n v="0.0714"/>
        <n v="0.0318"/>
        <n v="0.0473"/>
        <n v="0.0349"/>
        <n v="0.0496"/>
        <n v="0.0694"/>
        <n v="0.0419"/>
        <n v="0.0122"/>
        <n v="0.0098"/>
        <n v="0.068"/>
        <n v="0.0548"/>
        <n v="0.0566"/>
        <n v="0.0256"/>
        <n v="0.0351"/>
        <n v="0.0197"/>
        <n v="0.0774"/>
        <n v="0.0653"/>
        <n v="0.0146"/>
        <n v="0.0099"/>
        <n v="0.063"/>
        <n v="0.0797"/>
        <n v="0.0766"/>
        <n v="0.0673"/>
        <n v="0.0564"/>
        <n v="0.0286"/>
        <n v="0.0354"/>
        <n v="0.0872"/>
        <n v="0.016"/>
        <n v="0.082"/>
        <n v="0.0106"/>
        <n v="0.0874"/>
        <n v="0.0174"/>
        <n v="0.07"/>
        <n v="0.0216"/>
        <n v="0.0211"/>
        <n v="0.0606"/>
        <n v="0.0691"/>
        <n v="0.0321"/>
        <n v="0.0217"/>
        <n v="0.0235"/>
        <n v="0.0425"/>
        <n v="0.0846"/>
        <n v="0.0666"/>
        <n v="0.0381"/>
        <n v="0.039"/>
        <n v="0.0536"/>
        <n v="0.0537"/>
        <n v="0.0613"/>
        <n v="0.0654"/>
        <n v="0.0101"/>
        <n v="0.0612"/>
        <n v="0.0645"/>
        <n v="0.0655"/>
        <n v="0.0663"/>
        <n v="0.064"/>
        <n v="0.0956"/>
        <n v="0.0597"/>
        <n v="0.046"/>
        <n v="0.0129"/>
        <n v="0.0623"/>
        <n v="0.0275"/>
        <n v="0.0507"/>
        <n v="0.0639"/>
        <n v="0.0138"/>
        <n v="0.0805"/>
        <n v="0.0428"/>
        <n v="0.0699"/>
        <n v="0.0621"/>
        <n v="0.0581"/>
        <n v="0.0617"/>
        <n v="0.0924"/>
        <n v="0.0343"/>
        <n v="0.0504"/>
        <n v="0.0822"/>
        <n v="0.0453"/>
        <n v="0.0759"/>
        <n v="0.0093"/>
        <n v="0.0687"/>
        <n v="0.0114"/>
        <n v="0.0898"/>
        <n v="0.0591"/>
        <n v="0.0585"/>
      </sharedItems>
    </cacheField>
    <cacheField name="CPC" numFmtId="0">
      <sharedItems containsSemiMixedTypes="0" containsString="0" containsNumber="1">
        <n v="1.26"/>
        <n v="1.18"/>
        <n v="0.85"/>
        <n v="1.32"/>
        <n v="1.93"/>
        <n v="0.37"/>
        <n v="0.42"/>
        <n v="0.66"/>
        <n v="0.59"/>
        <n v="1.21"/>
        <n v="1.56"/>
        <n v="1.72"/>
        <n v="0.57"/>
        <n v="2.68"/>
        <n v="0.68"/>
        <n v="1.11"/>
        <n v="0.35"/>
        <n v="0.97"/>
        <n v="2.1"/>
        <n v="1.15"/>
        <n v="0.9"/>
        <n v="1.8"/>
        <n v="0.53"/>
        <n v="3.61"/>
        <n v="2.06"/>
        <n v="1.82"/>
        <n v="1.27"/>
        <n v="1.23"/>
        <n v="2.97"/>
        <n v="1.0"/>
        <n v="2.22"/>
        <n v="0.5"/>
        <n v="0.71"/>
        <n v="1.84"/>
        <n v="1.94"/>
        <n v="1.6"/>
        <n v="1.49"/>
        <n v="0.99"/>
        <n v="2.24"/>
        <n v="0.79"/>
        <n v="1.53"/>
        <n v="1.13"/>
        <n v="2.63"/>
        <n v="0.8"/>
        <n v="2.19"/>
        <n v="0.83"/>
        <n v="1.39"/>
        <n v="2.96"/>
        <n v="1.99"/>
        <n v="1.81"/>
        <n v="2.34"/>
        <n v="0.51"/>
        <n v="0.7"/>
        <n v="1.96"/>
        <n v="1.83"/>
        <n v="1.08"/>
        <n v="0.93"/>
        <n v="0.94"/>
        <n v="1.16"/>
        <n v="0.91"/>
        <n v="3.29"/>
        <n v="3.08"/>
        <n v="2.33"/>
        <n v="1.61"/>
        <n v="2.56"/>
        <n v="1.7"/>
        <n v="0.62"/>
        <n v="0.65"/>
        <n v="2.46"/>
        <n v="0.52"/>
        <n v="3.49"/>
        <n v="1.77"/>
        <n v="0.31"/>
        <n v="1.12"/>
        <n v="2.37"/>
        <n v="1.76"/>
        <n v="0.72"/>
        <n v="0.36"/>
        <n v="0.84"/>
        <n v="2.26"/>
        <n v="0.74"/>
        <n v="1.29"/>
        <n v="1.66"/>
        <n v="0.96"/>
        <n v="1.41"/>
        <n v="0.47"/>
        <n v="1.85"/>
        <n v="1.55"/>
        <n v="1.71"/>
        <n v="0.95"/>
        <n v="2.38"/>
        <n v="2.88"/>
        <n v="1.54"/>
        <n v="1.37"/>
        <n v="2.64"/>
        <n v="3.37"/>
        <n v="1.9"/>
        <n v="1.05"/>
        <n v="0.73"/>
        <n v="1.04"/>
        <n v="1.01"/>
        <n v="2.98"/>
        <n v="0.45"/>
        <n v="1.73"/>
        <n v="2.01"/>
        <n v="1.35"/>
        <n v="2.7"/>
        <n v="3.32"/>
        <n v="0.75"/>
        <n v="3.14"/>
        <n v="1.59"/>
        <n v="1.97"/>
        <n v="3.46"/>
        <n v="0.44"/>
        <n v="0.98"/>
        <n v="1.17"/>
        <n v="0.76"/>
        <n v="1.06"/>
        <n v="1.1"/>
        <n v="3.11"/>
        <n v="1.58"/>
        <n v="1.25"/>
        <n v="1.69"/>
        <n v="2.12"/>
        <n v="1.22"/>
        <n v="2.0"/>
        <n v="0.43"/>
        <n v="2.45"/>
        <n v="1.07"/>
        <n v="0.88"/>
        <n v="2.4"/>
        <n v="3.03"/>
        <n v="1.02"/>
        <n v="2.08"/>
        <n v="1.68"/>
        <n v="1.75"/>
        <n v="2.69"/>
        <n v="0.46"/>
        <n v="1.47"/>
        <n v="3.17"/>
        <n v="2.27"/>
        <n v="1.57"/>
        <n v="2.75"/>
        <n v="0.64"/>
        <n v="0.87"/>
        <n v="1.44"/>
        <n v="1.63"/>
        <n v="1.42"/>
        <n v="0.6"/>
        <n v="2.17"/>
        <n v="0.32"/>
        <n v="1.52"/>
        <n v="1.24"/>
        <n v="1.4"/>
        <n v="3.38"/>
        <n v="2.23"/>
        <n v="1.46"/>
        <n v="2.29"/>
        <n v="1.31"/>
        <n v="2.41"/>
        <n v="2.87"/>
        <n v="0.61"/>
        <n v="2.58"/>
        <n v="0.81"/>
        <n v="1.48"/>
        <n v="1.51"/>
        <n v="0.38"/>
        <n v="0.28"/>
        <n v="3.6"/>
        <n v="1.36"/>
        <n v="2.95"/>
        <n v="1.91"/>
        <n v="1.43"/>
        <n v="1.3"/>
        <n v="1.64"/>
        <n v="2.18"/>
        <n v="1.03"/>
        <n v="1.2"/>
        <n v="3.1"/>
        <n v="2.48"/>
        <n v="0.49"/>
        <n v="2.15"/>
        <n v="3.25"/>
        <n v="3.45"/>
        <n v="0.78"/>
        <n v="3.23"/>
        <n v="2.84"/>
        <n v="1.78"/>
        <n v="0.56"/>
        <n v="0.86"/>
        <n v="1.79"/>
        <n v="1.34"/>
        <n v="1.28"/>
        <n v="2.03"/>
        <n v="1.95"/>
        <n v="2.25"/>
        <n v="1.65"/>
        <n v="1.33"/>
        <n v="0.69"/>
        <n v="0.58"/>
        <n v="1.67"/>
        <n v="2.71"/>
        <n v="1.09"/>
        <n v="2.79"/>
        <n v="1.98"/>
        <n v="0.82"/>
        <n v="0.77"/>
        <n v="2.55"/>
        <n v="1.86"/>
        <n v="2.13"/>
        <n v="2.9"/>
        <n v="2.28"/>
        <n v="3.02"/>
        <n v="3.36"/>
        <n v="2.11"/>
        <n v="3.06"/>
        <n v="2.42"/>
        <n v="2.6"/>
        <n v="2.73"/>
        <n v="3.93"/>
        <n v="2.57"/>
        <n v="2.65"/>
        <n v="1.14"/>
        <n v="3.13"/>
        <n v="0.41"/>
        <n v="2.02"/>
        <n v="2.5"/>
        <n v="2.39"/>
        <n v="2.59"/>
        <n v="2.05"/>
        <n v="3.2"/>
        <n v="3.66"/>
        <n v="3.15"/>
        <n v="2.35"/>
        <n v="3.39"/>
        <n v="0.92"/>
        <n v="1.45"/>
        <n v="2.16"/>
        <n v="2.49"/>
        <n v="0.48"/>
        <n v="3.4"/>
        <n v="3.16"/>
        <n v="0.54"/>
        <n v="3.12"/>
        <n v="2.78"/>
        <n v="3.95"/>
        <n v="2.43"/>
        <n v="1.74"/>
        <n v="3.54"/>
        <n v="2.09"/>
        <n v="2.67"/>
        <n v="0.63"/>
        <n v="1.38"/>
        <n v="1.89"/>
        <n v="2.07"/>
        <n v="2.14"/>
        <n v="0.3"/>
        <n v="2.83"/>
        <n v="2.86"/>
        <n v="2.93"/>
        <n v="1.62"/>
        <n v="0.39"/>
        <n v="1.5"/>
        <n v="2.36"/>
        <n v="3.26"/>
        <n v="2.92"/>
        <n v="0.4"/>
        <n v="3.09"/>
        <n v="2.2"/>
        <n v="2.94"/>
        <n v="0.55"/>
        <n v="0.67"/>
        <n v="2.31"/>
        <n v="3.3"/>
        <n v="0.34"/>
        <n v="3.41"/>
        <n v="2.54"/>
        <n v="3.76"/>
        <n v="2.76"/>
        <n v="3.83"/>
        <n v="3.47"/>
        <n v="2.61"/>
        <n v="2.72"/>
        <n v="3.53"/>
        <n v="2.21"/>
        <n v="3.35"/>
        <n v="3.0"/>
        <n v="0.33"/>
        <n v="2.04"/>
        <n v="0.89"/>
        <n v="3.44"/>
        <n v="3.07"/>
        <n v="2.81"/>
        <n v="2.99"/>
        <n v="3.77"/>
        <n v="2.62"/>
        <n v="3.58"/>
        <n v="3.31"/>
        <n v="3.55"/>
        <n v="3.05"/>
        <n v="1.19"/>
        <n v="3.73"/>
        <n v="3.67"/>
        <n v="2.52"/>
        <n v="2.85"/>
        <n v="3.19"/>
        <n v="2.66"/>
        <n v="3.68"/>
        <n v="3.74"/>
        <n v="1.87"/>
        <n v="2.32"/>
        <n v="3.04"/>
        <n v="2.51"/>
        <n v="1.92"/>
        <n v="3.28"/>
        <n v="3.59"/>
        <n v="2.89"/>
        <n v="2.82"/>
        <n v="2.3"/>
        <n v="3.56"/>
        <n v="0.29"/>
        <n v="2.8"/>
        <n v="1.88"/>
        <n v="2.77"/>
        <n v="3.64"/>
        <n v="2.44"/>
        <n v="3.24"/>
      </sharedItems>
    </cacheField>
    <cacheField name="ad_spend" numFmtId="0">
      <sharedItems containsSemiMixedTypes="0" containsString="0" containsNumber="1">
        <n v="2662.38"/>
        <n v="6159.6"/>
        <n v="5092.35"/>
        <n v="7834.2"/>
        <n v="8663.77"/>
        <n v="267.88"/>
        <n v="1574.16"/>
        <n v="3416.16"/>
        <n v="552.83"/>
        <n v="438.02"/>
        <n v="4904.64"/>
        <n v="8758.24"/>
        <n v="1218.66"/>
        <n v="10736.08"/>
        <n v="1435.48"/>
        <n v="7822.17"/>
        <n v="3098.9"/>
        <n v="3498.79"/>
        <n v="9630.6"/>
        <n v="1857.25"/>
        <n v="5300.1"/>
        <n v="11153.7"/>
        <n v="14657.4"/>
        <n v="2374.93"/>
        <n v="32656.06"/>
        <n v="10466.86"/>
        <n v="6885.06"/>
        <n v="2534.92"/>
        <n v="5477.19"/>
        <n v="2488.88"/>
        <n v="2361.15"/>
        <n v="5837.0"/>
        <n v="2133.42"/>
        <n v="4560.0"/>
        <n v="2860.59"/>
        <n v="17816.72"/>
        <n v="791.3"/>
        <n v="1408.44"/>
        <n v="9968.0"/>
        <n v="2604.52"/>
        <n v="5280.66"/>
        <n v="3823.68"/>
        <n v="3673.5"/>
        <n v="10407.06"/>
        <n v="4689.5"/>
        <n v="9465.37"/>
        <n v="1266.54"/>
        <n v="752.8"/>
        <n v="4750.11"/>
        <n v="2753.94"/>
        <n v="3251.21"/>
        <n v="22259.2"/>
        <n v="891.52"/>
        <n v="765.63"/>
        <n v="1661.4"/>
        <n v="2232.27"/>
        <n v="4217.5"/>
        <n v="1187.76"/>
        <n v="3347.76"/>
        <n v="3797.25"/>
        <n v="4809.24"/>
        <n v="1080.67"/>
        <n v="2789.07"/>
        <n v="3649.08"/>
        <n v="3496.24"/>
        <n v="7620.34"/>
        <n v="4323.06"/>
        <n v="1762.67"/>
        <n v="10662.96"/>
        <n v="3651.11"/>
        <n v="406.8"/>
        <n v="9292.8"/>
        <n v="1357.23"/>
        <n v="7093.76"/>
        <n v="3150.1"/>
        <n v="3128.52"/>
        <n v="2570.1"/>
        <n v="32235.84"/>
        <n v="685.88"/>
        <n v="19550.98"/>
        <n v="7164.96"/>
        <n v="840.72"/>
        <n v="5321.12"/>
        <n v="11847.63"/>
        <n v="2770.24"/>
        <n v="707.76"/>
        <n v="2207.16"/>
        <n v="4546.08"/>
        <n v="2049.27"/>
        <n v="3301.2"/>
        <n v="1633.46"/>
        <n v="1724.38"/>
        <n v="3734.78"/>
        <n v="2720.61"/>
        <n v="717.12"/>
        <n v="16523.82"/>
        <n v="7782.72"/>
        <n v="1584.84"/>
        <n v="1702.81"/>
        <n v="3141.3"/>
        <n v="5584.65"/>
        <n v="190.08"/>
        <n v="699.4"/>
        <n v="836.19"/>
        <n v="992.75"/>
        <n v="7818.3"/>
        <n v="7191.36"/>
        <n v="5884.34"/>
        <n v="17101.44"/>
        <n v="9409.16"/>
        <n v="20309.52"/>
        <n v="9510.14"/>
        <n v="1882.9"/>
        <n v="2488.29"/>
        <n v="6003.9"/>
        <n v="16089.84"/>
        <n v="4455.92"/>
        <n v="1862.19"/>
        <n v="8267.35"/>
        <n v="4254.64"/>
        <n v="5938.35"/>
        <n v="2625.42"/>
        <n v="1577.62"/>
        <n v="3736.95"/>
        <n v="6734.92"/>
        <n v="14706.3"/>
        <n v="832.95"/>
        <n v="9999.4"/>
        <n v="12630.84"/>
        <n v="7412.85"/>
        <n v="11637.0"/>
        <n v="2231.04"/>
        <n v="981.0"/>
        <n v="24859.38"/>
        <n v="7566.96"/>
        <n v="3863.7"/>
        <n v="7941.07"/>
        <n v="12466.38"/>
        <n v="4913.0"/>
        <n v="1465.64"/>
        <n v="901.69"/>
        <n v="524.3"/>
        <n v="3872.7"/>
        <n v="282.72"/>
        <n v="523.25"/>
        <n v="4716.36"/>
        <n v="1249.5"/>
        <n v="2941.96"/>
        <n v="4333.76"/>
        <n v="17778.42"/>
        <n v="1461.74"/>
        <n v="2559.7"/>
        <n v="6690.1"/>
        <n v="6201.34"/>
        <n v="3417.54"/>
        <n v="2175.0"/>
        <n v="5490.5"/>
        <n v="1688.31"/>
        <n v="10907.4"/>
        <n v="4250.35"/>
        <n v="4636.0"/>
        <n v="496.17"/>
        <n v="2128.0"/>
        <n v="2105.71"/>
        <n v="2236.65"/>
        <n v="7793.45"/>
        <n v="1591.09"/>
        <n v="6817.36"/>
        <n v="3190.6"/>
        <n v="11820.0"/>
        <n v="13635.0"/>
        <n v="4435.0"/>
        <n v="21099.05"/>
        <n v="3131.4"/>
        <n v="1293.76"/>
        <n v="17664.99"/>
        <n v="12353.6"/>
        <n v="3165.36"/>
        <n v="12589.92"/>
        <n v="624.0"/>
        <n v="11249.0"/>
        <n v="10949.04"/>
        <n v="773.75"/>
        <n v="15031.72"/>
        <n v="3921.96"/>
        <n v="4412.94"/>
        <n v="5319.26"/>
        <n v="4757.92"/>
        <n v="631.44"/>
        <n v="1482.0"/>
        <n v="6962.4"/>
        <n v="3617.28"/>
        <n v="2751.57"/>
        <n v="9280.27"/>
        <n v="133.34"/>
        <n v="8202.92"/>
        <n v="12460.25"/>
        <n v="5838.08"/>
        <n v="10366.2"/>
        <n v="3296.88"/>
        <n v="6138.3"/>
        <n v="2360.31"/>
        <n v="10800.0"/>
        <n v="13421.42"/>
        <n v="3446.52"/>
        <n v="13024.17"/>
        <n v="1668.5"/>
        <n v="3747.6"/>
        <n v="7471.69"/>
        <n v="4086.11"/>
        <n v="5936.16"/>
        <n v="2338.88"/>
        <n v="2546.34"/>
        <n v="924.16"/>
        <n v="5024.48"/>
        <n v="3274.6"/>
        <n v="682.76"/>
        <n v="8030.23"/>
        <n v="2230.88"/>
        <n v="1147.29"/>
        <n v="3271.13"/>
        <n v="540.08"/>
        <n v="1235.33"/>
        <n v="425.5"/>
        <n v="3815.51"/>
        <n v="3031.78"/>
        <n v="2161.32"/>
        <n v="2849.91"/>
        <n v="3424.54"/>
        <n v="3722.94"/>
        <n v="16849.98"/>
        <n v="2185.26"/>
        <n v="6124.44"/>
        <n v="6237.0"/>
        <n v="7628.63"/>
        <n v="2008.36"/>
        <n v="4498.29"/>
        <n v="472.34"/>
        <n v="8001.9"/>
        <n v="841.96"/>
        <n v="14202.0"/>
        <n v="1410.64"/>
        <n v="3478.88"/>
        <n v="3064.93"/>
        <n v="433.1"/>
        <n v="2060.0"/>
        <n v="8585.38"/>
        <n v="6389.7"/>
        <n v="5178.84"/>
        <n v="6817.5"/>
        <n v="5764.5"/>
        <n v="7338.24"/>
        <n v="5072.64"/>
        <n v="1426.77"/>
        <n v="6977.52"/>
        <n v="7806.37"/>
        <n v="2580.16"/>
        <n v="2991.6"/>
        <n v="2992.6"/>
        <n v="7752.28"/>
        <n v="3903.02"/>
        <n v="9792.32"/>
        <n v="7032.68"/>
        <n v="966.64"/>
        <n v="8006.04"/>
        <n v="1393.8"/>
        <n v="3513.64"/>
        <n v="4354.02"/>
        <n v="1638.73"/>
        <n v="11060.7"/>
        <n v="3848.88"/>
        <n v="1116.0"/>
        <n v="20450.7"/>
        <n v="11422.8"/>
        <n v="6063.08"/>
        <n v="12564.86"/>
        <n v="10009.28"/>
        <n v="17511.75"/>
        <n v="817.53"/>
        <n v="898.66"/>
        <n v="21996.65"/>
        <n v="1218.4"/>
        <n v="3286.98"/>
        <n v="27855.75"/>
        <n v="5423.4"/>
        <n v="13094.58"/>
        <n v="2223.78"/>
        <n v="14680.35"/>
        <n v="344.4"/>
        <n v="11450.88"/>
        <n v="5802.03"/>
        <n v="18980.14"/>
        <n v="4206.04"/>
        <n v="4676.31"/>
        <n v="974.16"/>
        <n v="5049.82"/>
        <n v="5397.84"/>
        <n v="11854.24"/>
        <n v="3888.43"/>
        <n v="7538.3"/>
        <n v="4442.02"/>
        <n v="1759.56"/>
        <n v="17359.27"/>
        <n v="562.06"/>
        <n v="2294.08"/>
        <n v="1553.14"/>
        <n v="404.67"/>
        <n v="889.2"/>
        <n v="3345.92"/>
        <n v="8229.62"/>
        <n v="5145.0"/>
        <n v="2710.5"/>
        <n v="4415.24"/>
        <n v="15947.2"/>
        <n v="4665.5"/>
        <n v="1440.45"/>
        <n v="5020.99"/>
        <n v="4945.5"/>
        <n v="3046.12"/>
        <n v="2984.85"/>
        <n v="25302.2"/>
        <n v="4232.32"/>
        <n v="3784.95"/>
        <n v="4451.45"/>
        <n v="3507.1"/>
        <n v="5023.8"/>
        <n v="11562.28"/>
        <n v="1960.31"/>
        <n v="10957.12"/>
        <n v="5657.82"/>
        <n v="6923.75"/>
        <n v="2336.31"/>
        <n v="4095.75"/>
        <n v="1640.13"/>
        <n v="10282.7"/>
        <n v="2988.09"/>
        <n v="2351.7"/>
        <n v="8041.0"/>
        <n v="8091.76"/>
        <n v="4824.44"/>
        <n v="6232.98"/>
        <n v="4112.89"/>
        <n v="2533.78"/>
        <n v="2146.2"/>
        <n v="1589.24"/>
        <n v="4975.02"/>
        <n v="1811.04"/>
        <n v="7365.02"/>
        <n v="13093.06"/>
        <n v="3521.0"/>
        <n v="919.8"/>
        <n v="17647.92"/>
        <n v="9128.22"/>
        <n v="15623.15"/>
        <n v="14002.28"/>
        <n v="3967.2"/>
        <n v="6811.35"/>
        <n v="943.77"/>
        <n v="3313.56"/>
        <n v="6473.67"/>
        <n v="1444.56"/>
        <n v="3290.93"/>
        <n v="3671.2"/>
        <n v="12378.73"/>
        <n v="3686.0"/>
        <n v="639.1"/>
        <n v="2353.04"/>
        <n v="1025.69"/>
        <n v="12030.48"/>
        <n v="7009.7"/>
        <n v="3294.72"/>
        <n v="2627.0"/>
        <n v="3333.2"/>
        <n v="273.46"/>
        <n v="694.76"/>
        <n v="972.44"/>
        <n v="11857.2"/>
        <n v="3707.55"/>
        <n v="4418.3"/>
        <n v="6244.8"/>
        <n v="779.19"/>
        <n v="4318.51"/>
        <n v="2065.45"/>
        <n v="1570.8"/>
        <n v="955.59"/>
        <n v="9899.12"/>
        <n v="5302.76"/>
        <n v="444.96"/>
        <n v="11514.44"/>
        <n v="6821.25"/>
        <n v="2469.6"/>
        <n v="13317.62"/>
        <n v="6986.16"/>
        <n v="649.64"/>
        <n v="7601.97"/>
        <n v="12664.47"/>
        <n v="5744.25"/>
        <n v="16416.54"/>
        <n v="14218.7"/>
        <n v="4519.43"/>
        <n v="10972.88"/>
        <n v="8551.44"/>
        <n v="4591.92"/>
        <n v="164.98"/>
        <n v="10983.74"/>
        <n v="7888.89"/>
        <n v="26221.02"/>
        <n v="7334.88"/>
        <n v="9598.39"/>
        <n v="20275.6"/>
        <n v="20673.59"/>
        <n v="5396.86"/>
        <n v="3515.94"/>
        <n v="4306.8"/>
        <n v="907.29"/>
        <n v="1179.64"/>
        <n v="130.02"/>
        <n v="1439.9"/>
        <n v="7116.27"/>
        <n v="441.0"/>
        <n v="9153.6"/>
        <n v="2961.09"/>
        <n v="1742.27"/>
        <n v="11142.18"/>
        <n v="10995.6"/>
        <n v="8223.6"/>
        <n v="4279.6"/>
        <n v="2278.53"/>
        <n v="1881.76"/>
        <n v="4212.01"/>
        <n v="2489.52"/>
        <n v="17091.54"/>
        <n v="2253.12"/>
        <n v="4422.6"/>
        <n v="469.68"/>
        <n v="4149.15"/>
        <n v="9885.2"/>
        <n v="4592.17"/>
        <n v="1850.64"/>
        <n v="6464.25"/>
        <n v="11389.14"/>
        <n v="13049.4"/>
        <n v="12030.17"/>
        <n v="8861.44"/>
        <n v="12971.75"/>
        <n v="8632.08"/>
        <n v="18150.87"/>
        <n v="3759.3"/>
        <n v="4595.69"/>
        <n v="12602.8"/>
        <n v="4602.4"/>
        <n v="16028.7"/>
        <n v="2430.12"/>
        <n v="316.92"/>
        <n v="1890.81"/>
        <n v="853.0"/>
        <n v="11137.42"/>
        <n v="6506.5"/>
        <n v="5113.92"/>
        <n v="2271.51"/>
        <n v="3727.18"/>
        <n v="4523.7"/>
        <n v="19452.5"/>
        <n v="1622.85"/>
        <n v="289.14"/>
        <n v="10277.0"/>
        <n v="1007.51"/>
        <n v="5967.54"/>
        <n v="1611.95"/>
        <n v="2291.9"/>
        <n v="1744.0"/>
        <n v="1839.6"/>
        <n v="2896.51"/>
        <n v="2041.2"/>
        <n v="21667.2"/>
        <n v="930.24"/>
        <n v="9838.08"/>
        <n v="2181.36"/>
        <n v="5941.5"/>
        <n v="26127.94"/>
        <n v="19123.65"/>
        <n v="416.0"/>
        <n v="8852.71"/>
        <n v="5099.64"/>
        <n v="1461.24"/>
        <n v="1660.05"/>
        <n v="440.3"/>
        <n v="5955.74"/>
        <n v="5539.56"/>
        <n v="9329.94"/>
        <n v="6097.6"/>
        <n v="16316.05"/>
        <n v="7133.4"/>
        <n v="4157.4"/>
        <n v="2125.97"/>
        <n v="16889.48"/>
        <n v="8917.35"/>
        <n v="189.28"/>
        <n v="4355.28"/>
        <n v="24113.08"/>
        <n v="466.57"/>
        <n v="7805.07"/>
        <n v="12816.6"/>
        <n v="5678.2"/>
        <n v="11485.32"/>
        <n v="27966.96"/>
        <n v="9628.14"/>
        <n v="1766.44"/>
        <n v="1182.34"/>
        <n v="13734.0"/>
        <n v="2464.68"/>
        <n v="351.48"/>
        <n v="3572.0"/>
        <n v="6430.72"/>
        <n v="2129.52"/>
        <n v="3129.1"/>
        <n v="8719.92"/>
        <n v="16360.8"/>
        <n v="7695.85"/>
        <n v="15139.89"/>
        <n v="5926.2"/>
        <n v="160.19"/>
        <n v="193.28"/>
        <n v="2420.04"/>
        <n v="5000.1"/>
        <n v="3163.65"/>
        <n v="943.95"/>
        <n v="6020.56"/>
        <n v="2812.32"/>
        <n v="12526.08"/>
        <n v="15007.6"/>
        <n v="9147.71"/>
        <n v="6812.96"/>
        <n v="5624.19"/>
        <n v="535.58"/>
        <n v="1519.14"/>
        <n v="1006.3"/>
        <n v="1150.56"/>
        <n v="9904.95"/>
        <n v="847.99"/>
        <n v="7601.92"/>
        <n v="550.55"/>
        <n v="572.32"/>
        <n v="2794.56"/>
        <n v="3779.16"/>
        <n v="17844.96"/>
        <n v="1333.26"/>
        <n v="6087.1"/>
        <n v="3437.85"/>
        <n v="5904.08"/>
        <n v="5421.36"/>
        <n v="1546.98"/>
        <n v="1222.1"/>
        <n v="3684.66"/>
        <n v="624.24"/>
        <n v="797.28"/>
        <n v="7093.0"/>
        <n v="4995.84"/>
        <n v="13359.75"/>
        <n v="1758.25"/>
        <n v="3135.75"/>
        <n v="2342.4"/>
        <n v="7165.66"/>
        <n v="13279.27"/>
        <n v="8794.17"/>
        <n v="17499.4"/>
        <n v="13781.04"/>
        <n v="12384.28"/>
        <n v="7498.08"/>
        <n v="10307.52"/>
        <n v="4981.76"/>
        <n v="1182.3"/>
        <n v="768.18"/>
        <n v="6820.4"/>
        <n v="8410.5"/>
        <n v="388.32"/>
        <n v="2416.32"/>
        <n v="3170.0"/>
        <n v="6898.0"/>
        <n v="3457.44"/>
        <n v="3328.38"/>
        <n v="3295.31"/>
        <n v="5567.1"/>
        <n v="4159.36"/>
        <n v="12372.94"/>
        <n v="2128.09"/>
        <n v="13480.04"/>
        <n v="5403.46"/>
        <n v="1583.01"/>
        <n v="12546.94"/>
        <n v="932.2"/>
        <n v="5171.76"/>
        <n v="2211.78"/>
        <n v="9198.51"/>
        <n v="12668.4"/>
        <n v="1272.6"/>
        <n v="5613.44"/>
        <n v="2230.82"/>
        <n v="677.1"/>
        <n v="9181.92"/>
        <n v="2445.3"/>
        <n v="3370.38"/>
        <n v="2975.44"/>
        <n v="3016.7"/>
        <n v="1592.5"/>
        <n v="2050.05"/>
        <n v="4953.2"/>
        <n v="4880.48"/>
        <n v="6307.2"/>
        <n v="802.88"/>
        <n v="6890.6"/>
        <n v="6540.15"/>
        <n v="8749.4"/>
        <n v="11318.4"/>
        <n v="1516.01"/>
        <n v="7835.17"/>
        <n v="2596.88"/>
        <n v="725.34"/>
        <n v="905.96"/>
        <n v="1151.04"/>
        <n v="1818.96"/>
        <n v="820.8"/>
        <n v="4928.04"/>
        <n v="3493.6"/>
        <n v="31017.48"/>
        <n v="13501.96"/>
        <n v="1496.04"/>
        <n v="2629.6"/>
        <n v="11310.0"/>
        <n v="6653.1"/>
        <n v="4496.48"/>
        <n v="2121.64"/>
        <n v="16758.36"/>
        <n v="1038.33"/>
        <n v="3360.72"/>
        <n v="9362.99"/>
        <n v="2293.08"/>
        <n v="4808.64"/>
        <n v="4583.26"/>
        <n v="2039.31"/>
        <n v="1481.76"/>
        <n v="6549.12"/>
        <n v="8898.24"/>
        <n v="3333.0"/>
        <n v="2241.28"/>
        <n v="3296.06"/>
        <n v="8210.87"/>
        <n v="4872.56"/>
        <n v="2017.27"/>
        <n v="6469.41"/>
        <n v="3462.3"/>
        <n v="958.0"/>
        <n v="8149.18"/>
        <n v="4493.84"/>
        <n v="218.16"/>
        <n v="23522.8"/>
        <n v="315.52"/>
        <n v="14108.64"/>
        <n v="2782.62"/>
        <n v="5909.85"/>
        <n v="5446.98"/>
        <n v="5905.0"/>
        <n v="12383.2"/>
        <n v="5868.64"/>
        <n v="4501.44"/>
        <n v="3589.38"/>
        <n v="8327.55"/>
        <n v="4903.92"/>
        <n v="3231.27"/>
        <n v="5301.04"/>
        <n v="4436.88"/>
        <n v="14844.06"/>
        <n v="3514.75"/>
        <n v="611.1"/>
        <n v="13755.12"/>
        <n v="2213.25"/>
        <n v="11233.74"/>
        <n v="6637.95"/>
        <n v="3145.33"/>
        <n v="4518.15"/>
        <n v="7008.64"/>
        <n v="7817.16"/>
        <n v="360.36"/>
        <n v="17677.62"/>
        <n v="6593.76"/>
        <n v="11705.85"/>
        <n v="8317.12"/>
        <n v="3293.4"/>
        <n v="4974.24"/>
        <n v="4670.24"/>
        <n v="6904.6"/>
        <n v="3490.34"/>
        <n v="11476.24"/>
        <n v="1222.8"/>
        <n v="1423.84"/>
        <n v="8628.45"/>
        <n v="8838.4"/>
        <n v="7649.6"/>
        <n v="4193.43"/>
        <n v="5105.92"/>
        <n v="4891.3"/>
        <n v="5031.2"/>
        <n v="13723.47"/>
        <n v="7496.67"/>
        <n v="7773.48"/>
        <n v="5503.14"/>
        <n v="10150.4"/>
        <n v="8786.83"/>
        <n v="5719.12"/>
        <n v="13462.4"/>
        <n v="1884.0"/>
        <n v="38453.32"/>
        <n v="8285.76"/>
        <n v="12455.32"/>
        <n v="23234.64"/>
        <n v="1684.93"/>
        <n v="1046.4"/>
        <n v="12024.9"/>
        <n v="625.19"/>
        <n v="7082.75"/>
        <n v="21154.44"/>
        <n v="496.8"/>
        <n v="2901.87"/>
        <n v="3933.09"/>
        <n v="19330.74"/>
        <n v="12666.87"/>
        <n v="1473.5"/>
        <n v="2570.56"/>
        <n v="12508.42"/>
        <n v="3423.8"/>
        <n v="6019.38"/>
        <n v="4602.06"/>
        <n v="10738.7"/>
        <n v="16312.32"/>
        <n v="6121.98"/>
        <n v="5762.69"/>
        <n v="1181.1"/>
        <n v="6912.0"/>
        <n v="5849.7"/>
        <n v="7111.4"/>
        <n v="3551.3"/>
        <n v="2341.92"/>
        <n v="8616.15"/>
        <n v="1813.0"/>
        <n v="1272.57"/>
        <n v="5662.62"/>
        <n v="10010.88"/>
        <n v="5623.92"/>
        <n v="1921.5"/>
        <n v="1569.5"/>
        <n v="8320.02"/>
        <n v="20645.38"/>
        <n v="9005.4"/>
        <n v="1827.54"/>
        <n v="160.64"/>
        <n v="4198.32"/>
        <n v="9357.4"/>
        <n v="2011.28"/>
        <n v="3481.85"/>
        <n v="4032.6"/>
        <n v="2327.4"/>
        <n v="3845.66"/>
        <n v="15469.93"/>
        <n v="2933.7"/>
        <n v="126.63"/>
        <n v="21675.99"/>
        <n v="968.35"/>
        <n v="167.7"/>
        <n v="1863.04"/>
        <n v="5212.74"/>
        <n v="8657.8"/>
        <n v="1060.2"/>
        <n v="21791.28"/>
        <n v="2561.72"/>
        <n v="4845.98"/>
        <n v="11887.26"/>
        <n v="629.52"/>
        <n v="2611.2"/>
        <n v="5496.26"/>
        <n v="7212.16"/>
        <n v="5931.95"/>
        <n v="535.68"/>
        <n v="419.49"/>
        <n v="3660.44"/>
        <n v="12597.27"/>
        <n v="8308.35"/>
        <n v="3321.96"/>
        <n v="2632.4"/>
        <n v="6876.54"/>
        <n v="5069.1"/>
        <n v="6607.44"/>
        <n v="3418.74"/>
        <n v="1611.11"/>
        <n v="2674.68"/>
        <n v="10433.28"/>
        <n v="24590.22"/>
        <n v="3921.78"/>
        <n v="1442.48"/>
        <n v="2693.1"/>
        <n v="1430.69"/>
        <n v="16623.43"/>
        <n v="1694.52"/>
        <n v="5170.0"/>
        <n v="1180.82"/>
        <n v="5268.36"/>
        <n v="4458.24"/>
        <n v="17910.48"/>
        <n v="4868.46"/>
        <n v="5588.3"/>
        <n v="14693.98"/>
        <n v="6362.4"/>
        <n v="2443.35"/>
        <n v="3313.29"/>
        <n v="980.1"/>
        <n v="2061.4"/>
        <n v="4393.98"/>
        <n v="4821.32"/>
        <n v="3096.6"/>
        <n v="7052.22"/>
        <n v="6259.76"/>
        <n v="2696.64"/>
        <n v="14765.0"/>
        <n v="5931.37"/>
        <n v="5091.24"/>
        <n v="1867.14"/>
        <n v="10077.6"/>
        <n v="7334.07"/>
        <n v="9006.69"/>
        <n v="9920.7"/>
        <n v="3060.0"/>
        <n v="3922.88"/>
        <n v="5139.75"/>
        <n v="6342.77"/>
        <n v="16308.6"/>
        <n v="1059.39"/>
        <n v="3488.99"/>
        <n v="103.95"/>
        <n v="4737.07"/>
        <n v="472.0"/>
        <n v="2555.35"/>
        <n v="1682.66"/>
        <n v="7963.54"/>
        <n v="3571.14"/>
        <n v="2600.4"/>
        <n v="2436.7"/>
        <n v="12964.38"/>
        <n v="4386.72"/>
        <n v="183.6"/>
        <n v="3342.3"/>
        <n v="8338.88"/>
        <n v="13625.6"/>
        <n v="10457.45"/>
        <n v="5255.59"/>
        <n v="6333.6"/>
        <n v="1184.9"/>
        <n v="2547.6"/>
        <n v="7555.86"/>
        <n v="8376.36"/>
        <n v="455.48"/>
        <n v="805.8"/>
        <n v="1290.0"/>
        <n v="1406.92"/>
        <n v="5685.68"/>
        <n v="19325.6"/>
        <n v="5845.7"/>
        <n v="2434.41"/>
        <n v="15411.6"/>
        <n v="8007.48"/>
        <n v="1384.6"/>
        <n v="1817.76"/>
        <n v="2077.92"/>
        <n v="3629.5"/>
        <n v="8834.56"/>
        <n v="11573.54"/>
        <n v="695.46"/>
        <n v="11111.04"/>
        <n v="7997.76"/>
        <n v="1487.16"/>
        <n v="679.76"/>
        <n v="6415.8"/>
        <n v="3248.66"/>
        <n v="1758.2"/>
        <n v="7273.42"/>
        <n v="1099.8"/>
        <n v="8442.24"/>
        <n v="2772.0"/>
        <n v="186.14"/>
        <n v="5253.0"/>
        <n v="23214.5"/>
        <n v="4667.96"/>
        <n v="20793.17"/>
        <n v="8197.66"/>
        <n v="1757.8"/>
        <n v="1638.21"/>
        <n v="3527.63"/>
        <n v="18333.76"/>
        <n v="3211.38"/>
        <n v="746.24"/>
        <n v="16750.24"/>
        <n v="5691.91"/>
        <n v="1940.95"/>
        <n v="1764.86"/>
        <n v="850.25"/>
        <n v="1276.58"/>
        <n v="4040.0"/>
        <n v="6021.75"/>
        <n v="22248.0"/>
        <n v="1723.6"/>
        <n v="3996.97"/>
        <n v="2727.01"/>
        <n v="10946.16"/>
        <n v="15775.77"/>
        <n v="9691.36"/>
        <n v="3888.85"/>
        <n v="246.61"/>
        <n v="1955.92"/>
        <n v="863.15"/>
        <n v="1536.28"/>
        <n v="2095.94"/>
        <n v="14597.08"/>
        <n v="2113.8"/>
        <n v="27943.91"/>
        <n v="1926.18"/>
        <n v="21027.38"/>
        <n v="7642.44"/>
        <n v="7537.92"/>
        <n v="4649.45"/>
        <n v="21188.08"/>
        <n v="6680.72"/>
        <n v="9484.8"/>
        <n v="10814.72"/>
        <n v="1006.0"/>
        <n v="1385.7"/>
        <n v="4404.96"/>
        <n v="8436.0"/>
        <n v="925.4"/>
        <n v="18696.3"/>
        <n v="1764.64"/>
        <n v="9941.28"/>
        <n v="2002.44"/>
        <n v="3895.57"/>
        <n v="5567.84"/>
        <n v="4918.32"/>
        <n v="2948.1"/>
        <n v="2966.4"/>
        <n v="38184.01"/>
        <n v="754.56"/>
        <n v="4843.93"/>
        <n v="4532.7"/>
        <n v="4326.3"/>
        <n v="1557.27"/>
        <n v="9186.8"/>
        <n v="4844.04"/>
        <n v="386.78"/>
        <n v="19935.48"/>
        <n v="10965.18"/>
        <n v="19964.95"/>
        <n v="3209.2"/>
        <n v="9056.67"/>
        <n v="339.57"/>
        <n v="5478.43"/>
        <n v="8617.26"/>
        <n v="5617.44"/>
        <n v="4687.0"/>
        <n v="11370.45"/>
        <n v="10631.25"/>
        <n v="448.88"/>
        <n v="6877.08"/>
        <n v="11430.12"/>
        <n v="11958.8"/>
        <n v="1319.22"/>
        <n v="5833.58"/>
        <n v="3943.8"/>
        <n v="3919.68"/>
        <n v="7277.0"/>
        <n v="940.39"/>
        <n v="369.05"/>
        <n v="4268.7"/>
        <n v="6988.96"/>
        <n v="13643.7"/>
        <n v="1709.68"/>
        <n v="6388.53"/>
        <n v="3922.29"/>
        <n v="6358.3"/>
        <n v="21304.5"/>
        <n v="1538.5"/>
        <n v="6032.9"/>
        <n v="13194.0"/>
        <n v="14425.95"/>
        <n v="4707.88"/>
        <n v="3997.98"/>
        <n v="7974.72"/>
        <n v="20632.0"/>
        <n v="15340.5"/>
        <n v="4942.84"/>
        <n v="7943.53"/>
        <n v="1068.72"/>
        <n v="6372.9"/>
        <n v="1608.67"/>
        <n v="1309.06"/>
        <n v="1115.84"/>
        <n v="764.05"/>
        <n v="819.18"/>
        <n v="6770.28"/>
        <n v="2313.81"/>
        <n v="329.28"/>
        <n v="16301.12"/>
        <n v="429.99"/>
        <n v="5306.04"/>
        <n v="684.76"/>
        <n v="1240.47"/>
        <n v="3849.08"/>
        <n v="2248.39"/>
        <n v="5041.22"/>
        <n v="11532.15"/>
        <n v="3625.08"/>
        <n v="1728.96"/>
        <n v="6849.44"/>
        <n v="13568.94"/>
        <n v="763.2"/>
        <n v="4293.9"/>
        <n v="3630.84"/>
        <n v="2347.41"/>
        <n v="5865.09"/>
        <n v="804.54"/>
        <n v="894.6"/>
        <n v="7576.8"/>
        <n v="398.72"/>
        <n v="1412.0"/>
        <n v="4813.9"/>
        <n v="7361.6"/>
        <n v="6888.06"/>
        <n v="9200.46"/>
        <n v="2887.05"/>
        <n v="4656.35"/>
        <n v="2742.75"/>
        <n v="2329.51"/>
        <n v="4946.16"/>
        <n v="7939.5"/>
        <n v="16582.8"/>
        <n v="3252.06"/>
        <n v="17413.68"/>
        <n v="2672.68"/>
        <n v="4166.64"/>
        <n v="3234.22"/>
        <n v="4819.62"/>
        <n v="8268.0"/>
        <n v="7589.08"/>
        <n v="15409.62"/>
        <n v="8628.81"/>
        <n v="10069.98"/>
        <n v="634.27"/>
        <n v="3918.52"/>
        <n v="1013.1"/>
        <n v="5670.58"/>
        <n v="8255.44"/>
        <n v="4555.95"/>
        <n v="1182.36"/>
        <n v="360.4"/>
        <n v="1638.9"/>
        <n v="6987.63"/>
        <n v="10025.01"/>
        <n v="5744.64"/>
        <n v="5914.56"/>
        <n v="2552.52"/>
        <n v="2101.28"/>
        <n v="9862.4"/>
        <n v="6904.17"/>
        <n v="1550.58"/>
        <n v="6079.32"/>
        <n v="31106.27"/>
        <n v="7237.63"/>
        <n v="1684.92"/>
        <n v="11111.95"/>
        <n v="6944.7"/>
        <n v="1405.44"/>
        <n v="2916.06"/>
        <n v="1443.98"/>
        <n v="2141.44"/>
        <n v="2369.96"/>
        <n v="5980.83"/>
        <n v="18301.3"/>
        <n v="7285.23"/>
        <n v="4539.36"/>
        <n v="8172.66"/>
        <n v="6785.94"/>
        <n v="19749.29"/>
        <n v="3269.88"/>
        <n v="614.04"/>
        <n v="2398.7"/>
        <n v="5255.61"/>
        <n v="12132.62"/>
        <n v="3379.51"/>
        <n v="4959.3"/>
        <n v="4515.88"/>
        <n v="9834.5"/>
        <n v="16007.88"/>
        <n v="4938.79"/>
        <n v="2279.0"/>
        <n v="3799.0"/>
        <n v="5360.42"/>
        <n v="8310.32"/>
        <n v="2820.13"/>
        <n v="11729.13"/>
        <n v="870.87"/>
        <n v="3308.8"/>
        <n v="3158.58"/>
        <n v="9046.34"/>
        <n v="563.37"/>
        <n v="8655.04"/>
        <n v="9896.4"/>
        <n v="6327.83"/>
        <n v="7590.54"/>
        <n v="4610.06"/>
        <n v="5758.31"/>
        <n v="3480.24"/>
        <n v="1492.2"/>
        <n v="1087.56"/>
        <n v="7068.6"/>
        <n v="9170.88"/>
        <n v="10613.44"/>
        <n v="1553.82"/>
        <n v="1718.28"/>
        <n v="16445.64"/>
        <n v="2807.8"/>
        <n v="8995.3"/>
        <n v="3339.63"/>
        <n v="3837.24"/>
        <n v="11293.95"/>
        <n v="8970.85"/>
        <n v="1244.31"/>
        <n v="17554.22"/>
        <n v="12075.72"/>
        <n v="9866.39"/>
        <n v="400.9"/>
        <n v="4196.08"/>
        <n v="7363.1"/>
        <n v="2465.6"/>
        <n v="3601.86"/>
        <n v="1102.0"/>
        <n v="10287.72"/>
        <n v="2912.14"/>
        <n v="3737.88"/>
        <n v="19941.68"/>
        <n v="279.0"/>
        <n v="11854.92"/>
        <n v="1350.72"/>
        <n v="18503.32"/>
        <n v="8672.55"/>
        <n v="3894.04"/>
        <n v="1169.0"/>
        <n v="3887.47"/>
        <n v="10149.1"/>
        <n v="986.12"/>
        <n v="4235.91"/>
        <n v="5709.33"/>
        <n v="2206.05"/>
        <n v="987.16"/>
        <n v="1051.05"/>
        <n v="775.92"/>
        <n v="3983.92"/>
        <n v="13333.44"/>
        <n v="4555.32"/>
        <n v="7136.21"/>
        <n v="143.22"/>
        <n v="2720.04"/>
        <n v="341.22"/>
        <n v="800.8"/>
        <n v="5345.36"/>
        <n v="1601.1"/>
        <n v="7083.98"/>
        <n v="1051.25"/>
        <n v="19068.6"/>
        <n v="778.96"/>
        <n v="5246.55"/>
        <n v="1970.54"/>
        <n v="8808.24"/>
        <n v="632.4"/>
        <n v="5578.86"/>
        <n v="480.6"/>
        <n v="16181.76"/>
        <n v="601.02"/>
        <n v="658.95"/>
        <n v="3383.76"/>
        <n v="3268.95"/>
        <n v="3751.76"/>
        <n v="2506.65"/>
        <n v="201.52"/>
        <n v="5557.2"/>
        <n v="737.6"/>
        <n v="1166.14"/>
        <n v="8830.08"/>
        <n v="3045.7"/>
        <n v="574.91"/>
        <n v="6935.56"/>
        <n v="2935.14"/>
        <n v="1097.47"/>
        <n v="2546.64"/>
        <n v="7898.75"/>
        <n v="14915.94"/>
        <n v="27072.16"/>
        <n v="2209.68"/>
        <n v="267.75"/>
        <n v="2721.36"/>
        <n v="6991.31"/>
        <n v="23595.72"/>
        <n v="8004.28"/>
        <n v="1802.5"/>
        <n v="2051.46"/>
        <n v="12260.51"/>
        <n v="2148.9"/>
        <n v="888.93"/>
        <n v="4055.3"/>
        <n v="5866.83"/>
        <n v="392.63"/>
        <n v="5306.14"/>
        <n v="2585.55"/>
        <n v="993.32"/>
        <n v="646.38"/>
        <n v="9852.7"/>
        <n v="11490.77"/>
        <n v="3532.5"/>
        <n v="3366.8"/>
        <n v="17180.28"/>
        <n v="2303.94"/>
        <n v="2504.25"/>
        <n v="2622.8"/>
        <n v="12719.14"/>
        <n v="4934.16"/>
        <n v="3470.96"/>
        <n v="3259.96"/>
        <n v="15541.68"/>
        <n v="766.36"/>
        <n v="18249.84"/>
        <n v="4109.08"/>
        <n v="14688.84"/>
        <n v="1402.88"/>
        <n v="4277.2"/>
        <n v="1320.2"/>
        <n v="316.2"/>
        <n v="6638.16"/>
        <n v="2539.52"/>
        <n v="3321.01"/>
        <n v="1776.6"/>
        <n v="6692.04"/>
        <n v="174.8"/>
        <n v="1773.67"/>
        <n v="8552.85"/>
        <n v="146.94"/>
        <n v="2038.12"/>
        <n v="3449.84"/>
        <n v="227.76"/>
        <n v="1118.88"/>
        <n v="12473.24"/>
        <n v="8238.75"/>
        <n v="2162.65"/>
        <n v="25548.03"/>
        <n v="5805.84"/>
        <n v="5355.64"/>
        <n v="4116.51"/>
        <n v="3935.25"/>
        <n v="1310.4"/>
        <n v="4231.0"/>
        <n v="58.0"/>
        <n v="1007.94"/>
        <n v="2625.48"/>
        <n v="2331.0"/>
        <n v="4809.68"/>
        <n v="17038.58"/>
        <n v="1252.86"/>
        <n v="7394.66"/>
        <n v="1489.86"/>
        <n v="16512.3"/>
        <n v="9014.8"/>
        <n v="7445.1"/>
        <n v="7673.9"/>
        <n v="515.1"/>
        <n v="9887.01"/>
        <n v="2159.73"/>
        <n v="1174.8"/>
        <n v="2392.48"/>
        <n v="5591.04"/>
        <n v="5221.45"/>
        <n v="301.84"/>
        <n v="21129.96"/>
        <n v="3523.08"/>
        <n v="1120.08"/>
        <n v="21280.49"/>
        <n v="1733.49"/>
        <n v="1754.91"/>
        <n v="2846.4"/>
        <n v="1404.03"/>
        <n v="1662.64"/>
        <n v="2424.01"/>
        <n v="1678.32"/>
        <n v="18309.8"/>
        <n v="2989.44"/>
        <n v="1176.26"/>
        <n v="823.68"/>
        <n v="2179.94"/>
        <n v="10569.8"/>
        <n v="7555.68"/>
        <n v="1531.8"/>
        <n v="1347.87"/>
        <n v="4999.02"/>
        <n v="1746.16"/>
        <n v="10787.74"/>
        <n v="2242.35"/>
        <n v="11407.65"/>
        <n v="8547.63"/>
        <n v="977.82"/>
        <n v="14761.1"/>
        <n v="3537.6"/>
        <n v="7374.51"/>
        <n v="970.83"/>
        <n v="3993.6"/>
        <n v="4504.7"/>
        <n v="10884.0"/>
        <n v="21601.86"/>
        <n v="1613.44"/>
        <n v="6480.31"/>
        <n v="2841.77"/>
        <n v="28803.36"/>
        <n v="2238.22"/>
        <n v="357.28"/>
        <n v="7839.12"/>
        <n v="6823.44"/>
        <n v="1578.55"/>
        <n v="2663.88"/>
        <n v="2081.16"/>
        <n v="6545.28"/>
        <n v="4785.15"/>
        <n v="6399.18"/>
        <n v="2012.01"/>
        <n v="1603.6"/>
        <n v="136.8"/>
        <n v="1571.4"/>
        <n v="20665.77"/>
        <n v="8629.32"/>
        <n v="14702.39"/>
        <n v="554.3"/>
        <n v="1148.4"/>
        <n v="21581.2"/>
        <n v="1080.32"/>
        <n v="22329.5"/>
        <n v="1724.76"/>
        <n v="17716.34"/>
        <n v="3938.4"/>
        <n v="3602.5"/>
        <n v="1362.75"/>
        <n v="16964.64"/>
        <n v="7750.83"/>
        <n v="2354.7"/>
        <n v="3921.48"/>
        <n v="29383.65"/>
        <n v="1402.5"/>
        <n v="6256.46"/>
        <n v="3177.9"/>
        <n v="1477.6"/>
        <n v="2716.17"/>
        <n v="511.88"/>
        <n v="935.88"/>
        <n v="5170.38"/>
        <n v="2010.75"/>
        <n v="13190.75"/>
        <n v="9311.18"/>
        <n v="5417.39"/>
        <n v="7652.28"/>
        <n v="401.85"/>
        <n v="1730.7"/>
        <n v="3202.55"/>
        <n v="6885.76"/>
        <n v="14976.12"/>
        <n v="12756.92"/>
        <n v="5889.88"/>
        <n v="5446.35"/>
        <n v="20505.0"/>
        <n v="19162.44"/>
        <n v="8100.3"/>
        <n v="6701.1"/>
        <n v="2150.04"/>
        <n v="1916.08"/>
        <n v="12816.86"/>
        <n v="2078.55"/>
        <n v="10058.4"/>
        <n v="11002.4"/>
        <n v="3250.24"/>
        <n v="1086.69"/>
        <n v="15787.52"/>
        <n v="1645.78"/>
        <n v="4320.8"/>
        <n v="1340.64"/>
        <n v="5775.71"/>
        <n v="3343.71"/>
        <n v="8160.02"/>
        <n v="10009.22"/>
        <n v="3123.09"/>
        <n v="7523.72"/>
        <n v="2305.65"/>
        <n v="13519.8"/>
        <n v="13693.85"/>
        <n v="935.74"/>
        <n v="2930.56"/>
        <n v="7341.84"/>
        <n v="7585.82"/>
        <n v="3524.07"/>
        <n v="3969.8"/>
        <n v="9182.8"/>
        <n v="1184.72"/>
        <n v="3412.2"/>
        <n v="2505.88"/>
        <n v="14644.96"/>
        <n v="11759.44"/>
        <n v="11888.9"/>
        <n v="1010.94"/>
        <n v="3418.97"/>
        <n v="3345.3"/>
        <n v="11149.35"/>
        <n v="8496.6"/>
        <n v="4281.17"/>
        <n v="1284.36"/>
        <n v="9112.4"/>
        <n v="3470.61"/>
        <n v="4688.91"/>
        <n v="24540.3"/>
        <n v="6357.48"/>
        <n v="196.94"/>
        <n v="913.13"/>
        <n v="4814.22"/>
        <n v="1629.13"/>
        <n v="487.64"/>
        <n v="397.57"/>
        <n v="5299.66"/>
        <n v="5518.2"/>
        <n v="1027.18"/>
        <n v="2744.56"/>
        <n v="5231.58"/>
        <n v="21841.26"/>
        <n v="2086.24"/>
        <n v="1377.88"/>
        <n v="4918.81"/>
        <n v="1513.12"/>
        <n v="5535.0"/>
        <n v="4975.14"/>
        <n v="4023.0"/>
        <n v="4143.36"/>
        <n v="3478.2"/>
        <n v="15050.02"/>
        <n v="3357.95"/>
        <n v="6736.81"/>
        <n v="6400.44"/>
        <n v="604.73"/>
        <n v="16777.53"/>
        <n v="1526.62"/>
        <n v="3636.93"/>
        <n v="20277.33"/>
        <n v="3119.28"/>
        <n v="1724.0"/>
        <n v="12995.36"/>
        <n v="10319.34"/>
        <n v="138.6"/>
        <n v="1525.92"/>
        <n v="14527.26"/>
        <n v="9483.06"/>
        <n v="4971.48"/>
        <n v="10695.0"/>
        <n v="6045.56"/>
        <n v="10108.3"/>
        <n v="10008.25"/>
        <n v="17741.27"/>
        <n v="861.72"/>
        <n v="4907.0"/>
        <n v="1968.68"/>
        <n v="9398.58"/>
        <n v="10293.24"/>
        <n v="2657.34"/>
        <n v="10792.96"/>
        <n v="13928.52"/>
        <n v="13749.84"/>
        <n v="5142.0"/>
        <n v="3864.0"/>
        <n v="334.08"/>
        <n v="1096.52"/>
        <n v="7609.24"/>
        <n v="334.95"/>
        <n v="10230.07"/>
        <n v="1359.62"/>
        <n v="16380.52"/>
        <n v="20863.8"/>
        <n v="1214.58"/>
        <n v="4581.71"/>
        <n v="1151.15"/>
        <n v="8021.76"/>
        <n v="11489.9"/>
        <n v="1396.21"/>
        <n v="13683.04"/>
        <n v="7196.7"/>
        <n v="13080.8"/>
        <n v="3338.88"/>
        <n v="5766.65"/>
        <n v="2962.44"/>
        <n v="14697.76"/>
        <n v="3975.72"/>
        <n v="7072.29"/>
        <n v="16506.32"/>
        <n v="3303.15"/>
        <n v="647.4"/>
        <n v="5333.92"/>
        <n v="8107.95"/>
        <n v="14661.6"/>
        <n v="2511.25"/>
        <n v="7537.86"/>
        <n v="12538.26"/>
        <n v="1098.24"/>
        <n v="5015.84"/>
        <n v="13269.6"/>
        <n v="390.08"/>
        <n v="2198.0"/>
        <n v="15697.16"/>
        <n v="2266.15"/>
        <n v="432.0"/>
        <n v="9987.84"/>
        <n v="616.0"/>
        <n v="853.47"/>
        <n v="2171.0"/>
        <n v="29043.28"/>
        <n v="887.36"/>
        <n v="6774.3"/>
        <n v="1094.61"/>
        <n v="22300.8"/>
        <n v="4672.08"/>
        <n v="634.8"/>
        <n v="6465.36"/>
        <n v="9843.52"/>
        <n v="11383.62"/>
        <n v="1772.19"/>
        <n v="8204.0"/>
        <n v="6263.04"/>
        <n v="6361.74"/>
        <n v="12384.0"/>
        <n v="4723.53"/>
        <n v="10251.0"/>
        <n v="6027.01"/>
        <n v="5933.68"/>
        <n v="14223.31"/>
        <n v="2401.6"/>
        <n v="25374.24"/>
        <n v="20604.56"/>
        <n v="14571.7"/>
        <n v="4583.04"/>
        <n v="8623.23"/>
        <n v="4085.5"/>
        <n v="7716.5"/>
        <n v="9749.64"/>
        <n v="2704.35"/>
        <n v="3328.5"/>
        <n v="3591.27"/>
        <n v="13352.7"/>
        <n v="11194.3"/>
        <n v="2040.88"/>
        <n v="3880.2"/>
        <n v="23888.0"/>
        <n v="593.61"/>
        <n v="4560.36"/>
        <n v="13510.33"/>
        <n v="3390.76"/>
        <n v="20174.52"/>
        <n v="6507.3"/>
        <n v="8394.46"/>
        <n v="19536.36"/>
        <n v="6215.76"/>
        <n v="10688.24"/>
        <n v="4142.45"/>
        <n v="3926.56"/>
        <n v="1326.17"/>
        <n v="459.0"/>
        <n v="1184.4"/>
        <n v="4769.97"/>
        <n v="3498.85"/>
        <n v="3551.6"/>
        <n v="2044.11"/>
        <n v="4345.64"/>
        <n v="4199.77"/>
        <n v="2987.49"/>
        <n v="5844.4"/>
        <n v="1535.01"/>
        <n v="9548.0"/>
        <n v="9178.48"/>
        <n v="3522.96"/>
        <n v="3918.29"/>
        <n v="2354.66"/>
        <n v="3158.98"/>
        <n v="13574.64"/>
        <n v="14138.64"/>
        <n v="11975.6"/>
        <n v="4871.65"/>
        <n v="8509.0"/>
        <n v="3707.5"/>
        <n v="6202.96"/>
        <n v="999.9"/>
        <n v="2349.4"/>
        <n v="1423.63"/>
        <n v="10664.25"/>
        <n v="1662.21"/>
        <n v="3306.33"/>
        <n v="8776.55"/>
        <n v="2851.52"/>
        <n v="3143.4"/>
        <n v="478.47"/>
        <n v="2091.08"/>
        <n v="20115.2"/>
        <n v="4091.01"/>
        <n v="1578.42"/>
        <n v="16678.2"/>
        <n v="5783.8"/>
        <n v="10435.84"/>
        <n v="1467.34"/>
        <n v="17222.68"/>
        <n v="16368.4"/>
        <n v="5581.95"/>
        <n v="2732.94"/>
        <n v="2800.95"/>
        <n v="3391.52"/>
        <n v="3201.6"/>
        <n v="14820.48"/>
        <n v="6809.09"/>
        <n v="7742.76"/>
        <n v="8502.0"/>
        <n v="2144.35"/>
        <n v="7181.65"/>
        <n v="4849.56"/>
        <n v="1735.75"/>
        <n v="6173.94"/>
        <n v="2712.6"/>
        <n v="9048.13"/>
        <n v="589.68"/>
        <n v="11377.5"/>
        <n v="913.68"/>
        <n v="10578.76"/>
        <n v="1252.93"/>
        <n v="346.06"/>
        <n v="4323.32"/>
        <n v="26048.48"/>
        <n v="1030.4"/>
        <n v="9241.14"/>
        <n v="1558.19"/>
        <n v="3906.63"/>
        <n v="1468.46"/>
        <n v="961.2"/>
        <n v="3861.25"/>
        <n v="21358.12"/>
        <n v="8577.04"/>
        <n v="999.6"/>
        <n v="5882.88"/>
        <n v="6037.2"/>
        <n v="14749.0"/>
        <n v="2193.1"/>
        <n v="1168.4"/>
        <n v="13780.4"/>
        <n v="4282.67"/>
        <n v="2258.08"/>
        <n v="8948.61"/>
        <n v="6937.32"/>
        <n v="7907.34"/>
        <n v="339.77"/>
        <n v="3326.4"/>
        <n v="17477.8"/>
        <n v="5283.88"/>
        <n v="2710.4"/>
        <n v="9526.54"/>
        <n v="4474.61"/>
        <n v="13716.24"/>
        <n v="469.8"/>
        <n v="2644.6"/>
        <n v="2384.72"/>
        <n v="2193.12"/>
        <n v="5933.51"/>
        <n v="1824.0"/>
        <n v="5501.37"/>
        <n v="895.23"/>
        <n v="540.51"/>
        <n v="8889.21"/>
        <n v="9610.02"/>
        <n v="12041.28"/>
        <n v="7830.85"/>
        <n v="3254.07"/>
        <n v="336.3"/>
        <n v="7589.7"/>
        <n v="21894.79"/>
        <n v="1448.59"/>
        <n v="397.0"/>
        <n v="1390.26"/>
        <n v="9143.0"/>
        <n v="5246.61"/>
        <n v="3238.56"/>
        <n v="1631.8"/>
        <n v="12114.91"/>
        <n v="9457.7"/>
        <n v="18394.55"/>
        <n v="1746.0"/>
        <n v="3677.76"/>
        <n v="3634.86"/>
        <n v="943.29"/>
        <n v="6212.85"/>
        <n v="1657.5"/>
        <n v="2838.64"/>
        <n v="10439.54"/>
        <n v="6650.56"/>
        <n v="6079.45"/>
        <n v="3676.9"/>
        <n v="15439.71"/>
        <n v="25563.36"/>
        <n v="24368.8"/>
        <n v="25981.14"/>
        <n v="3825.15"/>
        <n v="3138.14"/>
        <n v="3053.88"/>
        <n v="13776.64"/>
        <n v="13154.08"/>
        <n v="7340.94"/>
        <n v="1128.9"/>
        <n v="302.95"/>
        <n v="1804.2"/>
        <n v="1269.84"/>
        <n v="8581.08"/>
        <n v="17345.74"/>
        <n v="598.23"/>
        <n v="874.94"/>
        <n v="5012.7"/>
        <n v="8894.42"/>
        <n v="163.2"/>
        <n v="3269.7"/>
        <n v="4724.4"/>
        <n v="27136.32"/>
        <n v="4505.0"/>
        <n v="819.64"/>
        <n v="2094.0"/>
        <n v="1497.78"/>
        <n v="2942.28"/>
        <n v="2071.16"/>
        <n v="5430.88"/>
        <n v="24814.6"/>
        <n v="4851.0"/>
        <n v="5215.91"/>
        <n v="5779.93"/>
        <n v="12192.7"/>
        <n v="3413.14"/>
        <n v="9769.1"/>
        <n v="5421.57"/>
        <n v="3880.24"/>
        <n v="3279.1"/>
        <n v="2334.36"/>
        <n v="26262.72"/>
        <n v="360.96"/>
        <n v="992.64"/>
        <n v="12025.04"/>
        <n v="16612.03"/>
        <n v="1622.0"/>
        <n v="929.26"/>
        <n v="4393.74"/>
        <n v="1931.52"/>
        <n v="9107.4"/>
        <n v="8406.0"/>
        <n v="1370.22"/>
        <n v="1825.2"/>
        <n v="352.16"/>
        <n v="2791.8"/>
        <n v="318.78"/>
        <n v="4501.26"/>
        <n v="5342.96"/>
        <n v="1743.4"/>
        <n v="4344.0"/>
        <n v="22529.88"/>
        <n v="1875.72"/>
        <n v="1260.84"/>
        <n v="17343.52"/>
        <n v="2253.88"/>
        <n v="15165.28"/>
        <n v="1800.24"/>
        <n v="5284.08"/>
        <n v="5104.68"/>
        <n v="14542.08"/>
        <n v="6986.23"/>
        <n v="5607.98"/>
        <n v="3303.36"/>
        <n v="1907.16"/>
        <n v="5404.08"/>
        <n v="3281.49"/>
        <n v="29503.44"/>
        <n v="3551.67"/>
        <n v="1374.45"/>
        <n v="4206.44"/>
        <n v="12872.11"/>
        <n v="17284.41"/>
        <n v="3026.19"/>
        <n v="8866.2"/>
        <n v="5571.38"/>
        <n v="5437.15"/>
        <n v="1751.0"/>
        <n v="1041.9"/>
      </sharedItems>
    </cacheField>
    <cacheField name="conversions" numFmtId="0">
      <sharedItems containsSemiMixedTypes="0" containsString="0" containsNumber="1" containsInteger="1">
        <n v="159.0"/>
        <n v="411.0"/>
        <n v="267.0"/>
        <n v="296.0"/>
        <n v="107.0"/>
        <n v="23.0"/>
        <n v="152.0"/>
        <n v="388.0"/>
        <n v="63.0"/>
        <n v="10.0"/>
        <n v="129.0"/>
        <n v="65.0"/>
        <n v="291.0"/>
        <n v="92.0"/>
        <n v="194.0"/>
        <n v="198.0"/>
        <n v="116.0"/>
        <n v="271.0"/>
        <n v="400.0"/>
        <n v="379.0"/>
        <n v="614.0"/>
        <n v="352.0"/>
        <n v="407.0"/>
        <n v="282.0"/>
        <n v="130.0"/>
        <n v="98.0"/>
        <n v="72.0"/>
        <n v="367.0"/>
        <n v="57.0"/>
        <n v="193.0"/>
        <n v="68.0"/>
        <n v="279.0"/>
        <n v="204.0"/>
        <n v="512.0"/>
        <n v="28.0"/>
        <n v="30.0"/>
        <n v="306.0"/>
        <n v="84.0"/>
        <n v="289.0"/>
        <n v="37.0"/>
        <n v="330.0"/>
        <n v="97.0"/>
        <n v="197.0"/>
        <n v="127.0"/>
        <n v="139.0"/>
        <n v="46.0"/>
        <n v="94.0"/>
        <n v="217.0"/>
        <n v="153.0"/>
        <n v="403.0"/>
        <n v="8.0"/>
        <n v="7.0"/>
        <n v="24.0"/>
        <n v="285.0"/>
        <n v="191.0"/>
        <n v="168.0"/>
        <n v="26.0"/>
        <n v="113.0"/>
        <n v="59.0"/>
        <n v="505.0"/>
        <n v="17.0"/>
        <n v="89.0"/>
        <n v="154.0"/>
        <n v="64.0"/>
        <n v="5.0"/>
        <n v="80.0"/>
        <n v="40.0"/>
        <n v="95.0"/>
        <n v="384.0"/>
        <n v="255.0"/>
        <n v="336.0"/>
        <n v="81.0"/>
        <n v="233.0"/>
        <n v="170.0"/>
        <n v="326.0"/>
        <n v="348.0"/>
        <n v="45.0"/>
        <n v="11.0"/>
        <n v="219.0"/>
        <n v="335.0"/>
        <n v="103.0"/>
        <n v="310.0"/>
        <n v="100.0"/>
        <n v="260.0"/>
        <n v="15.0"/>
        <n v="247.0"/>
        <n v="575.0"/>
        <n v="29.0"/>
        <n v="222.0"/>
        <n v="70.0"/>
        <n v="167.0"/>
        <n v="36.0"/>
        <n v="38.0"/>
        <n v="243.0"/>
        <n v="138.0"/>
        <n v="201.0"/>
        <n v="112.0"/>
        <n v="25.0"/>
        <n v="73.0"/>
        <n v="196.0"/>
        <n v="936.0"/>
        <n v="252.0"/>
        <n v="376.0"/>
        <n v="309.0"/>
        <n v="42.0"/>
        <n v="305.0"/>
        <n v="377.0"/>
        <n v="177.0"/>
        <n v="493.0"/>
        <n v="147.0"/>
        <n v="211.0"/>
        <n v="41.0"/>
        <n v="155.0"/>
        <n v="119.0"/>
        <n v="186.0"/>
        <n v="234.0"/>
        <n v="203.0"/>
        <n v="20.0"/>
        <n v="164.0"/>
        <n v="21.0"/>
        <n v="33.0"/>
        <n v="55.0"/>
        <n v="58.0"/>
        <n v="250.0"/>
        <n v="85.0"/>
        <n v="268.0"/>
        <n v="157.0"/>
        <n v="12.0"/>
        <n v="22.0"/>
        <n v="460.0"/>
        <n v="181.0"/>
        <n v="184.0"/>
        <n v="880.0"/>
        <n v="237.0"/>
        <n v="48.0"/>
        <n v="371.0"/>
        <n v="353.0"/>
        <n v="369.0"/>
        <n v="538.0"/>
        <n v="74.0"/>
        <n v="494.0"/>
        <n v="88.0"/>
        <n v="16.0"/>
        <n v="66.0"/>
        <n v="253.0"/>
        <n v="6.0"/>
        <n v="169.0"/>
        <n v="105.0"/>
        <n v="590.0"/>
        <n v="246.0"/>
        <n v="121.0"/>
        <n v="39.0"/>
        <n v="54.0"/>
        <n v="245.0"/>
        <n v="187.0"/>
        <n v="738.0"/>
        <n v="413.0"/>
        <n v="179.0"/>
        <n v="90.0"/>
        <n v="214.0"/>
        <n v="171.0"/>
        <n v="523.0"/>
        <n v="209.0"/>
        <n v="123.0"/>
        <n v="145.0"/>
        <n v="316.0"/>
        <n v="62.0"/>
        <n v="301.0"/>
        <n v="49.0"/>
        <n v="220.0"/>
        <n v="466.0"/>
        <n v="32.0"/>
        <n v="434.0"/>
        <n v="248.0"/>
        <n v="79.0"/>
        <n v="293.0"/>
        <n v="124.0"/>
        <n v="136.0"/>
        <n v="205.0"/>
        <n v="213.0"/>
        <n v="319.0"/>
        <n v="732.0"/>
        <n v="117.0"/>
        <n v="553.0"/>
        <n v="192.0"/>
        <n v="345.0"/>
        <n v="333.0"/>
        <n v="263.0"/>
        <n v="200.0"/>
        <n v="44.0"/>
        <n v="216.0"/>
        <n v="75.0"/>
        <n v="13.0"/>
        <n v="497.0"/>
        <n v="175.0"/>
        <n v="235.0"/>
        <n v="380.0"/>
        <n v="754.0"/>
        <n v="51.0"/>
        <n v="50.0"/>
        <n v="332.0"/>
        <n v="615.0"/>
        <n v="52.0"/>
        <n v="259.0"/>
        <n v="18.0"/>
        <n v="143.0"/>
        <n v="741.0"/>
        <n v="464.0"/>
        <n v="108.0"/>
        <n v="137.0"/>
        <n v="146.0"/>
        <n v="743.0"/>
        <n v="239.0"/>
        <n v="821.0"/>
        <n v="4.0"/>
        <n v="133.0"/>
        <n v="254.0"/>
        <n v="47.0"/>
        <n v="202.0"/>
        <n v="570.0"/>
        <n v="35.0"/>
        <n v="584.0"/>
        <n v="120.0"/>
        <n v="232.0"/>
        <n v="188.0"/>
        <n v="294.0"/>
        <n v="331.0"/>
        <n v="111.0"/>
        <n v="313.0"/>
        <n v="150.0"/>
        <n v="262.0"/>
        <n v="748.0"/>
        <n v="363.0"/>
        <n v="566.0"/>
        <n v="76.0"/>
        <n v="517.0"/>
        <n v="343.0"/>
        <n v="166.0"/>
        <n v="630.0"/>
        <n v="389.0"/>
        <n v="221.0"/>
        <n v="224.0"/>
        <n v="67.0"/>
        <n v="178.0"/>
        <n v="135.0"/>
        <n v="78.0"/>
        <n v="134.0"/>
        <n v="1133.0"/>
        <n v="163.0"/>
        <n v="459.0"/>
        <n v="165.0"/>
        <n v="185.0"/>
        <n v="315.0"/>
        <n v="671.0"/>
        <n v="398.0"/>
        <n v="822.0"/>
        <n v="341.0"/>
        <n v="442.0"/>
        <n v="444.0"/>
        <n v="110.0"/>
        <n v="463.0"/>
        <n v="114.0"/>
        <n v="525.0"/>
        <n v="349.0"/>
        <n v="241.0"/>
        <n v="199.0"/>
        <n v="43.0"/>
        <n v="69.0"/>
        <n v="14.0"/>
        <n v="340.0"/>
        <n v="56.0"/>
        <n v="99.0"/>
        <n v="283.0"/>
        <n v="240.0"/>
        <n v="552.0"/>
        <n v="372.0"/>
        <n v="653.0"/>
        <n v="892.0"/>
        <n v="141.0"/>
        <n v="272.0"/>
        <n v="2.0"/>
        <n v="300.0"/>
        <n v="312.0"/>
        <n v="142.0"/>
        <n v="104.0"/>
        <n v="27.0"/>
        <n v="128.0"/>
        <n v="359.0"/>
        <n v="651.0"/>
        <n v="323.0"/>
        <n v="3.0"/>
        <n v="502.0"/>
        <n v="144.0"/>
        <n v="554.0"/>
        <n v="132.0"/>
        <n v="34.0"/>
        <n v="229.0"/>
        <n v="358.0"/>
        <n v="207.0"/>
        <n v="516.0"/>
        <n v="395.0"/>
        <n v="393.0"/>
        <n v="83.0"/>
        <n v="428.0"/>
        <n v="226.0"/>
        <n v="366.0"/>
        <n v="87.0"/>
        <n v="19.0"/>
        <n v="212.0"/>
        <n v="151.0"/>
        <n v="370.0"/>
        <n v="287.0"/>
        <n v="373.0"/>
        <n v="71.0"/>
        <n v="450.0"/>
        <n v="277.0"/>
        <n v="520.0"/>
        <n v="61.0"/>
        <n v="645.0"/>
        <n v="93.0"/>
        <n v="391.0"/>
        <n v="308.0"/>
        <n v="183.0"/>
        <n v="82.0"/>
        <n v="125.0"/>
        <n v="321.0"/>
        <n v="439.0"/>
        <n v="458.0"/>
        <n v="91.0"/>
        <n v="96.0"/>
        <n v="580.0"/>
        <n v="686.0"/>
        <n v="180.0"/>
        <n v="536.0"/>
        <n v="445.0"/>
        <n v="414.0"/>
        <n v="31.0"/>
        <n v="182.0"/>
        <n v="461.0"/>
        <n v="86.0"/>
        <n v="342.0"/>
        <n v="228.0"/>
        <n v="9.0"/>
        <n v="140.0"/>
        <n v="432.0"/>
        <n v="422.0"/>
        <n v="225.0"/>
        <n v="149.0"/>
        <n v="588.0"/>
        <n v="161.0"/>
        <n v="160.0"/>
        <n v="506.0"/>
        <n v="264.0"/>
        <n v="546.0"/>
        <n v="334.0"/>
        <n v="351.0"/>
        <n v="126.0"/>
        <n v="148.0"/>
        <n v="158.0"/>
        <n v="513.0"/>
        <n v="290.0"/>
        <n v="131.0"/>
        <n v="472.0"/>
        <n v="528.0"/>
        <n v="109.0"/>
        <n v="962.0"/>
        <n v="156.0"/>
        <n v="173.0"/>
        <n v="176.0"/>
        <n v="362.0"/>
        <n v="106.0"/>
        <n v="295.0"/>
        <n v="215.0"/>
        <n v="482.0"/>
        <n v="469.0"/>
        <n v="534.0"/>
        <n v="412.0"/>
        <n v="302.0"/>
        <n v="507.0"/>
        <n v="462.0"/>
        <n v="278.0"/>
        <n v="102.0"/>
        <n v="314.0"/>
        <n v="258.0"/>
        <n v="1016.0"/>
        <n v="931.0"/>
        <n v="77.0"/>
        <n v="195.0"/>
        <n v="286.0"/>
        <n v="646.0"/>
        <n v="737.0"/>
        <n v="404.0"/>
        <n v="717.0"/>
        <n v="256.0"/>
        <n v="299.0"/>
        <n v="324.0"/>
        <n v="230.0"/>
        <n v="303.0"/>
        <n v="360.0"/>
        <n v="381.0"/>
        <n v="410.0"/>
        <n v="122.0"/>
        <n v="640.0"/>
        <n v="172.0"/>
        <n v="347.0"/>
        <n v="325.0"/>
        <n v="662.0"/>
        <n v="276.0"/>
        <n v="189.0"/>
        <n v="118.0"/>
        <n v="933.0"/>
        <n v="206.0"/>
        <n v="238.0"/>
        <n v="53.0"/>
        <n v="572.0"/>
        <n v="454.0"/>
        <n v="162.0"/>
        <n v="601.0"/>
        <n v="635.0"/>
        <n v="695.0"/>
        <n v="643.0"/>
        <n v="236.0"/>
        <n v="60.0"/>
        <n v="307.0"/>
        <n v="530.0"/>
        <n v="609.0"/>
        <n v="537.0"/>
        <n v="946.0"/>
        <n v="899.0"/>
        <n v="673.0"/>
        <n v="401.0"/>
        <n v="261.0"/>
        <n v="556.0"/>
        <n v="218.0"/>
        <n v="280.0"/>
        <n v="327.0"/>
        <n v="1151.0"/>
        <n v="478.0"/>
        <n v="361.0"/>
        <n v="663.0"/>
        <n v="495.0"/>
        <n v="474.0"/>
        <n v="574.0"/>
        <n v="338.0"/>
        <n v="508.0"/>
        <n v="467.0"/>
        <n v="465.0"/>
        <n v="471.0"/>
        <n v="101.0"/>
        <n v="322.0"/>
        <n v="431.0"/>
        <n v="503.0"/>
        <n v="540.0"/>
        <n v="273.0"/>
        <n v="297.0"/>
        <n v="515.0"/>
        <n v="761.0"/>
        <n v="891.0"/>
        <n v="636.0"/>
        <n v="266.0"/>
        <n v="592.0"/>
        <n v="715.0"/>
        <n v="284.0"/>
        <n v="610.0"/>
        <n v="550.0"/>
        <n v="356.0"/>
        <n v="996.0"/>
        <n v="504.0"/>
        <n v="476.0"/>
        <n v="190.0"/>
        <n v="357.0"/>
        <n v="406.0"/>
        <n v="435.0"/>
        <n v="612.0"/>
        <n v="275.0"/>
        <n v="304.0"/>
        <n v="115.0"/>
        <n v="223.0"/>
        <n v="249.0"/>
        <n v="265.0"/>
        <n v="669.0"/>
        <n v="378.0"/>
        <n v="383.0"/>
        <n v="755.0"/>
        <n v="484.0"/>
        <n v="368.0"/>
        <n v="440.0"/>
        <n v="481.0"/>
        <n v="231.0"/>
        <n v="446.0"/>
        <n v="397.0"/>
        <n v="700.0"/>
        <n v="227.0"/>
        <n v="417.0"/>
        <n v="571.0"/>
        <n v="329.0"/>
        <n v="281.0"/>
        <n v="292.0"/>
        <n v="242.0"/>
        <n v="420.0"/>
        <n v="561.0"/>
        <n v="355.0"/>
        <n v="269.0"/>
        <n v="251.0"/>
        <n v="385.0"/>
        <n v="787.0"/>
        <n v="311.0"/>
        <n v="562.0"/>
        <n v="374.0"/>
        <n v="392.0"/>
        <n v="244.0"/>
        <n v="509.0"/>
        <n v="757.0"/>
        <n v="813.0"/>
        <n v="555.0"/>
        <n v="581.0"/>
        <n v="707.0"/>
        <n v="437.0"/>
      </sharedItems>
    </cacheField>
    <cacheField name="CPA" numFmtId="0">
      <sharedItems containsSemiMixedTypes="0" containsString="0" containsNumber="1">
        <n v="16.74"/>
        <n v="14.99"/>
        <n v="19.07"/>
        <n v="26.47"/>
        <n v="80.97"/>
        <n v="11.65"/>
        <n v="10.36"/>
        <n v="8.8"/>
        <n v="8.78"/>
        <n v="43.8"/>
        <n v="38.02"/>
        <n v="134.74"/>
        <n v="7.66"/>
        <n v="36.89"/>
        <n v="15.6"/>
        <n v="40.32"/>
        <n v="15.65"/>
        <n v="30.16"/>
        <n v="35.54"/>
        <n v="16.01"/>
        <n v="13.25"/>
        <n v="29.43"/>
        <n v="23.87"/>
        <n v="6.75"/>
        <n v="80.24"/>
        <n v="37.12"/>
        <n v="52.96"/>
        <n v="25.87"/>
        <n v="76.07"/>
        <n v="6.78"/>
        <n v="41.42"/>
        <n v="30.24"/>
        <n v="31.37"/>
        <n v="16.34"/>
        <n v="14.02"/>
        <n v="34.8"/>
        <n v="28.26"/>
        <n v="46.95"/>
        <n v="32.58"/>
        <n v="31.01"/>
        <n v="18.27"/>
        <n v="103.34"/>
        <n v="11.13"/>
        <n v="107.29"/>
        <n v="23.8"/>
        <n v="74.53"/>
        <n v="9.11"/>
        <n v="16.37"/>
        <n v="50.53"/>
        <n v="12.69"/>
        <n v="21.25"/>
        <n v="55.23"/>
        <n v="111.44"/>
        <n v="109.38"/>
        <n v="69.23"/>
        <n v="7.83"/>
        <n v="22.08"/>
        <n v="32.1"/>
        <n v="19.93"/>
        <n v="146.05"/>
        <n v="37.28"/>
        <n v="9.56"/>
        <n v="18.35"/>
        <n v="37.24"/>
        <n v="59.26"/>
        <n v="15.09"/>
        <n v="254.3"/>
        <n v="19.81"/>
        <n v="69.24"/>
        <n v="57.05"/>
        <n v="81.36"/>
        <n v="116.16"/>
        <n v="33.93"/>
        <n v="74.67"/>
        <n v="55.26"/>
        <n v="8.15"/>
        <n v="10.08"/>
        <n v="95.94"/>
        <n v="8.47"/>
        <n v="47.57"/>
        <n v="30.75"/>
        <n v="4.95"/>
        <n v="16.32"/>
        <n v="34.04"/>
        <n v="61.56"/>
        <n v="64.34"/>
        <n v="13.57"/>
        <n v="19.9"/>
        <n v="10.65"/>
        <n v="16.33"/>
        <n v="30.25"/>
        <n v="14.36"/>
        <n v="16.19"/>
        <n v="47.81"/>
        <n v="66.9"/>
        <n v="13.54"/>
        <n v="54.65"/>
        <n v="7.67"/>
        <n v="44.88"/>
        <n v="33.44"/>
        <n v="19.01"/>
        <n v="17.48"/>
        <n v="23.23"/>
        <n v="26.12"/>
        <n v="32.17"/>
        <n v="52.11"/>
        <n v="29.28"/>
        <n v="180.02"/>
        <n v="28.0"/>
        <n v="105.23"/>
        <n v="84.91"/>
        <n v="75.32"/>
        <n v="34.09"/>
        <n v="30.63"/>
        <n v="17.19"/>
        <n v="17.68"/>
        <n v="49.01"/>
        <n v="21.99"/>
        <n v="13.77"/>
        <n v="30.3"/>
        <n v="62.51"/>
        <n v="52.59"/>
        <n v="12.25"/>
        <n v="17.86"/>
        <n v="115.8"/>
        <n v="13.01"/>
        <n v="56.49"/>
        <n v="25.62"/>
        <n v="50.43"/>
        <n v="55.15"/>
        <n v="54.42"/>
        <n v="12.26"/>
        <n v="253.67"/>
        <n v="48.82"/>
        <n v="32.47"/>
        <n v="42.69"/>
        <n v="53.28"/>
        <n v="28.9"/>
        <n v="7.22"/>
        <n v="30.06"/>
        <n v="26.21"/>
        <n v="23.61"/>
        <n v="13.46"/>
        <n v="18.04"/>
        <n v="142.92"/>
        <n v="22.72"/>
        <n v="18.5"/>
        <n v="28.51"/>
        <n v="115.44"/>
        <n v="25.2"/>
        <n v="19.84"/>
        <n v="26.76"/>
        <n v="221.48"/>
        <n v="40.21"/>
        <n v="23.14"/>
        <n v="19.0"/>
        <n v="24.83"/>
        <n v="40.7"/>
        <n v="59.03"/>
        <n v="29.53"/>
        <n v="41.35"/>
        <n v="33.25"/>
        <n v="8.26"/>
        <n v="53.25"/>
        <n v="41.9"/>
        <n v="72.32"/>
        <n v="14.82"/>
        <n v="32.56"/>
        <n v="65.3"/>
        <n v="74.1"/>
        <n v="18.25"/>
        <n v="23.98"/>
        <n v="13.21"/>
        <n v="26.95"/>
        <n v="47.61"/>
        <n v="35.0"/>
        <n v="8.58"/>
        <n v="23.4"/>
        <n v="29.71"/>
        <n v="152.01"/>
        <n v="22.16"/>
        <n v="18.87"/>
        <n v="170.81"/>
        <n v="10.35"/>
        <n v="22.75"/>
        <n v="129.74"/>
        <n v="53.46"/>
        <n v="39.47"/>
        <n v="22.45"/>
        <n v="36.07"/>
        <n v="9.54"/>
        <n v="21.33"/>
        <n v="36.68"/>
        <n v="22.22"/>
        <n v="48.54"/>
        <n v="118.67"/>
        <n v="9.9"/>
        <n v="42.14"/>
        <n v="27.25"/>
        <n v="157.39"/>
        <n v="43.71"/>
        <n v="96.43"/>
        <n v="54.78"/>
        <n v="18.43"/>
        <n v="17.65"/>
        <n v="111.23"/>
        <n v="9.07"/>
        <n v="41.74"/>
        <n v="45.4"/>
        <n v="27.74"/>
        <n v="13.68"/>
        <n v="4.87"/>
        <n v="92.42"/>
        <n v="24.04"/>
        <n v="26.62"/>
        <n v="62.07"/>
        <n v="55.38"/>
        <n v="26.25"/>
        <n v="31.87"/>
        <n v="14.21"/>
        <n v="58.83"/>
        <n v="6.86"/>
        <n v="12.68"/>
        <n v="252.65"/>
        <n v="30.88"/>
        <n v="58.16"/>
        <n v="15.57"/>
        <n v="45.96"/>
        <n v="36.16"/>
        <n v="37.68"/>
        <n v="191.39"/>
        <n v="14.37"/>
        <n v="30.76"/>
        <n v="25.42"/>
        <n v="19.22"/>
        <n v="11.81"/>
        <n v="27.31"/>
        <n v="8.86"/>
        <n v="57.27"/>
        <n v="35.27"/>
        <n v="28.06"/>
        <n v="22.54"/>
        <n v="43.31"/>
        <n v="10.05"/>
        <n v="40.31"/>
        <n v="141.99"/>
        <n v="71.93"/>
        <n v="21.37"/>
        <n v="7.88"/>
        <n v="62.72"/>
        <n v="9.17"/>
        <n v="57.07"/>
        <n v="36.34"/>
        <n v="22.63"/>
        <n v="7.75"/>
        <n v="14.59"/>
        <n v="35.21"/>
        <n v="29.48"/>
        <n v="100.08"/>
        <n v="48.96"/>
        <n v="159.83"/>
        <n v="23.02"/>
        <n v="37.06"/>
        <n v="35.74"/>
        <n v="46.85"/>
        <n v="12.51"/>
        <n v="29.8"/>
        <n v="172.82"/>
        <n v="104.02"/>
        <n v="85.85"/>
        <n v="41.15"/>
        <n v="67.99"/>
        <n v="27.94"/>
        <n v="71.8"/>
        <n v="42.59"/>
        <n v="46.08"/>
        <n v="163.51"/>
        <n v="29.17"/>
        <n v="23.89"/>
        <n v="65.74"/>
        <n v="83.9"/>
        <n v="112.99"/>
        <n v="21.29"/>
        <n v="42.77"/>
        <n v="56.68"/>
        <n v="19.13"/>
        <n v="45.26"/>
        <n v="40.57"/>
        <n v="25.61"/>
        <n v="9.06"/>
        <n v="43.3"/>
        <n v="8.33"/>
        <n v="36.86"/>
        <n v="36.97"/>
        <n v="15.95"/>
        <n v="16.27"/>
        <n v="31.02"/>
        <n v="49.91"/>
        <n v="18.52"/>
        <n v="21.14"/>
        <n v="43.24"/>
        <n v="36.41"/>
        <n v="40.87"/>
        <n v="101.17"/>
        <n v="111.15"/>
        <n v="25.16"/>
        <n v="41.77"/>
        <n v="20.26"/>
        <n v="57.67"/>
        <n v="21.86"/>
        <n v="27.98"/>
        <n v="43.2"/>
        <n v="41.16"/>
        <n v="52.85"/>
        <n v="44.16"/>
        <n v="16.83"/>
        <n v="52.37"/>
        <n v="43.33"/>
        <n v="16.31"/>
        <n v="23.68"/>
        <n v="11.93"/>
        <n v="19.1"/>
        <n v="34.93"/>
        <n v="98.71"/>
        <n v="18.08"/>
        <n v="46.16"/>
        <n v="8.2"/>
        <n v="69.42"/>
        <n v="26.45"/>
        <n v="39.25"/>
        <n v="135.82"/>
        <n v="31.78"/>
        <n v="10.75"/>
        <n v="22.29"/>
        <n v="8.52"/>
        <n v="82.01"/>
        <n v="7.96"/>
        <n v="38.39"/>
        <n v="44.71"/>
        <n v="132.44"/>
        <n v="36.58"/>
        <n v="12.4"/>
        <n v="42.09"/>
        <n v="38.17"/>
        <n v="21.21"/>
        <n v="10.22"/>
        <n v="28.01"/>
        <n v="91.28"/>
        <n v="40.16"/>
        <n v="63.36"/>
        <n v="25.76"/>
        <n v="84.09"/>
        <n v="117.97"/>
        <n v="94.67"/>
        <n v="21.56"/>
        <n v="51.42"/>
        <n v="20.62"/>
        <n v="91.69"/>
        <n v="14.74"/>
        <n v="63.91"/>
        <n v="35.12"/>
        <n v="21.82"/>
        <n v="60.76"/>
        <n v="107.84"/>
        <n v="89.05"/>
        <n v="33.68"/>
        <n v="24.87"/>
        <n v="15.19"/>
        <n v="21.71"/>
        <n v="32.41"/>
        <n v="10.47"/>
        <n v="49.64"/>
        <n v="13.61"/>
        <n v="23.09"/>
        <n v="55.82"/>
        <n v="9.88"/>
        <n v="9.75"/>
        <n v="59.99"/>
        <n v="28.66"/>
        <n v="74.16"/>
        <n v="36.55"/>
        <n v="136.43"/>
        <n v="27.44"/>
        <n v="149.64"/>
        <n v="134.35"/>
        <n v="18.56"/>
        <n v="42.71"/>
        <n v="14.43"/>
        <n v="19.97"/>
        <n v="41.7"/>
        <n v="141.23"/>
        <n v="150.31"/>
        <n v="19.35"/>
        <n v="30.61"/>
        <n v="33.0"/>
        <n v="75.75"/>
        <n v="83.04"/>
        <n v="59.06"/>
        <n v="159.45"/>
        <n v="71.1"/>
        <n v="182.66"/>
        <n v="131.68"/>
        <n v="49.06"/>
        <n v="140.64"/>
        <n v="9.3"/>
        <n v="7.5"/>
        <n v="11.82"/>
        <n v="45.0"/>
        <n v="62.42"/>
        <n v="8.48"/>
        <n v="17.44"/>
        <n v="65.8"/>
        <n v="11.62"/>
        <n v="31.93"/>
        <n v="45.62"/>
        <n v="41.32"/>
        <n v="99.53"/>
        <n v="33.02"/>
        <n v="117.61"/>
        <n v="37.27"/>
        <n v="19.3"/>
        <n v="59.14"/>
        <n v="68.28"/>
        <n v="113.4"/>
        <n v="33.55"/>
        <n v="70.32"/>
        <n v="29.07"/>
        <n v="82.0"/>
        <n v="18.69"/>
        <n v="46.51"/>
        <n v="237.27"/>
        <n v="46.11"/>
        <n v="45.06"/>
        <n v="36.92"/>
        <n v="64.86"/>
        <n v="15.64"/>
        <n v="48.79"/>
        <n v="20.0"/>
        <n v="7.04"/>
        <n v="14.13"/>
        <n v="32.64"/>
        <n v="96.56"/>
        <n v="8.93"/>
        <n v="158.46"/>
        <n v="41.1"/>
        <n v="11.53"/>
        <n v="113.65"/>
        <n v="21.69"/>
        <n v="16.39"/>
        <n v="28.75"/>
        <n v="43.5"/>
        <n v="156.88"/>
        <n v="57.96"/>
        <n v="144.57"/>
        <n v="30.68"/>
        <n v="167.92"/>
        <n v="21.16"/>
        <n v="70.08"/>
        <n v="29.01"/>
        <n v="67.08"/>
        <n v="68.13"/>
        <n v="25.52"/>
        <n v="60.35"/>
        <n v="10.45"/>
        <n v="64.3"/>
        <n v="57.4"/>
        <n v="37.84"/>
        <n v="40.14"/>
        <n v="59.21"/>
        <n v="26.0"/>
        <n v="75.66"/>
        <n v="26.42"/>
        <n v="69.58"/>
        <n v="5.3"/>
        <n v="146.77"/>
        <n v="30.86"/>
        <n v="23.88"/>
        <n v="18.59"/>
        <n v="30.34"/>
        <n v="87.72"/>
        <n v="52.84"/>
        <n v="32.23"/>
        <n v="117.29"/>
        <n v="28.49"/>
        <n v="31.55"/>
        <n v="31.79"/>
        <n v="77.78"/>
        <n v="5.83"/>
        <n v="26.64"/>
        <n v="106.81"/>
        <n v="30.2"/>
        <n v="61.09"/>
        <n v="50.48"/>
        <n v="72.94"/>
        <n v="49.07"/>
        <n v="23.65"/>
        <n v="48.19"/>
        <n v="33.31"/>
        <n v="10.34"/>
        <n v="31.61"/>
        <n v="100.48"/>
        <n v="19.2"/>
        <n v="36.33"/>
        <n v="45.7"/>
        <n v="69.96"/>
        <n v="24.62"/>
        <n v="48.98"/>
        <n v="14.56"/>
        <n v="38.66"/>
        <n v="17.66"/>
        <n v="24.16"/>
        <n v="42.75"/>
        <n v="12.1"/>
        <n v="11.67"/>
        <n v="7.12"/>
        <n v="91.43"/>
        <n v="44.01"/>
        <n v="23.28"/>
        <n v="82.08"/>
        <n v="13.14"/>
        <n v="5.44"/>
        <n v="20.54"/>
        <n v="8.34"/>
        <n v="43.83"/>
        <n v="18.84"/>
        <n v="20.77"/>
        <n v="18.98"/>
        <n v="28.62"/>
        <n v="44.36"/>
        <n v="77.13"/>
        <n v="205.11"/>
        <n v="70.17"/>
        <n v="28.71"/>
        <n v="22.77"/>
        <n v="24.0"/>
        <n v="14.65"/>
        <n v="10.82"/>
        <n v="43.65"/>
        <n v="12.84"/>
        <n v="14.52"/>
        <n v="34.66"/>
        <n v="19.02"/>
        <n v="15.0"/>
        <n v="65.81"/>
        <n v="40.89"/>
        <n v="87.1"/>
        <n v="37.18"/>
        <n v="100.92"/>
        <n v="78.11"/>
        <n v="30.22"/>
        <n v="38.89"/>
        <n v="137.81"/>
        <n v="18.21"/>
        <n v="45.29"/>
        <n v="7.08"/>
        <n v="153.64"/>
        <n v="13.12"/>
        <n v="118.46"/>
        <n v="6.37"/>
        <n v="37.76"/>
        <n v="186.47"/>
        <n v="10.69"/>
        <n v="104.01"/>
        <n v="51.49"/>
        <n v="88.37"/>
        <n v="173.31"/>
        <n v="31.64"/>
        <n v="184.66"/>
        <n v="54.03"/>
        <n v="28.78"/>
        <n v="50.59"/>
        <n v="23.3"/>
        <n v="61.57"/>
        <n v="81.92"/>
        <n v="34.32"/>
        <n v="41.13"/>
        <n v="6.95"/>
        <n v="68.46"/>
        <n v="15.05"/>
        <n v="85.02"/>
        <n v="19.56"/>
        <n v="28.09"/>
        <n v="36.29"/>
        <n v="15.08"/>
        <n v="51.25"/>
        <n v="68.79"/>
        <n v="19.29"/>
        <n v="25.23"/>
        <n v="10.85"/>
        <n v="41.02"/>
        <n v="42.19"/>
        <n v="48.88"/>
        <n v="54.16"/>
        <n v="34.45"/>
        <n v="46.92"/>
        <n v="37.1"/>
        <n v="36.27"/>
        <n v="18.49"/>
        <n v="28.07"/>
        <n v="42.3"/>
        <n v="51.3"/>
        <n v="169.93"/>
        <n v="91.94"/>
        <n v="96.63"/>
        <n v="9.18"/>
        <n v="21.38"/>
        <n v="24.69"/>
        <n v="47.19"/>
        <n v="55.51"/>
        <n v="23.31"/>
        <n v="87.74"/>
        <n v="35.01"/>
        <n v="16.14"/>
        <n v="76.44"/>
        <n v="7.01"/>
        <n v="130.95"/>
        <n v="15.69"/>
        <n v="23.9"/>
        <n v="52.39"/>
        <n v="64.95"/>
        <n v="40.02"/>
        <n v="55.86"/>
        <n v="18.53"/>
        <n v="36.14"/>
        <n v="47.43"/>
        <n v="27.37"/>
        <n v="88.58"/>
        <n v="8.38"/>
        <n v="31.17"/>
        <n v="52.86"/>
        <n v="69.84"/>
        <n v="10.91"/>
        <n v="14.28"/>
        <n v="58.57"/>
        <n v="15.66"/>
        <n v="65.94"/>
        <n v="145.21"/>
        <n v="56.97"/>
        <n v="45.76"/>
        <n v="32.05"/>
        <n v="23.59"/>
        <n v="12.21"/>
        <n v="103.18"/>
        <n v="32.2"/>
        <n v="32.16"/>
        <n v="40.22"/>
        <n v="43.4"/>
        <n v="55.89"/>
        <n v="23.79"/>
        <n v="64.19"/>
        <n v="19.82"/>
        <n v="55.19"/>
        <n v="24.2"/>
        <n v="40.04"/>
        <n v="126.27"/>
        <n v="58.87"/>
        <n v="76.01"/>
        <n v="69.89"/>
        <n v="41.17"/>
        <n v="11.51"/>
        <n v="40.38"/>
        <n v="32.32"/>
        <n v="27.19"/>
        <n v="12.61"/>
        <n v="35.6"/>
        <n v="20.45"/>
        <n v="35.78"/>
        <n v="34.0"/>
        <n v="72.3"/>
        <n v="46.42"/>
        <n v="36.78"/>
        <n v="33.77"/>
        <n v="23.34"/>
        <n v="46.56"/>
        <n v="48.58"/>
        <n v="10.88"/>
        <n v="163.72"/>
        <n v="35.43"/>
        <n v="13.85"/>
        <n v="111.26"/>
        <n v="10.13"/>
        <n v="145.66"/>
        <n v="69.05"/>
        <n v="22.81"/>
        <n v="69.56"/>
        <n v="45.54"/>
        <n v="26.16"/>
        <n v="34.26"/>
        <n v="14.54"/>
        <n v="52.46"/>
        <n v="52.89"/>
        <n v="14.61"/>
        <n v="23.03"/>
        <n v="26.57"/>
        <n v="122.35"/>
        <n v="22.91"/>
        <n v="28.34"/>
        <n v="38.95"/>
        <n v="88.09"/>
        <n v="56.13"/>
        <n v="25.72"/>
        <n v="148.45"/>
        <n v="20.93"/>
        <n v="139.42"/>
        <n v="74.66"/>
        <n v="22.69"/>
        <n v="90.85"/>
        <n v="27.65"/>
        <n v="20.1"/>
        <n v="21.42"/>
        <n v="53.81"/>
        <n v="49.83"/>
        <n v="129.5"/>
        <n v="15.91"/>
        <n v="43.23"/>
        <n v="51.93"/>
        <n v="20.12"/>
        <n v="58.65"/>
        <n v="142.94"/>
        <n v="14.6"/>
        <n v="49.98"/>
        <n v="98.5"/>
        <n v="251.41"/>
        <n v="17.76"/>
        <n v="12.92"/>
        <n v="11.58"/>
        <n v="18.85"/>
        <n v="47.45"/>
        <n v="21.73"/>
        <n v="10.55"/>
        <n v="41.05"/>
        <n v="121.04"/>
        <n v="27.95"/>
        <n v="21.66"/>
        <n v="47.82"/>
        <n v="108.22"/>
        <n v="75.73"/>
        <n v="22.65"/>
        <n v="28.15"/>
        <n v="29.73"/>
        <n v="88.71"/>
        <n v="16.96"/>
        <n v="14.46"/>
        <n v="46.23"/>
        <n v="121.06"/>
        <n v="24.68"/>
        <n v="139.97"/>
        <n v="36.44"/>
        <n v="6.7"/>
        <n v="71.63"/>
        <n v="28.8"/>
        <n v="26.01"/>
        <n v="97.68"/>
        <n v="36.62"/>
        <n v="7.39"/>
        <n v="31.52"/>
        <n v="234.19"/>
        <n v="156.87"/>
        <n v="19.49"/>
        <n v="25.41"/>
        <n v="11.18"/>
        <n v="56.35"/>
        <n v="21.45"/>
        <n v="22.71"/>
        <n v="24.5"/>
        <n v="25.77"/>
        <n v="37.16"/>
        <n v="26.32"/>
        <n v="11.92"/>
        <n v="54.02"/>
        <n v="129.84"/>
        <n v="56.82"/>
        <n v="25.29"/>
        <n v="7.42"/>
        <n v="14.32"/>
        <n v="14.27"/>
        <n v="9.03"/>
        <n v="21.65"/>
        <n v="50.37"/>
        <n v="28.45"/>
        <n v="6.55"/>
        <n v="39.8"/>
        <n v="94.15"/>
        <n v="37.71"/>
        <n v="38.9"/>
        <n v="107.21"/>
        <n v="22.02"/>
        <n v="29.82"/>
        <n v="49.36"/>
        <n v="19.12"/>
        <n v="24.52"/>
        <n v="38.64"/>
        <n v="23.41"/>
        <n v="50.49"/>
        <n v="46.06"/>
        <n v="6.88"/>
        <n v="34.65"/>
        <n v="23.57"/>
        <n v="118.0"/>
        <n v="41.04"/>
        <n v="64.22"/>
        <n v="77.63"/>
        <n v="5.63"/>
        <n v="65.86"/>
        <n v="46.63"/>
        <n v="31.11"/>
        <n v="8.35"/>
        <n v="20.5"/>
        <n v="136.7"/>
        <n v="93.97"/>
        <n v="31.12"/>
        <n v="42.38"/>
        <n v="41.4"/>
        <n v="18.81"/>
        <n v="24.98"/>
        <n v="24.06"/>
        <n v="11.68"/>
        <n v="57.56"/>
        <n v="32.25"/>
        <n v="6.14"/>
        <n v="98.03"/>
        <n v="11.86"/>
        <n v="14.75"/>
        <n v="16.55"/>
        <n v="57.61"/>
        <n v="17.98"/>
        <n v="7.18"/>
        <n v="31.48"/>
        <n v="49.72"/>
        <n v="62.66"/>
        <n v="59.35"/>
        <n v="99.35"/>
        <n v="25.31"/>
        <n v="27.96"/>
        <n v="106.23"/>
        <n v="30.9"/>
        <n v="61.69"/>
        <n v="67.68"/>
        <n v="16.43"/>
        <n v="49.48"/>
        <n v="31.42"/>
        <n v="13.07"/>
        <n v="23.04"/>
        <n v="50.47"/>
        <n v="6.33"/>
        <n v="51.47"/>
        <n v="57.73"/>
        <n v="22.25"/>
        <n v="65.53"/>
        <n v="13.41"/>
        <n v="238.1"/>
        <n v="51.8"/>
        <n v="16.58"/>
        <n v="47.72"/>
        <n v="7.94"/>
        <n v="7.58"/>
        <n v="32.09"/>
        <n v="38.65"/>
        <n v="31.14"/>
        <n v="26.58"/>
        <n v="15.13"/>
        <n v="74.41"/>
        <n v="8.53"/>
        <n v="23.92"/>
        <n v="52.88"/>
        <n v="160.98"/>
        <n v="78.16"/>
        <n v="79.36"/>
        <n v="17.62"/>
        <n v="12.88"/>
        <n v="102.42"/>
        <n v="29.52"/>
        <n v="62.65"/>
        <n v="6.52"/>
        <n v="285.14"/>
        <n v="160.52"/>
        <n v="57.3"/>
        <n v="33.23"/>
        <n v="16.42"/>
        <n v="15.34"/>
        <n v="58.86"/>
        <n v="48.76"/>
        <n v="64.96"/>
        <n v="36.05"/>
        <n v="67.07"/>
        <n v="31.46"/>
        <n v="22.14"/>
        <n v="40.23"/>
        <n v="45.6"/>
        <n v="73.53"/>
        <n v="72.56"/>
        <n v="17.72"/>
        <n v="24.66"/>
        <n v="51.55"/>
        <n v="16.62"/>
        <n v="23.58"/>
        <n v="21.34"/>
        <n v="312.98"/>
        <n v="31.44"/>
        <n v="51.53"/>
        <n v="29.24"/>
        <n v="32.53"/>
        <n v="20.22"/>
        <n v="124.15"/>
        <n v="74.52"/>
        <n v="13.81"/>
        <n v="48.5"/>
        <n v="51.0"/>
        <n v="5.01"/>
        <n v="52.66"/>
        <n v="9.43"/>
        <n v="30.44"/>
        <n v="27.62"/>
        <n v="32.66"/>
        <n v="14.97"/>
        <n v="93.2"/>
        <n v="30.64"/>
        <n v="14.48"/>
        <n v="22.18"/>
        <n v="35.17"/>
        <n v="18.06"/>
        <n v="14.34"/>
        <n v="49.86"/>
        <n v="14.29"/>
        <n v="23.06"/>
        <n v="41.58"/>
        <n v="10.54"/>
        <n v="22.59"/>
        <n v="26.68"/>
        <n v="115.62"/>
        <n v="18.19"/>
        <n v="35.3"/>
        <n v="47.83"/>
        <n v="141.3"/>
        <n v="22.83"/>
        <n v="7.47"/>
        <n v="128.36"/>
        <n v="165.82"/>
        <n v="50.08"/>
        <n v="16.8"/>
        <n v="150.47"/>
        <n v="73.16"/>
        <n v="108.03"/>
        <n v="22.07"/>
        <n v="55.94"/>
        <n v="66.8"/>
        <n v="32.85"/>
        <n v="9.58"/>
        <n v="25.17"/>
        <n v="7.7"/>
        <n v="47.75"/>
        <n v="34.72"/>
        <n v="11.69"/>
        <n v="5.88"/>
        <n v="28.5"/>
        <n v="8.43"/>
        <n v="30.15"/>
        <n v="42.8"/>
        <n v="59.07"/>
        <n v="12.58"/>
        <n v="28.46"/>
        <n v="51.44"/>
        <n v="108.79"/>
        <n v="7.98"/>
        <n v="12.9"/>
        <n v="103.78"/>
        <n v="176.22"/>
        <n v="26.51"/>
        <n v="30.51"/>
        <n v="123.55"/>
        <n v="9.76"/>
        <n v="17.49"/>
        <n v="13.55"/>
        <n v="34.44"/>
        <n v="12.86"/>
        <n v="26.15"/>
        <n v="42.23"/>
        <n v="193.73"/>
        <n v="47.18"/>
        <n v="12.08"/>
        <n v="103.47"/>
        <n v="19.59"/>
        <n v="25.88"/>
        <n v="34.11"/>
        <n v="12.5"/>
        <n v="53.15"/>
        <n v="9.32"/>
        <n v="25.06"/>
        <n v="28.74"/>
        <n v="13.94"/>
        <n v="31.4"/>
        <n v="36.1"/>
        <n v="23.97"/>
        <n v="32.93"/>
        <n v="42.67"/>
        <n v="63.43"/>
        <n v="65.31"/>
        <n v="50.66"/>
        <n v="48.47"/>
        <n v="19.94"/>
        <n v="25.6"/>
        <n v="98.53"/>
        <n v="27.32"/>
        <n v="139.75"/>
        <n v="94.58"/>
        <n v="18.71"/>
        <n v="45.85"/>
        <n v="11.5"/>
        <n v="28.02"/>
        <n v="86.3"/>
        <n v="13.03"/>
        <n v="11.47"/>
        <n v="51.08"/>
        <n v="30.8"/>
        <n v="58.1"/>
        <n v="32.49"/>
        <n v="56.46"/>
        <n v="20.98"/>
        <n v="59.51"/>
        <n v="15.7"/>
        <n v="44.61"/>
        <n v="27.56"/>
        <n v="31.81"/>
        <n v="34.08"/>
        <n v="58.28"/>
        <n v="8.5"/>
        <n v="42.35"/>
        <n v="65.25"/>
        <n v="98.75"/>
        <n v="26.8"/>
        <n v="39.98"/>
        <n v="51.03"/>
        <n v="81.43"/>
        <n v="109.02"/>
        <n v="16.81"/>
        <n v="22.58"/>
        <n v="70.75"/>
        <n v="16.92"/>
        <n v="15.2"/>
        <n v="23.74"/>
        <n v="211.06"/>
        <n v="9.24"/>
        <n v="11.8"/>
        <n v="72.57"/>
        <n v="38.93"/>
        <n v="10.93"/>
        <n v="13.44"/>
        <n v="22.53"/>
        <n v="30.28"/>
        <n v="29.08"/>
        <n v="79.48"/>
        <n v="60.61"/>
        <n v="29.75"/>
        <n v="31.09"/>
        <n v="98.87"/>
        <n v="66.68"/>
        <n v="73.37"/>
        <n v="54.99"/>
        <n v="97.11"/>
        <n v="42.96"/>
        <n v="29.58"/>
        <n v="21.11"/>
        <n v="41.26"/>
        <n v="45.75"/>
        <n v="40.34"/>
        <n v="50.12"/>
        <n v="33.63"/>
        <n v="85.21"/>
        <n v="13.72"/>
        <n v="85.06"/>
        <n v="5.98"/>
        <n v="50.56"/>
        <n v="39.59"/>
        <n v="46.52"/>
        <n v="33.35"/>
        <n v="14.69"/>
        <n v="97.07"/>
        <n v="17.33"/>
        <n v="27.9"/>
        <n v="98.79"/>
        <n v="34.63"/>
        <n v="38.71"/>
        <n v="67.75"/>
        <n v="81.13"/>
        <n v="8.17"/>
        <n v="32.94"/>
        <n v="35.49"/>
        <n v="42.79"/>
        <n v="40.11"/>
        <n v="22.96"/>
        <n v="30.03"/>
        <n v="13.15"/>
        <n v="20.43"/>
        <n v="52.29"/>
        <n v="21.19"/>
        <n v="31.16"/>
        <n v="28.64"/>
        <n v="11.88"/>
        <n v="85.31"/>
        <n v="26.69"/>
        <n v="100.86"/>
        <n v="64.04"/>
        <n v="47.54"/>
        <n v="24.45"/>
        <n v="52.82"/>
        <n v="45.82"/>
        <n v="14.07"/>
        <n v="38.97"/>
        <n v="70.27"/>
        <n v="27.48"/>
        <n v="43.69"/>
        <n v="27.71"/>
        <n v="12.02"/>
        <n v="28.65"/>
        <n v="15.67"/>
        <n v="18.47"/>
        <n v="16.71"/>
        <n v="5.76"/>
        <n v="147.52"/>
        <n v="68.6"/>
        <n v="33.96"/>
        <n v="33.82"/>
        <n v="10.46"/>
        <n v="18.94"/>
        <n v="20.32"/>
        <n v="95.17"/>
        <n v="26.17"/>
        <n v="54.69"/>
        <n v="40.92"/>
        <n v="38.25"/>
        <n v="6.12"/>
        <n v="58.84"/>
        <n v="95.29"/>
        <n v="72.1"/>
        <n v="9.91"/>
        <n v="80.13"/>
        <n v="63.2"/>
        <n v="27.04"/>
        <n v="12.38"/>
        <n v="65.44"/>
        <n v="58.96"/>
        <n v="23.51"/>
        <n v="35.48"/>
        <n v="92.34"/>
        <n v="61.2"/>
        <n v="145.45"/>
        <n v="18.0"/>
        <n v="29.93"/>
        <n v="16.46"/>
        <n v="7.45"/>
        <n v="7.6"/>
        <n v="45.43"/>
        <n v="24.07"/>
        <n v="78.89"/>
        <n v="90.55"/>
        <n v="117.74"/>
        <n v="42.58"/>
        <n v="14.12"/>
        <n v="48.64"/>
        <n v="21.26"/>
        <n v="12.65"/>
        <n v="25.39"/>
        <n v="31.62"/>
        <n v="10.76"/>
        <n v="70.66"/>
        <n v="24.01"/>
        <n v="89.23"/>
        <n v="19.42"/>
        <n v="55.43"/>
        <n v="44.32"/>
        <n v="5.07"/>
        <n v="14.88"/>
        <n v="59.48"/>
        <n v="32.54"/>
        <n v="18.05"/>
        <n v="95.22"/>
        <n v="41.19"/>
        <n v="55.78"/>
        <n v="40.6"/>
        <n v="27.46"/>
        <n v="27.81"/>
        <n v="21.39"/>
        <n v="19.27"/>
        <n v="24.6"/>
        <n v="19.33"/>
        <n v="48.0"/>
        <n v="34.55"/>
        <n v="4.99"/>
        <n v="47.15"/>
        <n v="140.81"/>
        <n v="30.18"/>
        <n v="49.74"/>
        <n v="191.8"/>
        <n v="61.53"/>
        <n v="16.5"/>
        <n v="128.78"/>
        <n v="54.32"/>
        <n v="22.98"/>
        <n v="83.91"/>
        <n v="74.77"/>
        <n v="18.89"/>
        <n v="31.65"/>
        <n v="37.73"/>
        <n v="39.57"/>
        <n v="32.03"/>
        <n v="25.46"/>
        <n v="180.34"/>
        <n v="30.96"/>
        <n v="34.41"/>
        <n v="35.38"/>
        <n v="12.62"/>
        <n v="50.58"/>
        <n v="58.62"/>
        <n v="24.49"/>
        <n v="22.44"/>
        <n v="20.48"/>
        <n v="21.57"/>
        <n v="48.14"/>
        <n v="56.81"/>
        <n v="145.51"/>
        <n v="58.0"/>
        <n v="22.2"/>
        <n v="64.45"/>
        <n v="47.22"/>
        <n v="8.65"/>
        <n v="46.86"/>
        <n v="72.2"/>
        <n v="129.38"/>
        <n v="20.66"/>
        <n v="43.89"/>
        <n v="13.99"/>
        <n v="25.25"/>
        <n v="42.95"/>
        <n v="8.87"/>
        <n v="12.0"/>
        <n v="15.88"/>
        <n v="133.97"/>
        <n v="14.89"/>
        <n v="36.46"/>
        <n v="37.08"/>
        <n v="30.62"/>
        <n v="61.21"/>
        <n v="22.04"/>
        <n v="9.29"/>
        <n v="76.36"/>
        <n v="8.05"/>
        <n v="21.83"/>
        <n v="126.78"/>
        <n v="36.26"/>
        <n v="88.34"/>
        <n v="28.36"/>
        <n v="41.55"/>
        <n v="109.46"/>
        <n v="80.53"/>
        <n v="102.2"/>
        <n v="29.36"/>
        <n v="117.73"/>
        <n v="56.83"/>
        <n v="17.31"/>
        <n v="85.7"/>
        <n v="42.37"/>
        <n v="18.86"/>
        <n v="22.26"/>
        <n v="55.85"/>
        <n v="14.8"/>
        <n v="62.49"/>
        <n v="62.99"/>
        <n v="39.86"/>
        <n v="14.35"/>
        <n v="5.79"/>
        <n v="43.87"/>
        <n v="140.53"/>
        <n v="23.55"/>
        <n v="47.96"/>
        <n v="173.23"/>
        <n v="59.85"/>
        <n v="34.64"/>
        <n v="99.29"/>
        <n v="66.94"/>
        <n v="34.19"/>
        <n v="25.9"/>
        <n v="114.44"/>
        <n v="69.29"/>
        <n v="25.86"/>
        <n v="54.2"/>
        <n v="37.79"/>
        <n v="15.31"/>
        <n v="13.83"/>
        <n v="78.56"/>
        <n v="32.7"/>
        <n v="60.16"/>
        <n v="45.19"/>
        <n v="49.76"/>
        <n v="31.18"/>
        <n v="120.12"/>
        <n v="99.41"/>
        <n v="48.22"/>
        <n v="20.34"/>
        <n v="45.89"/>
        <n v="185.02"/>
        <n v="22.74"/>
        <n v="20.15"/>
        <n v="31.77"/>
        <n v="34.84"/>
        <n v="32.97"/>
        <n v="101.37"/>
        <n v="21.5"/>
        <n v="28.88"/>
        <n v="38.42"/>
        <n v="17.16"/>
        <n v="122.52"/>
        <n v="31.24"/>
        <n v="42.81"/>
        <n v="17.84"/>
        <n v="56.6"/>
        <n v="27.33"/>
        <n v="55.16"/>
        <n v="44.62"/>
        <n v="54.71"/>
        <n v="24.32"/>
        <n v="37.51"/>
        <n v="11.36"/>
        <n v="47.32"/>
        <n v="13.88"/>
        <n v="105.56"/>
        <n v="33.32"/>
        <n v="19.28"/>
        <n v="17.53"/>
        <n v="49.21"/>
        <n v="26.88"/>
        <n v="38.8"/>
        <n v="15.55"/>
        <n v="82.92"/>
        <n v="25.95"/>
        <n v="27.39"/>
        <n v="97.1"/>
        <n v="35.72"/>
        <n v="6.76"/>
        <n v="128.01"/>
        <n v="31.83"/>
        <n v="125.21"/>
        <n v="47.71"/>
        <n v="15.54"/>
        <n v="103.98"/>
        <n v="29.22"/>
        <n v="79.73"/>
        <n v="147.42"/>
        <n v="46.2"/>
        <n v="33.17"/>
        <n v="30.52"/>
        <n v="35.26"/>
        <n v="26.74"/>
        <n v="335.86"/>
        <n v="35.59"/>
        <n v="28.03"/>
        <n v="213.75"/>
        <n v="25.34"/>
        <n v="29.92"/>
        <n v="25.24"/>
        <n v="105.6"/>
        <n v="46.58"/>
        <n v="115.54"/>
        <n v="32.02"/>
        <n v="22.47"/>
        <n v="37.53"/>
        <n v="30.37"/>
        <n v="156.65"/>
        <n v="27.67"/>
        <n v="47.85"/>
        <n v="45.67"/>
        <n v="136.5"/>
        <n v="239.81"/>
        <n v="13.96"/>
        <n v="138.84"/>
        <n v="11.99"/>
        <n v="39.76"/>
        <n v="6.62"/>
        <n v="65.42"/>
        <n v="43.03"/>
        <n v="29.03"/>
        <n v="13.28"/>
        <n v="104.24"/>
        <n v="11.83"/>
        <n v="28.4"/>
        <n v="92.73"/>
        <n v="64.77"/>
        <n v="20.13"/>
        <n v="207.9"/>
        <n v="125.31"/>
        <n v="23.25"/>
        <n v="61.79"/>
        <n v="99.84"/>
        <n v="181.78"/>
        <n v="14.45"/>
        <n v="109.9"/>
        <n v="42.89"/>
        <n v="58.11"/>
        <n v="61.71"/>
        <n v="14.93"/>
        <n v="34.22"/>
        <n v="106.68"/>
        <n v="27.14"/>
        <n v="86.7"/>
        <n v="5.31"/>
        <n v="84.15"/>
        <n v="12.36"/>
        <n v="126.96"/>
        <n v="218.74"/>
        <n v="77.4"/>
        <n v="38.19"/>
        <n v="21.07"/>
        <n v="58.42"/>
        <n v="14.72"/>
        <n v="26.77"/>
        <n v="42.44"/>
        <n v="50.72"/>
        <n v="41.83"/>
        <n v="19.37"/>
        <n v="33.61"/>
        <n v="114.47"/>
        <n v="132.47"/>
        <n v="46.77"/>
        <n v="58.27"/>
        <n v="7.14"/>
        <n v="118.9"/>
        <n v="79.54"/>
        <n v="19.58"/>
        <n v="21.9"/>
        <n v="43.07"/>
        <n v="116.61"/>
        <n v="13.0"/>
        <n v="161.67"/>
        <n v="26.98"/>
        <n v="12.39"/>
        <n v="30.71"/>
        <n v="192.14"/>
        <n v="60.82"/>
        <n v="31.8"/>
        <n v="70.02"/>
        <n v="93.76"/>
        <n v="32.11"/>
        <n v="12.19"/>
        <n v="5.53"/>
        <n v="15.3"/>
        <n v="25.75"/>
        <n v="18.32"/>
        <n v="17.47"/>
        <n v="22.46"/>
        <n v="16.23"/>
        <n v="10.03"/>
        <n v="41.33"/>
        <n v="27.4"/>
        <n v="59.71"/>
        <n v="8.79"/>
        <n v="30.19"/>
        <n v="131.62"/>
        <n v="68.56"/>
        <n v="35.61"/>
        <n v="17.11"/>
        <n v="33.14"/>
        <n v="35.86"/>
        <n v="35.71"/>
        <n v="11.4"/>
        <n v="6.24"/>
        <n v="25.57"/>
        <n v="15.53"/>
        <n v="33.4"/>
        <n v="37.19"/>
        <n v="22.94"/>
        <n v="31.9"/>
        <n v="21.12"/>
        <n v="54.96"/>
        <n v="40.48"/>
        <n v="53.79"/>
        <n v="15.78"/>
        <n v="155.89"/>
        <n v="50.74"/>
        <n v="49.69"/>
        <n v="14.98"/>
        <n v="60.56"/>
        <n v="82.09"/>
        <n v="197.61"/>
        <n v="20.7"/>
        <n v="54.53"/>
        <n v="141.7"/>
        <n v="19.15"/>
        <n v="104.08"/>
        <n v="17.26"/>
        <n v="21.53"/>
        <n v="34.02"/>
        <n v="39.31"/>
        <n v="130.78"/>
        <n v="137.39"/>
        <n v="33.86"/>
        <n v="115.35"/>
        <n v="64.0"/>
        <n v="22.9"/>
        <n v="85.57"/>
        <n v="8.7"/>
        <n v="57.45"/>
        <n v="4.8"/>
        <n v="15.76"/>
        <n v="40.64"/>
        <n v="73.14"/>
        <n v="35.44"/>
        <n v="24.38"/>
        <n v="14.01"/>
        <n v="36.37"/>
        <n v="26.29"/>
        <n v="53.49"/>
        <n v="32.46"/>
        <n v="38.82"/>
        <n v="27.45"/>
        <n v="90.39"/>
        <n v="23.05"/>
        <n v="20.86"/>
        <n v="9.99"/>
        <n v="23.43"/>
        <n v="80.54"/>
        <n v="69.52"/>
        <n v="35.41"/>
        <n v="41.43"/>
        <n v="23.49"/>
        <n v="6.87"/>
        <n v="64.5"/>
        <n v="8.99"/>
        <n v="81.38"/>
        <n v="7.3"/>
        <n v="64.41"/>
        <n v="115.78"/>
        <n v="22.0"/>
        <n v="17.59"/>
        <n v="14.51"/>
        <n v="49.95"/>
        <n v="8.1"/>
        <n v="5.29"/>
        <n v="33.49"/>
        <n v="45.23"/>
        <n v="19.63"/>
        <n v="11.41"/>
        <n v="30.41"/>
        <n v="32.73"/>
        <n v="16.79"/>
        <n v="26.73"/>
        <n v="42.88"/>
        <n v="31.86"/>
        <n v="9.93"/>
        <n v="20.87"/>
        <n v="79.69"/>
        <n v="44.94"/>
        <n v="57.35"/>
        <n v="23.42"/>
        <n v="274.87"/>
        <n v="65.16"/>
        <n v="44.19"/>
        <n v="13.24"/>
        <n v="31.07"/>
        <n v="83.49"/>
        <n v="33.56"/>
        <n v="82.48"/>
        <n v="51.31"/>
        <n v="75.74"/>
        <n v="7.68"/>
        <n v="32.88"/>
        <n v="92.26"/>
        <n v="99.7"/>
        <n v="10.29"/>
        <n v="25.19"/>
        <n v="25.05"/>
        <n v="20.4"/>
        <n v="66.73"/>
        <n v="19.36"/>
        <n v="53.31"/>
        <n v="28.16"/>
        <n v="10.25"/>
        <n v="123.18"/>
        <n v="17.02"/>
        <n v="16.53"/>
        <n v="15.93"/>
        <n v="50.29"/>
        <n v="76.59"/>
        <n v="86.62"/>
        <n v="48.3"/>
        <n v="42.63"/>
        <n v="45.51"/>
        <n v="41.57"/>
        <n v="83.41"/>
        <n v="88.19"/>
        <n v="17.08"/>
        <n v="48.63"/>
        <n v="34.69"/>
        <n v="14.44"/>
        <n v="25.45"/>
        <n v="85.89"/>
        <n v="32.38"/>
        <n v="70.52"/>
        <n v="30.98"/>
        <n v="26.63"/>
        <n v="31.15"/>
        <n v="87.57"/>
        <n v="67.79"/>
        <n v="6.54"/>
        <n v="35.22"/>
        <n v="18.37"/>
        <n v="17.71"/>
        <n v="54.89"/>
        <n v="42.07"/>
        <n v="34.18"/>
        <n v="24.13"/>
        <n v="22.33"/>
        <n v="33.18"/>
        <n v="231.25"/>
        <n v="10.68"/>
        <n v="48.92"/>
        <n v="40.91"/>
        <n v="31.27"/>
        <n v="19.71"/>
        <n v="47.2"/>
        <n v="6.9"/>
        <n v="16.68"/>
        <n v="79.47"/>
        <n v="51.96"/>
        <n v="26.46"/>
        <n v="100.35"/>
        <n v="40.82"/>
        <n v="28.63"/>
        <n v="37.9"/>
        <n v="23.19"/>
        <n v="22.42"/>
        <n v="12.54"/>
        <n v="12.75"/>
        <n v="59.75"/>
        <n v="34.33"/>
        <n v="35.93"/>
      </sharedItems>
    </cacheField>
    <cacheField name="revenue" numFmtId="0">
      <sharedItems containsSemiMixedTypes="0" containsString="0" containsNumber="1">
        <n v="4803.43"/>
        <n v="64126.68"/>
        <n v="10489.07"/>
        <n v="50505.07"/>
        <n v="3369.53"/>
        <n v="5220.85"/>
        <n v="12838.56"/>
        <n v="96298.69"/>
        <n v="16531.03"/>
        <n v="966.57"/>
        <n v="23127.27"/>
        <n v="12320.17"/>
        <n v="42434.18"/>
        <n v="78428.38"/>
        <n v="13898.86"/>
        <n v="36717.43"/>
        <n v="56216.92"/>
        <n v="8788.51"/>
        <n v="34433.97"/>
        <n v="4344.96"/>
        <n v="41326.63"/>
        <n v="56289.95"/>
        <n v="124232.5"/>
        <n v="27223.39"/>
        <n v="71482.19"/>
        <n v="24196.95"/>
        <n v="36776.35"/>
        <n v="9253.27"/>
        <n v="8367.46"/>
        <n v="109696.8"/>
        <n v="3966.25"/>
        <n v="28429.29"/>
        <n v="6145.22"/>
        <n v="83385.98"/>
        <n v="10401.62"/>
        <n v="73177.92"/>
        <n v="4383.32"/>
        <n v="1946.19"/>
        <n v="81609.12"/>
        <n v="12746.65"/>
        <n v="27408.56"/>
        <n v="3893.12"/>
        <n v="91949.73"/>
        <n v="6779.29"/>
        <n v="18314.78"/>
        <n v="25958.5"/>
        <n v="7181.17"/>
        <n v="8479.43"/>
        <n v="16337.12"/>
        <n v="12761.51"/>
        <n v="12919.22"/>
        <n v="70823.58"/>
        <n v="1955.09"/>
        <n v="1223.95"/>
        <n v="1896.75"/>
        <n v="10321.59"/>
        <n v="17456.79"/>
        <n v="5627.66"/>
        <n v="25859.74"/>
        <n v="4093.91"/>
        <n v="35127.5"/>
        <n v="10656.96"/>
        <n v="21855.26"/>
        <n v="28726.52"/>
        <n v="15070.44"/>
        <n v="29682.01"/>
        <n v="1273.24"/>
        <n v="20273.71"/>
        <n v="33243.77"/>
        <n v="5119.1"/>
        <n v="1102.53"/>
        <n v="12231.1"/>
        <n v="9739.81"/>
        <n v="22528.38"/>
        <n v="14834.93"/>
        <n v="59980.19"/>
        <n v="31756.12"/>
        <n v="58794.32"/>
        <n v="8584.02"/>
        <n v="75729.26"/>
        <n v="45906.84"/>
        <n v="16973.79"/>
        <n v="44297.15"/>
        <n v="103474.3"/>
        <n v="13465.06"/>
        <n v="2501.87"/>
        <n v="57679.5"/>
        <n v="82096.8"/>
        <n v="3413.17"/>
        <n v="21226.88"/>
        <n v="29391.59"/>
        <n v="16289.72"/>
        <n v="53450.65"/>
        <n v="49256.62"/>
        <n v="4449.98"/>
        <n v="38475.06"/>
        <n v="86383.64"/>
        <n v="2707.5"/>
        <n v="46448.44"/>
        <n v="19750.24"/>
        <n v="20460.25"/>
        <n v="2562.91"/>
        <n v="8233.32"/>
        <n v="5339.04"/>
        <n v="5743.6"/>
        <n v="60681.21"/>
        <n v="37600.62"/>
        <n v="44895.5"/>
        <n v="23773.95"/>
        <n v="33272.11"/>
        <n v="10777.69"/>
        <n v="25060.16"/>
        <n v="3146.23"/>
        <n v="9343.63"/>
        <n v="41067.13"/>
        <n v="60355.75"/>
        <n v="48424.44"/>
        <n v="9540.22"/>
        <n v="88923.49"/>
        <n v="82363.46"/>
        <n v="57936.29"/>
        <n v="7236.65"/>
        <n v="4290.5"/>
        <n v="62355.52"/>
        <n v="91408.9"/>
        <n v="34307.21"/>
        <n v="7044.13"/>
        <n v="42071.17"/>
        <n v="94906.46"/>
        <n v="9232.39"/>
        <n v="16618.47"/>
        <n v="7232.57"/>
        <n v="21439.34"/>
        <n v="22672.12"/>
        <n v="10417.89"/>
        <n v="21584.01"/>
        <n v="27686.79"/>
        <n v="14496.48"/>
        <n v="47769.42"/>
        <n v="33301.04"/>
        <n v="3133.33"/>
        <n v="2475.65"/>
        <n v="25462.93"/>
        <n v="5118.94"/>
        <n v="1746.46"/>
        <n v="3266.45"/>
        <n v="3037.11"/>
        <n v="28717.22"/>
        <n v="29811.83"/>
        <n v="5144.22"/>
        <n v="7343.12"/>
        <n v="25496.94"/>
        <n v="74442.63"/>
        <n v="7635.29"/>
        <n v="3173.67"/>
        <n v="14237.0"/>
        <n v="75172.15"/>
        <n v="13037.25"/>
        <n v="72622.99"/>
        <n v="11353.12"/>
        <n v="24815.09"/>
        <n v="642.18"/>
        <n v="17165.43"/>
        <n v="54921.72"/>
        <n v="7992.11"/>
        <n v="32321.78"/>
        <n v="3882.65"/>
        <n v="99299.9"/>
        <n v="18709.86"/>
        <n v="7335.74"/>
        <n v="54944.54"/>
        <n v="30659.34"/>
        <n v="75656.62"/>
        <n v="65306.0"/>
        <n v="7704.96"/>
        <n v="94022.57"/>
        <n v="70310.53"/>
        <n v="11953.05"/>
        <n v="117827.0"/>
        <n v="4495.51"/>
        <n v="13873.48"/>
        <n v="99795.18"/>
        <n v="9219.46"/>
        <n v="24757.88"/>
        <n v="51038.1"/>
        <n v="39560.54"/>
        <n v="8506.9"/>
        <n v="16587.58"/>
        <n v="2266.94"/>
        <n v="19372.57"/>
        <n v="35393.3"/>
        <n v="73104.85"/>
        <n v="25455.36"/>
        <n v="68395.54"/>
        <n v="1684.43"/>
        <n v="35145.36"/>
        <n v="25620.07"/>
        <n v="170654.7"/>
        <n v="23706.53"/>
        <n v="33634.99"/>
        <n v="10013.26"/>
        <n v="7890.9"/>
        <n v="5446.79"/>
        <n v="35478.84"/>
        <n v="8230.48"/>
        <n v="102990.0"/>
        <n v="1524.57"/>
        <n v="25997.62"/>
        <n v="29354.19"/>
        <n v="26198.96"/>
        <n v="24710.24"/>
        <n v="24136.13"/>
        <n v="106309.3"/>
        <n v="1389.72"/>
        <n v="15982.2"/>
        <n v="14081.65"/>
        <n v="1542.21"/>
        <n v="7976.29"/>
        <n v="21331.58"/>
        <n v="4805.52"/>
        <n v="87569.74"/>
        <n v="5694.61"/>
        <n v="4396.12"/>
        <n v="5476.85"/>
        <n v="80903.28"/>
        <n v="2688.72"/>
        <n v="3191.14"/>
        <n v="1762.93"/>
        <n v="7676.57"/>
        <n v="5215.94"/>
        <n v="62974.93"/>
        <n v="7573.87"/>
        <n v="1855.78"/>
        <n v="53677.08"/>
        <n v="19852.56"/>
        <n v="8002.44"/>
        <n v="56724.23"/>
        <n v="10897.53"/>
        <n v="72605.27"/>
        <n v="3253.81"/>
        <n v="37055.99"/>
        <n v="8923.08"/>
        <n v="28756.15"/>
        <n v="39364.99"/>
        <n v="923.15"/>
        <n v="7811.94"/>
        <n v="10475.22"/>
        <n v="3868.37"/>
        <n v="4076.45"/>
        <n v="35965.7"/>
        <n v="207824.5"/>
        <n v="32045.18"/>
        <n v="41271.28"/>
        <n v="5673.88"/>
        <n v="17789.77"/>
        <n v="24740.95"/>
        <n v="52097.57"/>
        <n v="16618.85"/>
        <n v="4068.49"/>
        <n v="21545.93"/>
        <n v="4749.9"/>
        <n v="24436.96"/>
        <n v="1401.71"/>
        <n v="8107.06"/>
        <n v="49228.57"/>
        <n v="1966.71"/>
        <n v="8251.24"/>
        <n v="64414.08"/>
        <n v="15206.45"/>
        <n v="10138.3"/>
        <n v="4653.12"/>
        <n v="1777.36"/>
        <n v="137884.5"/>
        <n v="9921.38"/>
        <n v="25513.42"/>
        <n v="19637.27"/>
        <n v="28657.57"/>
        <n v="16593.87"/>
        <n v="872.75"/>
        <n v="10542.66"/>
        <n v="134062.7"/>
        <n v="5825.03"/>
        <n v="14861.71"/>
        <n v="48279.89"/>
        <n v="4165.73"/>
        <n v="113988.4"/>
        <n v="11407.42"/>
        <n v="58417.12"/>
        <n v="4734.22"/>
        <n v="13168.69"/>
        <n v="23555.27"/>
        <n v="213823.4"/>
        <n v="64623.96"/>
        <n v="6981.98"/>
        <n v="30360.22"/>
        <n v="27701.27"/>
        <n v="40162.93"/>
        <n v="208986.2"/>
        <n v="71554.77"/>
        <n v="55217.61"/>
        <n v="4077.32"/>
        <n v="17171.74"/>
        <n v="86047.94"/>
        <n v="3231.96"/>
        <n v="5569.82"/>
        <n v="10968.52"/>
        <n v="597.18"/>
        <n v="1435.11"/>
        <n v="20303.14"/>
        <n v="9992.76"/>
        <n v="73673.45"/>
        <n v="11338.98"/>
        <n v="37603.74"/>
        <n v="78044.55"/>
        <n v="7948.11"/>
        <n v="5899.5"/>
        <n v="5534.94"/>
        <n v="12918.19"/>
        <n v="26273.04"/>
        <n v="6227.5"/>
        <n v="25281.15"/>
        <n v="10393.96"/>
        <n v="46549.68"/>
        <n v="43774.92"/>
        <n v="32829.78"/>
        <n v="12412.26"/>
        <n v="17255.28"/>
        <n v="14368.24"/>
        <n v="21671.9"/>
        <n v="28110.42"/>
        <n v="39701.58"/>
        <n v="32525.45"/>
        <n v="2846.94"/>
        <n v="2761.12"/>
        <n v="42043.84"/>
        <n v="6030.56"/>
        <n v="12950.09"/>
        <n v="31071.69"/>
        <n v="91221.43"/>
        <n v="117035.1"/>
        <n v="10328.31"/>
        <n v="139391.8"/>
        <n v="19225.18"/>
        <n v="6784.27"/>
        <n v="1927.71"/>
        <n v="15149.72"/>
        <n v="7813.85"/>
        <n v="45340.29"/>
        <n v="53279.93"/>
        <n v="18411.15"/>
        <n v="16081.05"/>
        <n v="123364.1"/>
        <n v="6794.77"/>
        <n v="22317.92"/>
        <n v="46411.13"/>
        <n v="35803.07"/>
        <n v="14520.06"/>
        <n v="791.56"/>
        <n v="4766.32"/>
        <n v="43055.91"/>
        <n v="4987.6"/>
        <n v="16624.45"/>
        <n v="37847.71"/>
        <n v="38753.89"/>
        <n v="16524.46"/>
        <n v="1137.83"/>
        <n v="5967.58"/>
        <n v="12632.32"/>
        <n v="51746.42"/>
        <n v="2483.8"/>
        <n v="6236.77"/>
        <n v="17285.68"/>
        <n v="14521.43"/>
        <n v="3013.54"/>
        <n v="4757.82"/>
        <n v="5842.59"/>
        <n v="295028.3"/>
        <n v="6163.84"/>
        <n v="13375.79"/>
        <n v="44008.34"/>
        <n v="6211.99"/>
        <n v="41760.07"/>
        <n v="1798.59"/>
        <n v="45753.83"/>
        <n v="29213.28"/>
        <n v="34456.26"/>
        <n v="27759.15"/>
        <n v="1186.19"/>
        <n v="34670.52"/>
        <n v="11521.03"/>
        <n v="9384.9"/>
        <n v="22418.8"/>
        <n v="7553.6"/>
        <n v="3583.95"/>
        <n v="11935.14"/>
        <n v="36680.47"/>
        <n v="42464.91"/>
        <n v="162206.8"/>
        <n v="36574.45"/>
        <n v="8918.68"/>
        <n v="21583.28"/>
        <n v="49251.38"/>
        <n v="37769.59"/>
        <n v="611.36"/>
        <n v="21488.5"/>
        <n v="11815.26"/>
        <n v="122723.1"/>
        <n v="5098.84"/>
        <n v="6604.0"/>
        <n v="20779.66"/>
        <n v="5416.71"/>
        <n v="3555.98"/>
        <n v="3124.11"/>
        <n v="73917.74"/>
        <n v="18762.73"/>
        <n v="25286.78"/>
        <n v="2637.16"/>
        <n v="1319.08"/>
        <n v="4800.81"/>
        <n v="6354.23"/>
        <n v="18155.37"/>
        <n v="9665.89"/>
        <n v="15282.38"/>
        <n v="91145.36"/>
        <n v="34421.71"/>
        <n v="48785.37"/>
        <n v="12311.15"/>
        <n v="5506.03"/>
        <n v="4162.98"/>
        <n v="4447.19"/>
        <n v="14321.34"/>
        <n v="45447.24"/>
        <n v="2659.26"/>
        <n v="7135.44"/>
        <n v="2306.63"/>
        <n v="16435.61"/>
        <n v="21520.64"/>
        <n v="4347.77"/>
        <n v="26865.9"/>
        <n v="8508.68"/>
        <n v="5367.73"/>
        <n v="13261.37"/>
        <n v="58628.48"/>
        <n v="50663.13"/>
        <n v="42108.23"/>
        <n v="115644.5"/>
        <n v="56034.95"/>
        <n v="8691.11"/>
        <n v="133415.0"/>
        <n v="133607.6"/>
        <n v="12042.73"/>
        <n v="47449.87"/>
        <n v="27905.19"/>
        <n v="329.55"/>
        <n v="4626.55"/>
        <n v="14659.06"/>
        <n v="8808.29"/>
        <n v="11467.08"/>
        <n v="40138.5"/>
        <n v="9545.28"/>
        <n v="18303.42"/>
        <n v="18904.07"/>
        <n v="26123.28"/>
        <n v="7800.92"/>
        <n v="386.94"/>
        <n v="35904.36"/>
        <n v="908.68"/>
        <n v="39581.75"/>
        <n v="6481.69"/>
        <n v="18417.53"/>
        <n v="5981.0"/>
        <n v="2467.18"/>
        <n v="29612.56"/>
        <n v="22785.52"/>
        <n v="21837.83"/>
        <n v="26101.34"/>
        <n v="22193.12"/>
        <n v="5935.39"/>
        <n v="28653.63"/>
        <n v="189283.5"/>
        <n v="23590.83"/>
        <n v="2147.95"/>
        <n v="26101.17"/>
        <n v="7342.38"/>
        <n v="3418.15"/>
        <n v="81349.35"/>
        <n v="260.32"/>
        <n v="22322.38"/>
        <n v="22178.1"/>
        <n v="55471.3"/>
        <n v="47885.36"/>
        <n v="17630.23"/>
        <n v="34518.13"/>
        <n v="32318.91"/>
        <n v="18414.15"/>
        <n v="23257.77"/>
        <n v="46285.52"/>
        <n v="1105.17"/>
        <n v="8811.53"/>
        <n v="83080.36"/>
        <n v="13024.34"/>
        <n v="67215.82"/>
        <n v="13520.75"/>
        <n v="41736.54"/>
        <n v="28791.61"/>
        <n v="89376.47"/>
        <n v="21448.35"/>
        <n v="6412.73"/>
        <n v="8842.35"/>
        <n v="49746.79"/>
        <n v="6024.46"/>
        <n v="4981.94"/>
        <n v="5769.59"/>
        <n v="17709.21"/>
        <n v="65541.49"/>
        <n v="27708.88"/>
        <n v="68153.47"/>
        <n v="48445.72"/>
        <n v="14074.18"/>
        <n v="31748.86"/>
        <n v="20395.26"/>
        <n v="912.82"/>
        <n v="1253.71"/>
        <n v="13580.22"/>
        <n v="26737.15"/>
        <n v="12153.4"/>
        <n v="20952.03"/>
        <n v="53965.61"/>
        <n v="42271.31"/>
        <n v="7241.16"/>
        <n v="52487.34"/>
        <n v="82224.93"/>
        <n v="7504.87"/>
        <n v="64189.34"/>
        <n v="7476.28"/>
        <n v="22644.29"/>
        <n v="12555.06"/>
        <n v="33165.74"/>
        <n v="26098.81"/>
        <n v="2243.79"/>
        <n v="24965.13"/>
        <n v="3533.89"/>
        <n v="5921.83"/>
        <n v="12671.79"/>
        <n v="13660.38"/>
        <n v="11807.21"/>
        <n v="2319.58"/>
        <n v="37780.9"/>
        <n v="17509.21"/>
        <n v="67552.8"/>
        <n v="14673.05"/>
        <n v="36419.79"/>
        <n v="1258.31"/>
        <n v="50107.59"/>
        <n v="4965.75"/>
        <n v="2361.23"/>
        <n v="88634.0"/>
        <n v="25169.83"/>
        <n v="26995.02"/>
        <n v="4123.58"/>
        <n v="9884.86"/>
        <n v="16160.9"/>
        <n v="15937.54"/>
        <n v="36177.68"/>
        <n v="72065.02"/>
        <n v="121374.9"/>
        <n v="20354.89"/>
        <n v="13483.54"/>
        <n v="90351.24"/>
        <n v="76404.29"/>
        <n v="12588.99"/>
        <n v="30312.31"/>
        <n v="560.03"/>
        <n v="150775.0"/>
        <n v="14769.75"/>
        <n v="10397.04"/>
        <n v="18110.48"/>
        <n v="3670.88"/>
        <n v="54701.33"/>
        <n v="11150.38"/>
        <n v="3790.94"/>
        <n v="4231.38"/>
        <n v="17255.15"/>
        <n v="3826.61"/>
        <n v="109895.2"/>
        <n v="6716.48"/>
        <n v="2434.91"/>
        <n v="7280.48"/>
        <n v="6012.36"/>
        <n v="71470.23"/>
        <n v="7014.55"/>
        <n v="6284.59"/>
        <n v="5094.36"/>
        <n v="79311.56"/>
        <n v="66254.75"/>
        <n v="38945.83"/>
        <n v="6472.17"/>
        <n v="17495.08"/>
        <n v="6906.4"/>
        <n v="14612.87"/>
        <n v="31285.11"/>
        <n v="25118.55"/>
        <n v="21523.93"/>
        <n v="49067.29"/>
        <n v="19164.89"/>
        <n v="2255.24"/>
        <n v="6827.25"/>
        <n v="41499.01"/>
        <n v="2904.54"/>
        <n v="8983.58"/>
        <n v="19291.23"/>
        <n v="48341.14"/>
        <n v="26357.3"/>
        <n v="4091.03"/>
        <n v="38358.92"/>
        <n v="12612.87"/>
        <n v="4554.08"/>
        <n v="4886.84"/>
        <n v="9636.88"/>
        <n v="2004.67"/>
        <n v="1025.05"/>
        <n v="5366.72"/>
        <n v="8029.71"/>
        <n v="10260.33"/>
        <n v="105685.3"/>
        <n v="41382.29"/>
        <n v="11242.68"/>
        <n v="110383.2"/>
        <n v="24007.44"/>
        <n v="6109.21"/>
        <n v="8926.11"/>
        <n v="38220.88"/>
        <n v="3361.16"/>
        <n v="12312.27"/>
        <n v="94107.07"/>
        <n v="2529.5"/>
        <n v="153650.8"/>
        <n v="4630.48"/>
        <n v="31968.71"/>
        <n v="16744.05"/>
        <n v="23552.19"/>
        <n v="34964.66"/>
        <n v="42781.66"/>
        <n v="9936.27"/>
        <n v="30970.48"/>
        <n v="41434.67"/>
        <n v="25426.86"/>
        <n v="12898.32"/>
        <n v="29012.87"/>
        <n v="11133.49"/>
        <n v="7848.99"/>
        <n v="8262.09"/>
        <n v="89187.58"/>
        <n v="2000.84"/>
        <n v="105359.0"/>
        <n v="3745.84"/>
        <n v="51341.85"/>
        <n v="52673.17"/>
        <n v="118511.8"/>
        <n v="10627.54"/>
        <n v="25718.59"/>
        <n v="112251.7"/>
        <n v="25992.88"/>
        <n v="6469.19"/>
        <n v="17508.47"/>
        <n v="10360.55"/>
        <n v="27593.24"/>
        <n v="12153.39"/>
        <n v="55571.88"/>
        <n v="5864.19"/>
        <n v="86871.54"/>
        <n v="7373.66"/>
        <n v="2655.69"/>
        <n v="58276.63"/>
        <n v="15061.62"/>
        <n v="60002.91"/>
        <n v="15410.94"/>
        <n v="9959.37"/>
        <n v="49052.14"/>
        <n v="17960.45"/>
        <n v="28440.57"/>
        <n v="1433.96"/>
        <n v="11237.04"/>
        <n v="29121.09"/>
        <n v="7932.09"/>
        <n v="28182.41"/>
        <n v="3528.5"/>
        <n v="88233.11"/>
        <n v="7460.79"/>
        <n v="45859.64"/>
        <n v="28288.04"/>
        <n v="108198.8"/>
        <n v="26763.8"/>
        <n v="5146.88"/>
        <n v="90118.48"/>
        <n v="8632.99"/>
        <n v="12329.91"/>
        <n v="14643.53"/>
        <n v="8236.16"/>
        <n v="14897.06"/>
        <n v="22127.3"/>
        <n v="86774.51"/>
        <n v="45161.9"/>
        <n v="16856.48"/>
        <n v="34412.06"/>
        <n v="7568.63"/>
        <n v="70137.51"/>
        <n v="58791.38"/>
        <n v="21018.47"/>
        <n v="30294.1"/>
        <n v="67604.89"/>
        <n v="12930.51"/>
        <n v="95805.85"/>
        <n v="51289.24"/>
        <n v="4865.84"/>
        <n v="11846.71"/>
        <n v="91198.92"/>
        <n v="8615.57"/>
        <n v="4666.78"/>
        <n v="111623.1"/>
        <n v="5163.27"/>
        <n v="31980.19"/>
        <n v="18788.47"/>
        <n v="21350.44"/>
        <n v="61485.88"/>
        <n v="15157.93"/>
        <n v="15989.78"/>
        <n v="38937.53"/>
        <n v="2147.03"/>
        <n v="38776.78"/>
        <n v="3401.33"/>
        <n v="67523.57"/>
        <n v="11886.29"/>
        <n v="11861.33"/>
        <n v="21909.38"/>
        <n v="3679.26"/>
        <n v="22027.39"/>
        <n v="47553.46"/>
        <n v="12719.4"/>
        <n v="7694.86"/>
        <n v="8643.08"/>
        <n v="31939.46"/>
        <n v="3805.56"/>
        <n v="22895.07"/>
        <n v="11434.82"/>
        <n v="84899.73"/>
        <n v="26802.91"/>
        <n v="8409.06"/>
        <n v="6648.74"/>
        <n v="12404.91"/>
        <n v="52669.94"/>
        <n v="6740.12"/>
        <n v="2278.75"/>
        <n v="1671.09"/>
        <n v="18620.43"/>
        <n v="8337.4"/>
        <n v="1786.84"/>
        <n v="56004.19"/>
        <n v="84311.3"/>
        <n v="16864.93"/>
        <n v="11471.83"/>
        <n v="58786.78"/>
        <n v="14288.2"/>
        <n v="2449.28"/>
        <n v="92564.99"/>
        <n v="469.8"/>
        <n v="594.69"/>
        <n v="21754.11"/>
        <n v="22723.24"/>
        <n v="16836.59"/>
        <n v="582.59"/>
        <n v="170813.7"/>
        <n v="15551.2"/>
        <n v="5571.38"/>
        <n v="8446.21"/>
        <n v="2301.99"/>
        <n v="15749.58"/>
        <n v="85112.1"/>
        <n v="5145.31"/>
        <n v="7206.83"/>
        <n v="16688.84"/>
        <n v="1502.31"/>
        <n v="28357.39"/>
        <n v="23192.98"/>
        <n v="48165.44"/>
        <n v="19288.91"/>
        <n v="81942.57"/>
        <n v="10570.76"/>
        <n v="18559.1"/>
        <n v="69461.44"/>
        <n v="4110.39"/>
        <n v="9567.41"/>
        <n v="23745.71"/>
        <n v="75767.62"/>
        <n v="29946.1"/>
        <n v="4734.61"/>
        <n v="2307.39"/>
        <n v="5682.79"/>
        <n v="17092.48"/>
        <n v="57602.12"/>
        <n v="13162.62"/>
        <n v="14702.27"/>
        <n v="8689.29"/>
        <n v="16566.88"/>
        <n v="36583.06"/>
        <n v="116432.0"/>
        <n v="53909.5"/>
        <n v="125930.9"/>
        <n v="60208.51"/>
        <n v="6668.85"/>
        <n v="11334.87"/>
        <n v="19210.72"/>
        <n v="28189.38"/>
        <n v="16795.87"/>
        <n v="62119.33"/>
        <n v="36153.63"/>
        <n v="38447.59"/>
        <n v="19432.37"/>
        <n v="38586.7"/>
        <n v="16464.01"/>
        <n v="20958.57"/>
        <n v="10318.61"/>
        <n v="8958.33"/>
        <n v="10643.48"/>
        <n v="28058.66"/>
        <n v="91782.77"/>
        <n v="21392.38"/>
        <n v="46154.22"/>
        <n v="12452.25"/>
        <n v="14390.19"/>
        <n v="11136.73"/>
        <n v="79985.87"/>
        <n v="33499.38"/>
        <n v="4567.68"/>
        <n v="146453.9"/>
        <n v="142.69"/>
        <n v="39448.18"/>
        <n v="142.71"/>
        <n v="13332.87"/>
        <n v="10442.74"/>
        <n v="12349.14"/>
        <n v="2662.9"/>
        <n v="52195.74"/>
        <n v="10377.15"/>
        <n v="46631.0"/>
        <n v="12104.44"/>
        <n v="4976.05"/>
        <n v="29602.7"/>
        <n v="5305.8"/>
        <n v="17656.92"/>
        <n v="94667.83"/>
        <n v="34626.86"/>
        <n v="30016.66"/>
        <n v="4237.85"/>
        <n v="26767.95"/>
        <n v="81199.4"/>
        <n v="29417.67"/>
        <n v="4874.74"/>
        <n v="799.08"/>
        <n v="6919.55"/>
        <n v="20016.59"/>
        <n v="4380.33"/>
        <n v="207611.3"/>
        <n v="80828.76"/>
        <n v="44145.0"/>
        <n v="224929.4"/>
        <n v="28929.72"/>
        <n v="22165.04"/>
        <n v="36320.54"/>
        <n v="10903.46"/>
        <n v="14018.44"/>
        <n v="25751.07"/>
        <n v="49666.69"/>
        <n v="672.01"/>
        <n v="80440.02"/>
        <n v="35506.6"/>
        <n v="3557.93"/>
        <n v="1100.59"/>
        <n v="27379.91"/>
        <n v="1649.56"/>
        <n v="22435.51"/>
        <n v="29612.74"/>
        <n v="2280.29"/>
        <n v="31918.96"/>
        <n v="8391.32"/>
        <n v="1653.16"/>
        <n v="43732.39"/>
        <n v="108688.4"/>
        <n v="190244.6"/>
        <n v="23357.33"/>
        <n v="24245.52"/>
        <n v="10692.34"/>
        <n v="5072.77"/>
        <n v="60037.86"/>
        <n v="2427.15"/>
        <n v="2770.83"/>
        <n v="4493.83"/>
        <n v="74979.38"/>
        <n v="101587.5"/>
        <n v="15199.33"/>
        <n v="5977.87"/>
        <n v="4747.38"/>
        <n v="3721.4"/>
        <n v="25959.16"/>
        <n v="79057.93"/>
        <n v="66700.13"/>
        <n v="49191.36"/>
        <n v="16387.67"/>
        <n v="20596.75"/>
        <n v="7960.57"/>
        <n v="4547.95"/>
        <n v="34560.39"/>
        <n v="13909.3"/>
        <n v="4179.96"/>
        <n v="23916.94"/>
        <n v="10044.57"/>
        <n v="4188.5"/>
        <n v="16951.26"/>
        <n v="60859.85"/>
        <n v="24076.73"/>
        <n v="4146.07"/>
        <n v="432.4"/>
        <n v="57833.06"/>
        <n v="39826.63"/>
        <n v="79715.61"/>
        <n v="36581.13"/>
        <n v="44353.83"/>
        <n v="35345.21"/>
        <n v="26864.23"/>
        <n v="51868.85"/>
        <n v="1306.45"/>
        <n v="10712.26"/>
        <n v="13095.31"/>
        <n v="43644.89"/>
        <n v="2104.08"/>
        <n v="45066.38"/>
        <n v="1078.62"/>
        <n v="29124.09"/>
        <n v="10930.4"/>
        <n v="17905.2"/>
        <n v="24540.41"/>
        <n v="64805.54"/>
        <n v="15444.21"/>
        <n v="31548.51"/>
        <n v="7355.91"/>
        <n v="4581.7"/>
        <n v="8283.62"/>
        <n v="14107.55"/>
        <n v="11409.44"/>
        <n v="3549.91"/>
        <n v="20688.95"/>
        <n v="12449.27"/>
        <n v="5468.73"/>
        <n v="112821.8"/>
        <n v="13004.03"/>
        <n v="116711.4"/>
        <n v="50560.98"/>
        <n v="20836.16"/>
        <n v="7765.15"/>
        <n v="8119.45"/>
        <n v="39985.98"/>
        <n v="10269.39"/>
        <n v="18027.88"/>
        <n v="10455.25"/>
        <n v="73971.79"/>
        <n v="1397.37"/>
        <n v="37599.64"/>
        <n v="14305.21"/>
        <n v="104498.8"/>
        <n v="18972.8"/>
        <n v="25231.33"/>
        <n v="42279.01"/>
        <n v="47040.47"/>
        <n v="48117.42"/>
        <n v="3637.08"/>
        <n v="5311.42"/>
        <n v="16540.06"/>
        <n v="51456.48"/>
        <n v="30643.55"/>
        <n v="17655.16"/>
        <n v="21663.32"/>
        <n v="15594.76"/>
        <n v="2253.91"/>
        <n v="139478.0"/>
        <n v="55580.46"/>
        <n v="13262.4"/>
        <n v="82597.15"/>
        <n v="21530.58"/>
        <n v="3324.55"/>
        <n v="17184.94"/>
        <n v="15699.11"/>
        <n v="66245.27"/>
        <n v="28774.25"/>
        <n v="60995.17"/>
        <n v="36045.3"/>
        <n v="2623.14"/>
        <n v="39485.52"/>
        <n v="30028.61"/>
        <n v="14121.79"/>
        <n v="11216.46"/>
        <n v="4058.36"/>
        <n v="1445.84"/>
        <n v="18761.36"/>
        <n v="32574.4"/>
        <n v="2887.05"/>
        <n v="85249.68"/>
        <n v="4095.81"/>
        <n v="34156.84"/>
        <n v="3871.2"/>
        <n v="678.51"/>
        <n v="52932.5"/>
        <n v="23043.93"/>
        <n v="14981.67"/>
        <n v="31383.75"/>
        <n v="132401.6"/>
        <n v="22980.94"/>
        <n v="6246.82"/>
        <n v="8174.03"/>
        <n v="2136.83"/>
        <n v="38717.46"/>
        <n v="21777.03"/>
        <n v="2972.32"/>
        <n v="102707.9"/>
        <n v="11553.7"/>
        <n v="12295.52"/>
        <n v="59390.91"/>
        <n v="3556.66"/>
        <n v="3302.39"/>
        <n v="8660.28"/>
        <n v="5289.97"/>
        <n v="30920.99"/>
        <n v="30682.52"/>
        <n v="29467.42"/>
        <n v="2103.0"/>
        <n v="11705.28"/>
        <n v="11281.65"/>
        <n v="37976.42"/>
        <n v="88046.75"/>
        <n v="33814.66"/>
        <n v="87393.19"/>
        <n v="102403.1"/>
        <n v="23770.39"/>
        <n v="68061.76"/>
        <n v="3487.43"/>
        <n v="5066.63"/>
        <n v="38190.22"/>
        <n v="43994.91"/>
        <n v="163989.1"/>
        <n v="10578.46"/>
        <n v="56534.15"/>
        <n v="693.26"/>
        <n v="5647.0"/>
        <n v="3553.78"/>
        <n v="12114.63"/>
        <n v="80503.15"/>
        <n v="22405.85"/>
        <n v="1538.26"/>
        <n v="375.03"/>
        <n v="11611.94"/>
        <n v="12463.37"/>
        <n v="12306.27"/>
        <n v="89314.07"/>
        <n v="28604.24"/>
        <n v="47503.54"/>
        <n v="18551.01"/>
        <n v="30909.61"/>
        <n v="2769.22"/>
        <n v="10297.42"/>
        <n v="143639.1"/>
        <n v="135443.8"/>
        <n v="18520.23"/>
        <n v="5633.14"/>
        <n v="18314.28"/>
        <n v="36552.89"/>
        <n v="2545.35"/>
        <n v="2232.61"/>
        <n v="27317.08"/>
        <n v="8087.57"/>
        <n v="9084.22"/>
        <n v="17387.72"/>
        <n v="106414.0"/>
        <n v="27104.75"/>
        <n v="147520.8"/>
        <n v="41926.28"/>
        <n v="9525.68"/>
        <n v="41247.07"/>
        <n v="6205.33"/>
        <n v="3175.83"/>
        <n v="3201.45"/>
        <n v="17399.72"/>
        <n v="31253.87"/>
        <n v="7117.65"/>
        <n v="44193.52"/>
        <n v="17225.95"/>
        <n v="16979.34"/>
        <n v="165825.4"/>
        <n v="19270.73"/>
        <n v="10356.84"/>
        <n v="5256.07"/>
        <n v="57608.77"/>
        <n v="139644.2"/>
        <n v="52181.09"/>
        <n v="14373.81"/>
        <n v="1673.31"/>
        <n v="13372.82"/>
        <n v="44113.49"/>
        <n v="28878.71"/>
        <n v="2441.19"/>
        <n v="32419.87"/>
        <n v="90694.52"/>
        <n v="16533.53"/>
        <n v="30598.06"/>
        <n v="15065.19"/>
        <n v="3750.0"/>
        <n v="19100.2"/>
        <n v="14164.35"/>
        <n v="2813.84"/>
        <n v="13715.98"/>
        <n v="7520.81"/>
        <n v="9996.49"/>
        <n v="2219.67"/>
        <n v="8930.04"/>
        <n v="50559.85"/>
        <n v="39444.5"/>
        <n v="21100.54"/>
        <n v="7304.51"/>
        <n v="2782.02"/>
        <n v="75085.66"/>
        <n v="36566.56"/>
        <n v="8887.57"/>
        <n v="23788.98"/>
        <n v="242040.0"/>
        <n v="30091.81"/>
        <n v="12031.35"/>
        <n v="20949.79"/>
        <n v="47430.11"/>
        <n v="3324.76"/>
        <n v="6838.55"/>
        <n v="21781.43"/>
        <n v="96504.49"/>
        <n v="1064.02"/>
        <n v="51755.16"/>
        <n v="281693.3"/>
        <n v="1347.41"/>
        <n v="19874.34"/>
        <n v="1411.24"/>
        <n v="110744.5"/>
        <n v="24006.78"/>
        <n v="6345.04"/>
        <n v="25654.56"/>
        <n v="15835.46"/>
        <n v="68709.26"/>
        <n v="2874.83"/>
        <n v="9781.28"/>
        <n v="39533.49"/>
        <n v="6735.72"/>
        <n v="5727.99"/>
        <n v="3848.31"/>
        <n v="11729.57"/>
        <n v="52398.49"/>
        <n v="75491.87"/>
        <n v="37434.38"/>
        <n v="62261.45"/>
        <n v="779.52"/>
        <n v="31787.48"/>
        <n v="738.37"/>
        <n v="3274.44"/>
        <n v="8408.45"/>
        <n v="5383.27"/>
        <n v="28100.44"/>
        <n v="2269.78"/>
        <n v="57767.01"/>
        <n v="3860.75"/>
        <n v="85268.07"/>
        <n v="22069.99"/>
        <n v="48389.85"/>
        <n v="2116.06"/>
        <n v="10121.88"/>
        <n v="465.35"/>
        <n v="148695.9"/>
        <n v="2568.51"/>
        <n v="2614.49"/>
        <n v="62162.63"/>
        <n v="7478.3"/>
        <n v="23854.38"/>
        <n v="29064.28"/>
        <n v="7330.28"/>
        <n v="57395.9"/>
        <n v="642.97"/>
        <n v="4432.12"/>
        <n v="28494.38"/>
        <n v="24319.42"/>
        <n v="1137.71"/>
        <n v="111531.7"/>
        <n v="18246.01"/>
        <n v="2856.1"/>
        <n v="32752.99"/>
        <n v="20925.73"/>
        <n v="139364.5"/>
        <n v="33297.83"/>
        <n v="11111.12"/>
        <n v="1275.11"/>
        <n v="30797.18"/>
        <n v="29891.75"/>
        <n v="116291.9"/>
        <n v="6979.61"/>
        <n v="1849.39"/>
        <n v="27550.99"/>
        <n v="8351.95"/>
        <n v="2916.11"/>
        <n v="1738.76"/>
        <n v="24443.12"/>
        <n v="55705.28"/>
        <n v="1500.74"/>
        <n v="21584.82"/>
        <n v="31358.68"/>
        <n v="6376.7"/>
        <n v="716.51"/>
        <n v="14283.0"/>
        <n v="13056.26"/>
        <n v="11545.1"/>
        <n v="32280.5"/>
        <n v="74747.49"/>
        <n v="20788.45"/>
        <n v="47954.95"/>
        <n v="49646.11"/>
        <n v="61322.57"/>
        <n v="50937.22"/>
        <n v="11449.27"/>
        <n v="9230.05"/>
        <n v="34256.99"/>
        <n v="24525.17"/>
        <n v="84859.67"/>
        <n v="57570.61"/>
        <n v="10447.12"/>
        <n v="32920.35"/>
        <n v="3388.21"/>
        <n v="1238.47"/>
        <n v="151081.1"/>
        <n v="12521.54"/>
        <n v="5063.31"/>
        <n v="21647.86"/>
        <n v="18304.27"/>
        <n v="1921.06"/>
        <n v="7341.13"/>
        <n v="31448.71"/>
        <n v="1480.61"/>
        <n v="8830.01"/>
        <n v="4267.11"/>
        <n v="1461.2"/>
        <n v="5774.95"/>
        <n v="33721.52"/>
        <n v="14211.23"/>
        <n v="9238.12"/>
        <n v="127981.4"/>
        <n v="22164.01"/>
        <n v="46646.16"/>
        <n v="35080.15"/>
        <n v="35387.51"/>
        <n v="16668.75"/>
        <n v="42291.58"/>
        <n v="661.12"/>
        <n v="5907.29"/>
        <n v="16956.51"/>
        <n v="76092.65"/>
        <n v="16290.15"/>
        <n v="25438.17"/>
        <n v="5626.79"/>
        <n v="72430.36"/>
        <n v="4108.2"/>
        <n v="64497.69"/>
        <n v="2210.35"/>
        <n v="18190.79"/>
        <n v="85397.14"/>
        <n v="161.02"/>
        <n v="43235.35"/>
        <n v="16003.58"/>
        <n v="2258.16"/>
        <n v="3680.82"/>
        <n v="31041.33"/>
        <n v="8945.17"/>
        <n v="362.78"/>
        <n v="24562.44"/>
        <n v="12940.72"/>
        <n v="11863.61"/>
        <n v="27461.46"/>
        <n v="8635.5"/>
        <n v="6128.54"/>
        <n v="31192.02"/>
        <n v="18763.62"/>
        <n v="11619.48"/>
        <n v="11780.01"/>
        <n v="19268.21"/>
        <n v="84316.14"/>
        <n v="3408.09"/>
        <n v="18823.45"/>
        <n v="1791.65"/>
        <n v="14410.72"/>
        <n v="43233.91"/>
        <n v="107029.4"/>
        <n v="19601.22"/>
        <n v="7559.0"/>
        <n v="22338.67"/>
        <n v="2625.21"/>
        <n v="35941.14"/>
        <n v="6046.11"/>
        <n v="6676.28"/>
        <n v="43894.09"/>
        <n v="8382.57"/>
        <n v="86296.01"/>
        <n v="12873.07"/>
        <n v="14567.86"/>
        <n v="11645.06"/>
        <n v="21828.0"/>
        <n v="62914.38"/>
        <n v="17905.23"/>
        <n v="135453.2"/>
        <n v="48413.75"/>
        <n v="99930.16"/>
        <n v="27594.33"/>
        <n v="61106.18"/>
        <n v="36559.47"/>
        <n v="871.3"/>
        <n v="26952.54"/>
        <n v="46327.26"/>
        <n v="17697.95"/>
        <n v="20354.07"/>
        <n v="7254.65"/>
        <n v="47765.4"/>
        <n v="69264.33"/>
        <n v="35245.68"/>
        <n v="38495.98"/>
        <n v="4912.79"/>
        <n v="2097.34"/>
        <n v="9221.61"/>
        <n v="35918.24"/>
        <n v="11417.91"/>
        <n v="76527.74"/>
        <n v="6092.69"/>
        <n v="3883.09"/>
        <n v="195233.4"/>
        <n v="2663.68"/>
        <n v="44620.04"/>
        <n v="25379.08"/>
        <n v="34309.56"/>
        <n v="13519.27"/>
        <n v="6028.08"/>
        <n v="31291.1"/>
        <n v="42497.44"/>
        <n v="18090.29"/>
        <n v="4659.21"/>
        <n v="19151.86"/>
        <n v="27133.78"/>
        <n v="15452.61"/>
        <n v="9808.76"/>
        <n v="12575.02"/>
        <n v="5622.21"/>
        <n v="17526.62"/>
        <n v="1623.76"/>
        <n v="11059.11"/>
        <n v="57094.6"/>
        <n v="2412.15"/>
        <n v="133397.7"/>
        <n v="19918.92"/>
        <n v="23130.95"/>
        <n v="21240.9"/>
        <n v="3219.77"/>
        <n v="67036.78"/>
        <n v="9316.26"/>
        <n v="2393.62"/>
        <n v="121588.5"/>
        <n v="72041.28"/>
        <n v="8900.58"/>
        <n v="9234.96"/>
        <n v="43676.76"/>
        <n v="47970.13"/>
        <n v="35667.19"/>
        <n v="31406.57"/>
        <n v="22320.49"/>
        <n v="6302.54"/>
        <n v="4652.6"/>
        <n v="5770.13"/>
        <n v="83739.39"/>
        <n v="22267.98"/>
        <n v="25126.44"/>
        <n v="7719.69"/>
        <n v="196162.9"/>
        <n v="23887.12"/>
        <n v="10684.27"/>
        <n v="6404.23"/>
        <n v="13225.69"/>
        <n v="3310.43"/>
        <n v="37092.55"/>
        <n v="91963.37"/>
        <n v="5625.44"/>
        <n v="33241.31"/>
        <n v="10549.62"/>
        <n v="33757.52"/>
        <n v="45485.98"/>
        <n v="12594.97"/>
        <n v="19679.4"/>
        <n v="39686.47"/>
        <n v="6931.99"/>
        <n v="29721.14"/>
        <n v="21995.7"/>
        <n v="32129.87"/>
        <n v="7160.99"/>
        <n v="23820.26"/>
        <n v="2602.57"/>
        <n v="27104.12"/>
        <n v="17001.07"/>
        <n v="62922.41"/>
        <n v="7211.31"/>
        <n v="24577.78"/>
        <n v="26087.06"/>
        <n v="20140.14"/>
        <n v="74348.97"/>
        <n v="7916.95"/>
        <n v="6787.22"/>
        <n v="27684.26"/>
        <n v="27833.99"/>
        <n v="8616.72"/>
        <n v="130994.6"/>
        <n v="93405.13"/>
        <n v="2367.39"/>
        <n v="6289.61"/>
        <n v="6101.96"/>
        <n v="19023.45"/>
        <n v="2344.33"/>
        <n v="1488.52"/>
        <n v="16115.2"/>
        <n v="12147.08"/>
        <n v="9946.57"/>
        <n v="1813.36"/>
        <n v="24344.87"/>
        <n v="121361.1"/>
        <n v="6284.67"/>
        <n v="6226.83"/>
        <n v="53669.78"/>
        <n v="5591.9"/>
        <n v="86412.59"/>
        <n v="4216.81"/>
        <n v="6510.51"/>
        <n v="25541.81"/>
        <n v="26935.06"/>
        <n v="15403.3"/>
        <n v="20195.05"/>
        <n v="51799.95"/>
        <n v="11413.39"/>
        <n v="902.7"/>
        <n v="15407.61"/>
        <n v="6146.93"/>
        <n v="36561.1"/>
        <n v="76238.77"/>
        <n v="2408.76"/>
        <n v="8894.16"/>
        <n v="24856.01"/>
        <n v="16883.49"/>
        <n v="490.6"/>
        <n v="4879.02"/>
        <n v="104420.1"/>
        <n v="12653.72"/>
        <n v="14817.7"/>
        <n v="13470.33"/>
        <n v="4868.51"/>
        <n v="8952.89"/>
        <n v="62250.35"/>
        <n v="8852.61"/>
        <n v="7132.56"/>
        <n v="46752.65"/>
        <n v="2995.39"/>
        <n v="22499.92"/>
        <n v="52725.19"/>
        <n v="1909.73"/>
        <n v="40442.85"/>
        <n v="13163.33"/>
        <n v="109401.0"/>
        <n v="26733.75"/>
        <n v="1685.69"/>
        <n v="2224.48"/>
        <n v="2098.0"/>
        <n v="24004.25"/>
        <n v="509.29"/>
        <n v="67007.76"/>
        <n v="2728.57"/>
        <n v="20065.19"/>
        <n v="18207.05"/>
        <n v="16951.52"/>
        <n v="1968.12"/>
        <n v="14890.27"/>
        <n v="50787.7"/>
        <n v="23286.47"/>
        <n v="50567.51"/>
        <n v="31194.26"/>
        <n v="21503.08"/>
        <n v="83458.18"/>
        <n v="21637.86"/>
        <n v="15175.48"/>
        <n v="58627.34"/>
        <n v="26098.46"/>
        <n v="98987.51"/>
        <n v="56329.34"/>
        <n v="32171.36"/>
        <n v="11186.61"/>
        <n v="4508.39"/>
        <n v="78186.23"/>
        <n v="8971.28"/>
        <n v="30000.6"/>
        <n v="22074.54"/>
        <n v="19810.32"/>
        <n v="68610.11"/>
        <n v="1590.52"/>
        <n v="39347.29"/>
        <n v="19836.75"/>
        <n v="6244.19"/>
        <n v="1647.61"/>
        <n v="17585.84"/>
        <n v="7450.31"/>
        <n v="513.46"/>
        <n v="34771.85"/>
        <n v="2381.36"/>
        <n v="1284.99"/>
        <n v="9561.0"/>
        <n v="75028.42"/>
        <n v="9045.86"/>
        <n v="50030.33"/>
        <n v="51119.73"/>
        <n v="67766.02"/>
        <n v="102053.9"/>
        <n v="1223.76"/>
        <n v="25405.84"/>
        <n v="7783.0"/>
        <n v="64994.16"/>
        <n v="13565.96"/>
        <n v="30413.14"/>
        <n v="33829.22"/>
        <n v="77929.21"/>
        <n v="34386.07"/>
        <n v="58283.85"/>
        <n v="23539.41"/>
        <n v="21158.33"/>
        <n v="29999.39"/>
        <n v="62193.85"/>
        <n v="19990.89"/>
        <n v="129016.8"/>
        <n v="42397.44"/>
        <n v="30634.7"/>
        <n v="25385.35"/>
        <n v="15202.91"/>
        <n v="155778.9"/>
        <n v="57352.38"/>
        <n v="10226.11"/>
        <n v="6126.9"/>
        <n v="13047.52"/>
        <n v="33307.3"/>
        <n v="45765.16"/>
        <n v="24545.05"/>
        <n v="6975.9"/>
        <n v="3421.56"/>
        <n v="25632.04"/>
        <n v="5190.25"/>
        <n v="82164.4"/>
        <n v="111130.7"/>
        <n v="21574.44"/>
        <n v="17723.39"/>
        <n v="14099.39"/>
        <n v="34788.99"/>
        <n v="18268.77"/>
        <n v="51123.92"/>
        <n v="9297.03"/>
        <n v="8973.49"/>
        <n v="59937.98"/>
        <n v="46988.2"/>
        <n v="6591.07"/>
        <n v="6171.89"/>
        <n v="24738.73"/>
        <n v="38157.72"/>
        <n v="14545.74"/>
        <n v="12829.28"/>
        <n v="78373.31"/>
        <n v="33059.93"/>
        <n v="19667.27"/>
        <n v="47241.24"/>
        <n v="18121.16"/>
        <n v="43094.26"/>
        <n v="31326.97"/>
        <n v="15427.34"/>
        <n v="15789.02"/>
        <n v="7543.67"/>
        <n v="4477.79"/>
        <n v="14486.58"/>
        <n v="118768.9"/>
        <n v="61706.24"/>
        <n v="33184.47"/>
        <n v="39093.51"/>
        <n v="27232.61"/>
        <n v="48056.97"/>
        <n v="5661.1"/>
        <n v="6729.96"/>
        <n v="44433.62"/>
        <n v="40275.46"/>
        <n v="10079.71"/>
        <n v="17903.97"/>
        <n v="46705.85"/>
        <n v="23640.39"/>
        <n v="8299.82"/>
        <n v="3222.58"/>
        <n v="25079.21"/>
        <n v="40775.67"/>
        <n v="10562.14"/>
        <n v="2820.45"/>
        <n v="40433.91"/>
        <n v="24150.02"/>
        <n v="37337.18"/>
        <n v="19425.98"/>
        <n v="17839.23"/>
        <n v="16913.07"/>
        <n v="29617.76"/>
        <n v="5839.17"/>
        <n v="30765.32"/>
        <n v="12113.24"/>
        <n v="10899.61"/>
        <n v="11977.45"/>
        <n v="13568.06"/>
        <n v="19589.64"/>
        <n v="11812.78"/>
        <n v="6822.75"/>
        <n v="12989.18"/>
        <n v="41783.61"/>
        <n v="3539.63"/>
        <n v="93767.6"/>
        <n v="24269.48"/>
        <n v="72736.17"/>
        <n v="1578.78"/>
        <n v="5905.23"/>
        <n v="11660.97"/>
        <n v="14242.93"/>
        <n v="2932.31"/>
        <n v="585.7"/>
        <n v="76876.24"/>
        <n v="30602.6"/>
        <n v="2168.72"/>
        <n v="12521.2"/>
        <n v="52473.54"/>
        <n v="14851.97"/>
        <n v="46873.98"/>
        <n v="16803.54"/>
        <n v="23894.64"/>
        <n v="80812.08"/>
        <n v="49142.56"/>
        <n v="11838.48"/>
        <n v="38810.35"/>
        <n v="30713.7"/>
        <n v="30094.65"/>
        <n v="5082.94"/>
        <n v="4203.19"/>
        <n v="66981.68"/>
        <n v="39424.24"/>
        <n v="1614.11"/>
        <n v="20435.34"/>
        <n v="23975.23"/>
        <n v="86835.97"/>
        <n v="6686.61"/>
        <n v="25985.24"/>
        <n v="54642.18"/>
        <n v="6774.6"/>
        <n v="29346.97"/>
        <n v="34393.23"/>
        <n v="27205.77"/>
        <n v="12200.18"/>
        <n v="1596.24"/>
        <n v="43735.3"/>
        <n v="14249.95"/>
        <n v="8282.71"/>
        <n v="11079.66"/>
        <n v="29701.35"/>
        <n v="19216.96"/>
        <n v="1505.4"/>
        <n v="11838.52"/>
        <n v="32140.46"/>
        <n v="127296.8"/>
        <n v="28643.42"/>
        <n v="16420.6"/>
        <n v="28042.42"/>
        <n v="1359.76"/>
        <n v="26633.21"/>
        <n v="131680.2"/>
        <n v="4720.08"/>
        <n v="3639.22"/>
        <n v="54249.41"/>
        <n v="28769.59"/>
        <n v="23480.01"/>
        <n v="10558.75"/>
        <n v="16954.02"/>
        <n v="95392.09"/>
        <n v="59366.41"/>
        <n v="124224.3"/>
        <n v="20287.27"/>
        <n v="25041.09"/>
        <n v="11204.78"/>
        <n v="2731.41"/>
        <n v="28481.71"/>
        <n v="41334.16"/>
        <n v="10032.66"/>
        <n v="7261.59"/>
        <n v="28216.02"/>
        <n v="21303.72"/>
        <n v="22778.62"/>
        <n v="20056.78"/>
        <n v="20233.22"/>
        <n v="21696.69"/>
        <n v="82753.51"/>
        <n v="35842.03"/>
        <n v="27614.2"/>
        <n v="20819.66"/>
        <n v="35908.75"/>
        <n v="54000.95"/>
        <n v="6214.05"/>
        <n v="1505.14"/>
        <n v="798.87"/>
        <n v="47063.54"/>
        <n v="7362.94"/>
        <n v="77117.41"/>
        <n v="8830.89"/>
        <n v="1368.08"/>
        <n v="7418.36"/>
        <n v="14266.46"/>
        <n v="14113.5"/>
        <n v="624.2"/>
        <n v="7236.18"/>
        <n v="55928.06"/>
        <n v="143237.8"/>
        <n v="32080.73"/>
        <n v="12715.09"/>
        <n v="2988.24"/>
        <n v="10561.64"/>
        <n v="47180.83"/>
        <n v="22792.2"/>
        <n v="16755.51"/>
        <n v="68719.44"/>
        <n v="9891.88"/>
        <n v="5473.28"/>
        <n v="32514.9"/>
        <n v="52558.42"/>
        <n v="16681.83"/>
        <n v="15388.32"/>
        <n v="10510.94"/>
        <n v="2655.91"/>
        <n v="40566.37"/>
        <n v="13381.03"/>
        <n v="181823.3"/>
        <n v="4065.83"/>
        <n v="3165.22"/>
        <n v="31780.44"/>
        <n v="65899.82"/>
        <n v="1008.1"/>
        <n v="3163.73"/>
        <n v="17363.87"/>
        <n v="17772.87"/>
        <n v="15932.35"/>
        <n v="7395.68"/>
        <n v="21180.36"/>
        <n v="26787.94"/>
        <n v="399.8"/>
        <n v="42063.3"/>
        <n v="4467.32"/>
        <n v="13362.88"/>
        <n v="4188.78"/>
        <n v="5887.21"/>
        <n v="35590.01"/>
        <n v="16572.4"/>
        <n v="5936.35"/>
        <n v="8735.32"/>
        <n v="22062.99"/>
        <n v="23120.58"/>
        <n v="81015.37"/>
        <n v="12477.84"/>
        <n v="14776.11"/>
        <n v="39016.05"/>
        <n v="37193.1"/>
        <n v="32610.09"/>
        <n v="103237.8"/>
        <n v="52262.98"/>
        <n v="3807.61"/>
        <n v="30747.28"/>
        <n v="28533.79"/>
        <n v="42565.78"/>
        <n v="12811.32"/>
        <n v="3570.09"/>
        <n v="10456.87"/>
        <n v="21004.5"/>
        <n v="136556.3"/>
        <n v="33172.87"/>
        <n v="200566.9"/>
        <n v="105321.9"/>
        <n v="26004.98"/>
        <n v="13010.72"/>
        <n v="8284.13"/>
      </sharedItems>
    </cacheField>
    <cacheField name="ROAS" numFmtId="0">
      <sharedItems containsSemiMixedTypes="0" containsString="0" containsNumber="1">
        <n v="1.8"/>
        <n v="10.41"/>
        <n v="2.06"/>
        <n v="6.45"/>
        <n v="0.39"/>
        <n v="19.49"/>
        <n v="8.16"/>
        <n v="28.19"/>
        <n v="29.9"/>
        <n v="2.21"/>
        <n v="4.72"/>
        <n v="1.41"/>
        <n v="34.82"/>
        <n v="7.31"/>
        <n v="9.68"/>
        <n v="4.69"/>
        <n v="18.14"/>
        <n v="2.51"/>
        <n v="3.58"/>
        <n v="2.34"/>
        <n v="7.8"/>
        <n v="5.05"/>
        <n v="8.48"/>
        <n v="11.46"/>
        <n v="2.19"/>
        <n v="2.31"/>
        <n v="5.34"/>
        <n v="3.65"/>
        <n v="1.53"/>
        <n v="44.07"/>
        <n v="1.68"/>
        <n v="4.87"/>
        <n v="2.88"/>
        <n v="18.29"/>
        <n v="3.64"/>
        <n v="4.11"/>
        <n v="5.54"/>
        <n v="1.38"/>
        <n v="8.19"/>
        <n v="4.89"/>
        <n v="5.19"/>
        <n v="1.02"/>
        <n v="25.03"/>
        <n v="0.65"/>
        <n v="3.91"/>
        <n v="2.74"/>
        <n v="5.67"/>
        <n v="11.26"/>
        <n v="3.44"/>
        <n v="4.63"/>
        <n v="3.97"/>
        <n v="3.18"/>
        <n v="1.6"/>
        <n v="1.14"/>
        <n v="4.62"/>
        <n v="4.14"/>
        <n v="4.74"/>
        <n v="7.72"/>
        <n v="1.08"/>
        <n v="7.3"/>
        <n v="9.86"/>
        <n v="7.84"/>
        <n v="7.87"/>
        <n v="4.31"/>
        <n v="3.9"/>
        <n v="0.29"/>
        <n v="11.5"/>
        <n v="3.12"/>
        <n v="1.4"/>
        <n v="2.71"/>
        <n v="1.32"/>
        <n v="7.18"/>
        <n v="4.71"/>
        <n v="19.17"/>
        <n v="12.36"/>
        <n v="1.82"/>
        <n v="12.52"/>
        <n v="3.87"/>
        <n v="6.41"/>
        <n v="20.19"/>
        <n v="8.32"/>
        <n v="8.73"/>
        <n v="4.86"/>
        <n v="3.53"/>
        <n v="26.13"/>
        <n v="18.06"/>
        <n v="1.67"/>
        <n v="6.43"/>
        <n v="17.99"/>
        <n v="9.45"/>
        <n v="14.31"/>
        <n v="18.1"/>
        <n v="6.21"/>
        <n v="2.33"/>
        <n v="11.1"/>
        <n v="1.71"/>
        <n v="27.28"/>
        <n v="6.29"/>
        <n v="3.66"/>
        <n v="13.48"/>
        <n v="11.77"/>
        <n v="6.38"/>
        <n v="5.79"/>
        <n v="7.76"/>
        <n v="5.23"/>
        <n v="7.63"/>
        <n v="1.39"/>
        <n v="3.54"/>
        <n v="0.53"/>
        <n v="2.64"/>
        <n v="3.76"/>
        <n v="6.84"/>
        <n v="3.75"/>
        <n v="10.87"/>
        <n v="5.12"/>
        <n v="10.76"/>
        <n v="19.36"/>
        <n v="9.76"/>
        <n v="2.76"/>
        <n v="2.72"/>
        <n v="16.69"/>
        <n v="13.57"/>
        <n v="8.46"/>
        <n v="4.21"/>
        <n v="7.51"/>
        <n v="1.25"/>
        <n v="1.43"/>
        <n v="3.24"/>
        <n v="21.85"/>
        <n v="0.91"/>
        <n v="5.59"/>
        <n v="3.49"/>
        <n v="1.16"/>
        <n v="9.72"/>
        <n v="22.72"/>
        <n v="3.47"/>
        <n v="6.57"/>
        <n v="18.11"/>
        <n v="3.34"/>
        <n v="0.69"/>
        <n v="2.43"/>
        <n v="6.88"/>
        <n v="5.02"/>
        <n v="9.96"/>
        <n v="11.13"/>
        <n v="1.23"/>
        <n v="0.93"/>
        <n v="6.55"/>
        <n v="13.69"/>
        <n v="6.66"/>
        <n v="2.67"/>
        <n v="5.35"/>
        <n v="1.29"/>
        <n v="8.07"/>
        <n v="26.08"/>
        <n v="3.57"/>
        <n v="4.15"/>
        <n v="2.44"/>
        <n v="14.57"/>
        <n v="5.86"/>
        <n v="0.62"/>
        <n v="4.03"/>
        <n v="6.91"/>
        <n v="3.59"/>
        <n v="20.86"/>
        <n v="5.96"/>
        <n v="5.32"/>
        <n v="5.69"/>
        <n v="3.78"/>
        <n v="9.36"/>
        <n v="7.2"/>
        <n v="9.11"/>
        <n v="11.92"/>
        <n v="1.65"/>
        <n v="13.01"/>
        <n v="8.96"/>
        <n v="13.07"/>
        <n v="5.08"/>
        <n v="20.21"/>
        <n v="9.25"/>
        <n v="7.37"/>
        <n v="12.63"/>
        <n v="4.28"/>
        <n v="29.23"/>
        <n v="2.29"/>
        <n v="10.2"/>
        <n v="1.63"/>
        <n v="0.5"/>
        <n v="2.39"/>
        <n v="7.91"/>
        <n v="6.94"/>
        <n v="3.93"/>
        <n v="4.16"/>
        <n v="10.32"/>
        <n v="41.75"/>
        <n v="1.5"/>
        <n v="4.3"/>
        <n v="2.26"/>
        <n v="0.99"/>
        <n v="9.56"/>
        <n v="4.19"/>
        <n v="26.77"/>
        <n v="10.54"/>
        <n v="3.56"/>
        <n v="12.87"/>
        <n v="21.2"/>
        <n v="0.89"/>
        <n v="1.48"/>
        <n v="2.24"/>
        <n v="3.74"/>
        <n v="0.3"/>
        <n v="8.61"/>
        <n v="2.6"/>
        <n v="3.98"/>
        <n v="12.61"/>
        <n v="23.07"/>
        <n v="9.07"/>
        <n v="3.86"/>
        <n v="2.61"/>
        <n v="6.33"/>
        <n v="8.27"/>
        <n v="12.84"/>
        <n v="2.13"/>
        <n v="3.79"/>
        <n v="1.22"/>
        <n v="0.61"/>
        <n v="0.79"/>
        <n v="5.28"/>
        <n v="36.05"/>
        <n v="4.37"/>
        <n v="8.14"/>
        <n v="2.55"/>
        <n v="3.17"/>
        <n v="5.56"/>
        <n v="1.36"/>
        <n v="2.78"/>
        <n v="2.5"/>
        <n v="0.2"/>
        <n v="8.39"/>
        <n v="6.15"/>
        <n v="2.35"/>
        <n v="14.79"/>
        <n v="9.28"/>
        <n v="0.92"/>
        <n v="1.21"/>
        <n v="1.59"/>
        <n v="6.74"/>
        <n v="0.87"/>
        <n v="1.56"/>
        <n v="2.86"/>
        <n v="0.95"/>
        <n v="1.07"/>
        <n v="11.73"/>
        <n v="6.09"/>
        <n v="4.78"/>
        <n v="4.52"/>
        <n v="1.73"/>
        <n v="0.77"/>
        <n v="8.71"/>
        <n v="5.13"/>
        <n v="13.75"/>
        <n v="1.15"/>
        <n v="4.06"/>
        <n v="11.27"/>
        <n v="15.36"/>
        <n v="1.49"/>
        <n v="31.17"/>
        <n v="5.49"/>
        <n v="7.44"/>
        <n v="17.63"/>
        <n v="18.4"/>
        <n v="7.32"/>
        <n v="4.96"/>
        <n v="5.75"/>
        <n v="7.06"/>
        <n v="1.61"/>
        <n v="6.07"/>
        <n v="14.32"/>
        <n v="4.18"/>
        <n v="8.52"/>
        <n v="1.7"/>
        <n v="4.1"/>
        <n v="1.1"/>
        <n v="8.63"/>
        <n v="2.09"/>
        <n v="1.0"/>
        <n v="2.46"/>
        <n v="12.3"/>
        <n v="9.83"/>
        <n v="2.47"/>
        <n v="7.33"/>
        <n v="1.98"/>
        <n v="4.97"/>
        <n v="5.73"/>
        <n v="13.92"/>
        <n v="0.7"/>
        <n v="4.09"/>
        <n v="2.02"/>
        <n v="5.51"/>
        <n v="24.26"/>
        <n v="1.66"/>
        <n v="33.89"/>
        <n v="7.59"/>
        <n v="3.16"/>
        <n v="3.05"/>
        <n v="6.16"/>
        <n v="4.07"/>
        <n v="17.48"/>
        <n v="6.99"/>
        <n v="0.74"/>
        <n v="3.31"/>
        <n v="9.02"/>
        <n v="0.84"/>
        <n v="1.44"/>
        <n v="6.65"/>
        <n v="3.45"/>
        <n v="10.31"/>
        <n v="3.13"/>
        <n v="4.48"/>
        <n v="1.78"/>
        <n v="2.54"/>
        <n v="12.32"/>
        <n v="0.35"/>
        <n v="1.89"/>
        <n v="6.58"/>
        <n v="4.36"/>
        <n v="11.02"/>
        <n v="6.85"/>
        <n v="6.01"/>
        <n v="24.88"/>
        <n v="3.03"/>
        <n v="7.05"/>
        <n v="7.97"/>
        <n v="9.67"/>
        <n v="29.13"/>
        <n v="30.57"/>
        <n v="3.48"/>
        <n v="3.01"/>
        <n v="1.69"/>
        <n v="3.8"/>
        <n v="5.52"/>
        <n v="1.57"/>
        <n v="2.9"/>
        <n v="7.39"/>
        <n v="9.88"/>
        <n v="2.57"/>
        <n v="1.97"/>
        <n v="5.76"/>
        <n v="8.23"/>
        <n v="3.71"/>
        <n v="1.96"/>
        <n v="4.68"/>
        <n v="0.26"/>
        <n v="0.66"/>
        <n v="17.16"/>
        <n v="20.68"/>
        <n v="21.44"/>
        <n v="20.28"/>
        <n v="0.67"/>
        <n v="14.41"/>
        <n v="3.26"/>
        <n v="8.77"/>
        <n v="8.18"/>
        <n v="5.93"/>
        <n v="2.42"/>
        <n v="1.06"/>
        <n v="2.66"/>
        <n v="1.18"/>
        <n v="4.91"/>
        <n v="3.96"/>
        <n v="2.18"/>
        <n v="14.52"/>
        <n v="0.47"/>
        <n v="5.72"/>
        <n v="3.25"/>
        <n v="13.4"/>
        <n v="3.09"/>
        <n v="29.03"/>
        <n v="10.6"/>
        <n v="2.62"/>
        <n v="2.96"/>
        <n v="11.48"/>
        <n v="1.04"/>
        <n v="2.45"/>
        <n v="17.19"/>
        <n v="1.76"/>
        <n v="7.85"/>
        <n v="4.2"/>
        <n v="1.34"/>
        <n v="4.81"/>
        <n v="0.9"/>
        <n v="6.63"/>
        <n v="4.02"/>
        <n v="8.04"/>
        <n v="3.43"/>
        <n v="10.22"/>
        <n v="11.16"/>
        <n v="1.01"/>
        <n v="28.06"/>
        <n v="4.82"/>
        <n v="7.24"/>
        <n v="5.16"/>
        <n v="2.95"/>
        <n v="49.0"/>
        <n v="0.59"/>
        <n v="4.0"/>
        <n v="5.95"/>
        <n v="4.84"/>
        <n v="7.77"/>
        <n v="8.66"/>
        <n v="5.84"/>
        <n v="27.92"/>
        <n v="1.05"/>
        <n v="7.35"/>
        <n v="3.2"/>
        <n v="2.23"/>
        <n v="3.63"/>
        <n v="7.48"/>
        <n v="3.62"/>
        <n v="14.17"/>
        <n v="1.62"/>
        <n v="2.75"/>
        <n v="30.78"/>
        <n v="8.86"/>
        <n v="7.82"/>
        <n v="1.83"/>
        <n v="2.1"/>
        <n v="5.7"/>
        <n v="6.49"/>
        <n v="5.61"/>
        <n v="3.84"/>
        <n v="22.2"/>
        <n v="15.03"/>
        <n v="0.58"/>
        <n v="3.5"/>
        <n v="8.99"/>
        <n v="11.41"/>
        <n v="13.96"/>
        <n v="14.91"/>
        <n v="12.48"/>
        <n v="28.83"/>
        <n v="2.63"/>
        <n v="2.65"/>
        <n v="3.28"/>
        <n v="6.42"/>
        <n v="10.35"/>
        <n v="4.53"/>
        <n v="3.61"/>
        <n v="1.74"/>
        <n v="5.09"/>
        <n v="11.44"/>
        <n v="23.54"/>
        <n v="1.03"/>
        <n v="13.6"/>
        <n v="7.95"/>
        <n v="12.5"/>
        <n v="5.04"/>
        <n v="3.15"/>
        <n v="6.9"/>
        <n v="2.22"/>
        <n v="1.09"/>
        <n v="12.05"/>
        <n v="7.41"/>
        <n v="2.53"/>
        <n v="25.64"/>
        <n v="0.73"/>
        <n v="22.11"/>
        <n v="7.5"/>
        <n v="7.93"/>
        <n v="3.23"/>
        <n v="1.28"/>
        <n v="3.1"/>
        <n v="8.88"/>
        <n v="0.18"/>
        <n v="1.35"/>
        <n v="7.52"/>
        <n v="2.3"/>
        <n v="8.62"/>
        <n v="30.6"/>
        <n v="12.79"/>
        <n v="7.45"/>
        <n v="7.23"/>
        <n v="16.27"/>
        <n v="12.03"/>
        <n v="8.5"/>
        <n v="5.83"/>
        <n v="1.3"/>
        <n v="5.53"/>
        <n v="2.7"/>
        <n v="4.9"/>
        <n v="6.28"/>
        <n v="5.39"/>
        <n v="8.37"/>
        <n v="0.33"/>
        <n v="7.83"/>
        <n v="27.66"/>
        <n v="2.28"/>
        <n v="10.05"/>
        <n v="31.95"/>
        <n v="15.68"/>
        <n v="11.3"/>
        <n v="3.6"/>
        <n v="4.43"/>
        <n v="9.4"/>
        <n v="5.22"/>
        <n v="6.39"/>
        <n v="3.22"/>
        <n v="19.85"/>
        <n v="9.17"/>
        <n v="11.87"/>
        <n v="18.93"/>
        <n v="20.05"/>
        <n v="1.95"/>
        <n v="9.06"/>
        <n v="4.88"/>
        <n v="1.24"/>
        <n v="5.63"/>
        <n v="10.48"/>
        <n v="5.85"/>
        <n v="4.35"/>
        <n v="4.24"/>
        <n v="6.81"/>
        <n v="2.32"/>
        <n v="10.86"/>
        <n v="2.56"/>
        <n v="0.64"/>
        <n v="4.42"/>
        <n v="0.68"/>
        <n v="3.39"/>
        <n v="17.74"/>
        <n v="6.64"/>
        <n v="8.1"/>
        <n v="9.43"/>
        <n v="21.89"/>
        <n v="10.44"/>
        <n v="0.98"/>
        <n v="4.4"/>
        <n v="6.32"/>
        <n v="6.02"/>
        <n v="2.17"/>
        <n v="6.25"/>
        <n v="0.75"/>
        <n v="7.98"/>
        <n v="10.28"/>
        <n v="16.08"/>
        <n v="7.69"/>
        <n v="2.89"/>
        <n v="11.32"/>
        <n v="7.58"/>
        <n v="13.78"/>
        <n v="10.39"/>
        <n v="4.85"/>
        <n v="10.29"/>
        <n v="6.22"/>
        <n v="3.11"/>
        <n v="0.63"/>
        <n v="6.44"/>
        <n v="1.94"/>
        <n v="3.19"/>
        <n v="8.13"/>
        <n v="1.79"/>
        <n v="3.69"/>
        <n v="4.77"/>
        <n v="4.38"/>
        <n v="10.4"/>
        <n v="4.44"/>
        <n v="20.91"/>
        <n v="7.25"/>
        <n v="2.98"/>
        <n v="19.34"/>
        <n v="4.27"/>
        <n v="0.49"/>
        <n v="3.55"/>
        <n v="11.68"/>
        <n v="0.55"/>
        <n v="0.71"/>
        <n v="6.03"/>
        <n v="15.49"/>
        <n v="31.15"/>
        <n v="7.75"/>
        <n v="1.84"/>
        <n v="5.8"/>
        <n v="5.81"/>
        <n v="31.13"/>
        <n v="1.54"/>
        <n v="10.51"/>
        <n v="1.2"/>
        <n v="5.94"/>
        <n v="7.26"/>
        <n v="2.11"/>
        <n v="11.95"/>
        <n v="2.84"/>
        <n v="7.36"/>
        <n v="3.14"/>
        <n v="8.21"/>
        <n v="6.5"/>
        <n v="11.07"/>
        <n v="22.53"/>
        <n v="4.64"/>
        <n v="28.76"/>
        <n v="8.15"/>
        <n v="14.14"/>
        <n v="12.42"/>
        <n v="6.11"/>
        <n v="1.42"/>
        <n v="12.51"/>
        <n v="2.38"/>
        <n v="4.65"/>
        <n v="3.67"/>
        <n v="2.05"/>
        <n v="41.98"/>
        <n v="1.37"/>
        <n v="8.33"/>
        <n v="1.55"/>
        <n v="20.07"/>
        <n v="4.26"/>
        <n v="27.1"/>
        <n v="9.05"/>
        <n v="6.59"/>
        <n v="10.75"/>
        <n v="3.51"/>
        <n v="10.7"/>
        <n v="5.36"/>
        <n v="14.23"/>
        <n v="10.74"/>
        <n v="13.83"/>
        <n v="18.13"/>
        <n v="14.59"/>
        <n v="16.01"/>
        <n v="19.98"/>
        <n v="5.25"/>
        <n v="2.91"/>
        <n v="4.29"/>
        <n v="0.97"/>
        <n v="0.51"/>
        <n v="12.76"/>
        <n v="2.07"/>
        <n v="40.76"/>
        <n v="1.12"/>
        <n v="6.08"/>
        <n v="17.02"/>
        <n v="0.13"/>
        <n v="0.86"/>
        <n v="17.85"/>
        <n v="5.58"/>
        <n v="2.92"/>
        <n v="13.13"/>
        <n v="3.0"/>
        <n v="28.54"/>
        <n v="7.55"/>
        <n v="16.95"/>
        <n v="12.23"/>
        <n v="11.64"/>
        <n v="2.73"/>
        <n v="8.09"/>
        <n v="4.17"/>
        <n v="11.39"/>
        <n v="0.15"/>
        <n v="0.22"/>
        <n v="5.21"/>
        <n v="10.58"/>
        <n v="5.29"/>
        <n v="2.83"/>
        <n v="4.8"/>
        <n v="7.73"/>
        <n v="2.97"/>
        <n v="5.17"/>
        <n v="2.27"/>
        <n v="2.41"/>
        <n v="2.93"/>
        <n v="5.46"/>
        <n v="4.6"/>
        <n v="4.41"/>
        <n v="13.18"/>
        <n v="5.24"/>
        <n v="10.64"/>
        <n v="0.19"/>
        <n v="2.25"/>
        <n v="5.66"/>
        <n v="1.19"/>
        <n v="15.76"/>
        <n v="22.87"/>
        <n v="3.85"/>
        <n v="6.96"/>
        <n v="5.47"/>
        <n v="8.74"/>
        <n v="14.38"/>
        <n v="4.33"/>
        <n v="10.72"/>
        <n v="12.0"/>
        <n v="6.61"/>
        <n v="14.39"/>
        <n v="10.33"/>
        <n v="36.13"/>
        <n v="2.2"/>
        <n v="6.26"/>
        <n v="3.21"/>
        <n v="1.88"/>
        <n v="12.34"/>
        <n v="4.54"/>
        <n v="6.2"/>
        <n v="18.67"/>
        <n v="10.79"/>
        <n v="5.31"/>
        <n v="2.77"/>
        <n v="14.08"/>
        <n v="9.53"/>
        <n v="5.65"/>
        <n v="10.25"/>
        <n v="36.52"/>
        <n v="13.29"/>
        <n v="0.6"/>
        <n v="2.8"/>
        <n v="6.0"/>
        <n v="1.27"/>
        <n v="17.51"/>
        <n v="14.36"/>
        <n v="13.74"/>
        <n v="8.92"/>
        <n v="0.72"/>
        <n v="4.49"/>
        <n v="3.33"/>
        <n v="10.21"/>
        <n v="0.45"/>
        <n v="7.68"/>
        <n v="11.09"/>
        <n v="2.04"/>
        <n v="26.87"/>
        <n v="5.88"/>
        <n v="8.89"/>
        <n v="16.33"/>
        <n v="2.14"/>
        <n v="9.75"/>
        <n v="4.92"/>
        <n v="7.09"/>
        <n v="15.55"/>
        <n v="18.61"/>
        <n v="8.83"/>
        <n v="0.4"/>
        <n v="23.63"/>
        <n v="5.26"/>
        <n v="1.81"/>
        <n v="18.92"/>
        <n v="3.83"/>
        <n v="3.72"/>
        <n v="32.5"/>
        <n v="1.9"/>
        <n v="1.33"/>
        <n v="2.58"/>
        <n v="8.91"/>
        <n v="3.81"/>
        <n v="10.36"/>
        <n v="16.8"/>
        <n v="18.5"/>
        <n v="1.92"/>
        <n v="4.04"/>
        <n v="13.97"/>
        <n v="9.16"/>
        <n v="3.27"/>
        <n v="9.49"/>
        <n v="2.59"/>
        <n v="0.82"/>
        <n v="0.94"/>
        <n v="5.2"/>
        <n v="3.07"/>
        <n v="14.05"/>
        <n v="4.08"/>
        <n v="7.14"/>
        <n v="20.04"/>
        <n v="30.01"/>
        <n v="4.99"/>
        <n v="19.77"/>
        <n v="9.38"/>
        <n v="0.37"/>
        <n v="13.85"/>
        <n v="14.13"/>
        <n v="4.83"/>
        <n v="5.99"/>
        <n v="21.95"/>
        <n v="6.77"/>
        <n v="6.92"/>
        <n v="15.12"/>
        <n v="13.15"/>
        <n v="8.22"/>
        <n v="8.72"/>
        <n v="5.44"/>
        <n v="11.69"/>
        <n v="2.16"/>
        <n v="3.36"/>
        <n v="16.25"/>
        <n v="11.2"/>
        <n v="3.35"/>
        <n v="9.19"/>
        <n v="18.37"/>
        <n v="6.36"/>
        <n v="11.59"/>
        <n v="36.37"/>
        <n v="12.86"/>
        <n v="9.34"/>
        <n v="5.03"/>
        <n v="4.76"/>
        <n v="4.93"/>
        <n v="13.43"/>
        <n v="3.82"/>
        <n v="12.13"/>
        <n v="1.11"/>
        <n v="1.45"/>
        <n v="9.59"/>
        <n v="19.15"/>
        <n v="3.3"/>
        <n v="20.65"/>
        <n v="3.92"/>
        <n v="7.7"/>
        <n v="22.76"/>
        <n v="1.52"/>
        <n v="12.18"/>
        <n v="10.99"/>
        <n v="3.68"/>
        <n v="10.08"/>
        <n v="1.72"/>
        <n v="5.01"/>
        <n v="12.72"/>
        <n v="10.0"/>
        <n v="11.4"/>
        <n v="6.46"/>
        <n v="32.64"/>
        <n v="9.79"/>
        <n v="0.25"/>
        <n v="0.31"/>
        <n v="5.55"/>
        <n v="10.59"/>
        <n v="4.98"/>
        <n v="10.96"/>
        <n v="13.36"/>
        <n v="16.0"/>
        <n v="12.8"/>
        <n v="4.47"/>
        <n v="5.14"/>
        <n v="8.57"/>
        <n v="11.99"/>
        <n v="6.27"/>
        <n v="15.42"/>
        <n v="9.71"/>
        <n v="2.12"/>
        <n v="6.79"/>
        <n v="11.21"/>
        <n v="7.64"/>
        <n v="14.47"/>
        <n v="19.13"/>
        <n v="3.06"/>
        <n v="15.33"/>
        <n v="5.87"/>
        <n v="3.38"/>
        <n v="2.0"/>
        <n v="14.71"/>
        <n v="22.96"/>
        <n v="11.82"/>
        <n v="11.04"/>
        <n v="10.11"/>
        <n v="8.01"/>
        <n v="38.73"/>
        <n v="8.12"/>
        <n v="1.51"/>
        <n v="10.38"/>
        <n v="3.29"/>
        <n v="0.36"/>
        <n v="7.1"/>
        <n v="12.43"/>
        <n v="14.51"/>
        <n v="4.55"/>
        <n v="4.58"/>
        <n v="3.32"/>
        <n v="13.46"/>
        <n v="6.72"/>
        <n v="5.41"/>
        <n v="8.43"/>
        <n v="6.04"/>
        <n v="6.98"/>
        <n v="1.85"/>
        <n v="7.13"/>
        <n v="7.19"/>
        <n v="8.75"/>
        <n v="3.04"/>
        <n v="8.02"/>
        <n v="14.69"/>
        <n v="12.02"/>
        <n v="6.89"/>
        <n v="10.91"/>
        <n v="3.7"/>
        <n v="15.61"/>
        <n v="0.85"/>
        <n v="7.74"/>
        <n v="1.91"/>
        <n v="1.64"/>
        <n v="1.26"/>
        <n v="0.81"/>
        <n v="8.28"/>
        <n v="7.96"/>
        <n v="0.44"/>
        <n v="2.01"/>
        <n v="0.43"/>
        <n v="12.94"/>
        <n v="2.03"/>
        <n v="36.22"/>
        <n v="2.99"/>
        <n v="6.48"/>
        <n v="19.79"/>
        <n v="24.9"/>
        <n v="14.66"/>
        <n v="8.79"/>
        <n v="10.19"/>
        <n v="46.7"/>
        <n v="21.84"/>
        <n v="1.93"/>
        <n v="5.71"/>
        <n v="7.65"/>
        <n v="5.4"/>
        <n v="12.25"/>
        <n v="5.06"/>
        <n v="38.13"/>
        <n v="7.43"/>
        <n v="9.27"/>
        <n v="3.42"/>
        <n v="0.88"/>
        <n v="18.02"/>
        <n v="15.26"/>
        <n v="35.43"/>
        <n v="18.03"/>
        <n v="8.08"/>
        <n v="11.81"/>
        <n v="4.51"/>
        <n v="3.41"/>
        <n v="8.4"/>
        <n v="5.15"/>
        <n v="4.59"/>
        <n v="31.21"/>
        <n v="6.06"/>
        <n v="5.42"/>
        <n v="8.29"/>
        <n v="13.24"/>
        <n v="10.98"/>
        <n v="3.4"/>
        <n v="1.99"/>
        <n v="15.19"/>
        <n v="8.95"/>
        <n v="2.68"/>
        <n v="0.52"/>
        <n v="17.78"/>
        <n v="1.17"/>
        <n v="33.68"/>
        <n v="31.92"/>
        <n v="6.19"/>
        <n v="11.84"/>
        <n v="6.6"/>
        <n v="9.21"/>
        <n v="3.46"/>
        <n v="19.68"/>
        <n v="7.81"/>
        <n v="10.83"/>
        <n v="16.54"/>
        <n v="5.98"/>
        <n v="1.87"/>
        <n v="16.28"/>
        <n v="21.9"/>
        <n v="13.25"/>
        <n v="39.02"/>
        <n v="6.75"/>
        <n v="11.62"/>
        <n v="3.08"/>
        <n v="24.94"/>
        <n v="9.37"/>
        <n v="8.8"/>
        <n v="6.82"/>
        <n v="26.09"/>
        <n v="2.85"/>
        <n v="7.12"/>
        <n v="15.51"/>
        <n v="16.04"/>
        <n v="11.0"/>
        <n v="1.58"/>
        <n v="12.37"/>
        <n v="3.95"/>
        <n v="9.2"/>
        <n v="1.75"/>
        <n v="15.46"/>
        <n v="14.68"/>
        <n v="15.07"/>
        <n v="14.01"/>
        <n v="0.78"/>
        <n v="6.93"/>
        <n v="10.26"/>
        <n v="4.67"/>
        <n v="18.41"/>
        <n v="15.82"/>
        <n v="8.7"/>
        <n v="2.49"/>
        <n v="7.9"/>
        <n v="22.62"/>
        <n v="18.9"/>
      </sharedItems>
    </cacheField>
    <cacheField name="CAC" numFmtId="0">
      <sharedItems containsSemiMixedTypes="0" containsString="0" containsNumber="1">
        <n v="16.744528301886792"/>
        <n v="14.986861313868614"/>
        <n v="19.072471910112363"/>
        <n v="26.46689189189189"/>
        <n v="80.96981308411215"/>
        <n v="11.64695652173913"/>
        <n v="10.356315789473685"/>
        <n v="8.804536082474227"/>
        <n v="8.775079365079366"/>
        <n v="43.802"/>
        <n v="38.02046511627907"/>
        <n v="134.74215384615385"/>
        <n v="7.664528301886793"/>
        <n v="36.89374570446736"/>
        <n v="15.60304347826087"/>
        <n v="40.32046391752577"/>
        <n v="15.651010101010101"/>
        <n v="30.161982758620688"/>
        <n v="35.53726937269373"/>
        <n v="16.010775862068964"/>
        <n v="13.250250000000001"/>
        <n v="29.429287598944594"/>
        <n v="23.871986970684038"/>
        <n v="6.7469602272727265"/>
        <n v="80.23601965601966"/>
        <n v="37.11652482269504"/>
        <n v="52.962"/>
        <n v="25.866530612244897"/>
        <n v="76.07208333333332"/>
        <n v="6.781689373297003"/>
        <n v="41.42368421052632"/>
        <n v="30.243523316062177"/>
        <n v="31.373823529411766"/>
        <n v="16.344086021505376"/>
        <n v="14.0225"/>
        <n v="34.79828125"/>
        <n v="28.260714285714283"/>
        <n v="46.948"/>
        <n v="32.57516339869281"/>
        <n v="31.006190476190476"/>
        <n v="18.272179930795847"/>
        <n v="103.3427027027027"/>
        <n v="11.131818181818181"/>
        <n v="107.28927835051546"/>
        <n v="23.804568527918782"/>
        <n v="74.53047244094489"/>
        <n v="9.11179856115108"/>
        <n v="16.36521739130435"/>
        <n v="50.53308510638298"/>
        <n v="12.690967741935484"/>
        <n v="21.249738562091505"/>
        <n v="55.23374689826303"/>
        <n v="111.44"/>
        <n v="109.37571428571428"/>
        <n v="69.22500000000001"/>
        <n v="7.832526315789473"/>
        <n v="22.081151832460733"/>
        <n v="32.10162162162162"/>
        <n v="19.927142857142858"/>
        <n v="146.04807692307693"/>
        <n v="37.28093023255814"/>
        <n v="9.56345132743363"/>
        <n v="18.349144736842106"/>
        <n v="37.235510204081635"/>
        <n v="59.25830508474576"/>
        <n v="15.089782178217822"/>
        <n v="254.29764705882354"/>
        <n v="19.805280898876404"/>
        <n v="69.24"/>
        <n v="57.04859375"/>
        <n v="81.36"/>
        <n v="116.16"/>
        <n v="33.93075"/>
        <n v="74.67115789473685"/>
        <n v="55.26491228070175"/>
        <n v="8.1471875"/>
        <n v="10.078823529411764"/>
        <n v="95.94"/>
        <n v="8.467654320987654"/>
        <n v="47.56929440389294"/>
        <n v="30.75090128755365"/>
        <n v="4.945411764705883"/>
        <n v="16.32245398773006"/>
        <n v="34.04491379310345"/>
        <n v="61.56088888888888"/>
        <n v="64.34181818181818"/>
        <n v="10.07835616438356"/>
        <n v="13.570388059701493"/>
        <n v="19.895825242718445"/>
        <n v="10.649032258064516"/>
        <n v="16.334600000000002"/>
        <n v="30.252280701754387"/>
        <n v="14.364538461538462"/>
        <n v="16.194107142857142"/>
        <n v="47.808"/>
        <n v="66.89805668016194"/>
        <n v="13.535165217391304"/>
        <n v="54.64965517241379"/>
        <n v="7.670315315315315"/>
        <n v="44.87571428571429"/>
        <n v="33.441017964071854"/>
        <n v="19.008000000000003"/>
        <n v="17.485"/>
        <n v="23.227500000000003"/>
        <n v="26.125"/>
        <n v="32.17407407407408"/>
        <n v="52.111304347826085"/>
        <n v="29.27532338308458"/>
        <n v="180.01515789473683"/>
        <n v="28.003452380952382"/>
        <n v="105.23067357512953"/>
        <n v="84.91196428571428"/>
        <n v="75.316"/>
        <n v="34.086164383561645"/>
        <n v="30.632142857142856"/>
        <n v="17.19"/>
        <n v="17.682222222222222"/>
        <n v="49.005"/>
        <n v="21.987632978723404"/>
        <n v="13.76906148867314"/>
        <n v="30.297704081632656"/>
        <n v="62.510000000000005"/>
        <n v="52.587333333333326"/>
        <n v="12.252295081967212"/>
        <n v="17.86450928381963"/>
        <n v="115.79763779527559"/>
        <n v="13.01484375"/>
        <n v="56.49378531073446"/>
        <n v="25.620365111561867"/>
        <n v="50.42755102040817"/>
        <n v="55.15165876777251"/>
        <n v="54.41560975609756"/>
        <n v="12.2625"/>
        <n v="253.66714285714286"/>
        <n v="48.81909677419355"/>
        <n v="32.46806722689075"/>
        <n v="42.6939247311828"/>
        <n v="53.275128205128205"/>
        <n v="28.9"/>
        <n v="7.219901477832513"/>
        <n v="30.056333333333335"/>
        <n v="26.214999999999996"/>
        <n v="23.6140243902439"/>
        <n v="13.462857142857144"/>
        <n v="18.04310344827586"/>
        <n v="142.92"/>
        <n v="22.71818181818182"/>
        <n v="18.502893081761005"/>
        <n v="28.511578947368424"/>
        <n v="115.4442857142857"/>
        <n v="25.20241379310345"/>
        <n v="19.842635658914727"/>
        <n v="26.7604"/>
        <n v="221.47642857142858"/>
        <n v="40.20635294117647"/>
        <n v="23.138297872340427"/>
        <n v="18.998269896193772"/>
        <n v="24.828088235294118"/>
        <n v="40.69925373134328"/>
        <n v="59.0326388888889"/>
        <n v="29.528662420382165"/>
        <n v="41.347500000000004"/>
        <n v="33.25"/>
        <n v="8.257686274509805"/>
        <n v="53.25357142857143"/>
        <n v="41.9002688172043"/>
        <n v="72.32227272727272"/>
        <n v="14.820347826086955"/>
        <n v="32.55714285714286"/>
        <n v="65.30386740331491"/>
        <n v="74.10326086956522"/>
        <n v="18.25102880658436"/>
        <n v="23.976193181818182"/>
        <n v="13.212658227848102"/>
        <n v="26.953333333333333"/>
        <n v="47.6145283018868"/>
        <n v="34.996033994334276"/>
        <n v="8.578211382113821"/>
        <n v="23.401338289962826"/>
        <n v="29.714285714285715"/>
        <n v="152.01351351351352"/>
        <n v="22.164048582995953"/>
        <n v="18.871951219512194"/>
        <n v="170.815"/>
        <n v="10.348179419525065"/>
        <n v="22.747113402061853"/>
        <n v="129.73804878048782"/>
        <n v="53.459775280898874"/>
        <n v="39.465"/>
        <n v="22.454545454545453"/>
        <n v="36.074611398963725"/>
        <n v="9.544274406332454"/>
        <n v="21.330000000000002"/>
        <n v="36.68090909090909"/>
        <n v="22.223333333333333"/>
        <n v="48.537988165680474"/>
        <n v="118.66904761904762"/>
        <n v="9.895050847457627"/>
        <n v="42.139024390243904"/>
        <n v="27.246942148760333"/>
        <n v="157.3923076923077"/>
        <n v="43.70944444444444"/>
        <n v="96.42857142857143"/>
        <n v="54.78130612244898"/>
        <n v="18.430588235294117"/>
        <n v="17.647926829268293"/>
        <n v="111.23333333333333"/>
        <n v="9.07409200968523"/>
        <n v="41.74128491620112"/>
        <n v="45.40122222222222"/>
        <n v="27.739065420560745"/>
        <n v="13.67766081871345"/>
        <n v="4.868718929254302"/>
        <n v="92.416"/>
        <n v="24.040574162679423"/>
        <n v="26.622764227642275"/>
        <n v="62.06909090909091"/>
        <n v="55.380896551724135"/>
        <n v="26.24564705882353"/>
        <n v="31.869166666666665"/>
        <n v="10.351677215189873"/>
        <n v="14.21263157894737"/>
        <n v="58.82523809523809"/>
        <n v="6.862903225806452"/>
        <n v="12.676112956810632"/>
        <n v="252.64833333333334"/>
        <n v="30.876"/>
        <n v="58.161428571428566"/>
        <n v="15.566090909090908"/>
        <n v="45.96222222222222"/>
        <n v="36.158755364806865"/>
        <n v="37.67689655172414"/>
        <n v="191.38875"/>
        <n v="14.370967741935484"/>
        <n v="30.76060483870968"/>
        <n v="25.422278481012658"/>
        <n v="19.22346153846154"/>
        <n v="11.808499999999999"/>
        <n v="27.31023890784983"/>
        <n v="8.862736842105264"/>
        <n v="57.266129032258064"/>
        <n v="35.266000000000005"/>
        <n v="28.05548387096774"/>
        <n v="22.53625"/>
        <n v="43.31"/>
        <n v="10.048780487804878"/>
        <n v="40.30694835680751"/>
        <n v="141.99333333333334"/>
        <n v="71.92833333333334"/>
        <n v="21.371473354231973"/>
        <n v="7.875"/>
        <n v="62.72"/>
        <n v="9.172947558770344"/>
        <n v="57.0708"/>
        <n v="36.34125"/>
        <n v="22.627159420289853"/>
        <n v="7.7482282282282275"/>
        <n v="14.593170731707316"/>
        <n v="35.20705882352941"/>
        <n v="29.47634980988593"/>
        <n v="100.07743589743589"/>
        <n v="48.9616"/>
        <n v="159.83363636363637"/>
        <n v="23.015238095238097"/>
        <n v="37.065"/>
        <n v="35.738461538461536"/>
        <n v="46.84853333333333"/>
        <n v="12.511551724137933"/>
        <n v="29.79509090909091"/>
        <n v="172.8234375"/>
        <n v="104.02378378378378"/>
        <n v="85.84615384615384"/>
        <n v="41.148289738430584"/>
        <n v="67.99285714285713"/>
        <n v="27.940460829493087"/>
        <n v="71.7992"/>
        <n v="42.59268085106383"/>
        <n v="46.08355263157895"/>
        <n v="163.506"/>
        <n v="9.17"/>
        <n v="29.173275862068966"/>
        <n v="23.890196078431373"/>
        <n v="65.7396"/>
        <n v="83.90286144578313"/>
        <n v="112.9875"/>
        <n v="21.292"/>
        <n v="42.765"/>
        <n v="56.680888030888035"/>
        <n v="19.133333333333333"/>
        <n v="45.26039525691699"/>
        <n v="40.57363636363636"/>
        <n v="25.61422402159244"/>
        <n v="9.064741379310345"/>
        <n v="43.29916666666667"/>
        <n v="8.326153846153845"/>
        <n v="36.86"/>
        <n v="36.97150684931507"/>
        <n v="15.954562584118438"/>
        <n v="16.269581589958158"/>
        <n v="31.021810699588478"/>
        <n v="49.91033707865169"/>
        <n v="18.521684210526317"/>
        <n v="21.144056029232644"/>
        <n v="43.23538461538461"/>
        <n v="36.41396825396825"/>
        <n v="40.8721052631579"/>
        <n v="101.1675"/>
        <n v="111.15"/>
        <n v="25.157293233082708"/>
        <n v="41.77472081218274"/>
        <n v="20.255905511811022"/>
        <n v="57.670212765957444"/>
        <n v="21.857623762376235"/>
        <n v="27.977543859649124"/>
        <n v="43.199074074074076"/>
        <n v="41.15571428571429"/>
        <n v="52.85252631578947"/>
        <n v="44.15625"/>
        <n v="16.82939226519337"/>
        <n v="52.36578947368421"/>
        <n v="43.32568493150685"/>
        <n v="35.26933333333333"/>
        <n v="16.314439655172414"/>
        <n v="23.67792553191489"/>
        <n v="11.92891156462585"/>
        <n v="19.10190114068441"/>
        <n v="34.93135951661632"/>
        <n v="30.62984375"/>
        <n v="98.7127927927928"/>
        <n v="18.076102236421725"/>
        <n v="46.15833333333333"/>
        <n v="8.19757894736842"/>
        <n v="69.41949152542372"/>
        <n v="26.453709677419358"/>
        <n v="39.2469465648855"/>
        <n v="135.82227272727275"/>
        <n v="31.779729729729727"/>
        <n v="10.75"/>
        <n v="22.291349862258954"/>
        <n v="8.523745583038869"/>
        <n v="82.0128947368421"/>
        <n v="7.955299806576403"/>
        <n v="38.39060606060606"/>
        <n v="44.7125"/>
        <n v="132.43666666666667"/>
        <n v="36.58102941176471"/>
        <n v="12.404383561643835"/>
        <n v="42.08582857142857"/>
        <n v="38.17218658892128"/>
        <n v="21.210843373493976"/>
        <n v="10.219999999999999"/>
        <n v="28.012571428571427"/>
        <n v="91.28219999999999"/>
        <n v="40.162339331619535"/>
        <n v="63.35873303167421"/>
        <n v="25.76103896103896"/>
        <n v="84.09074074074074"/>
        <n v="117.97125"/>
        <n v="94.67314285714285"/>
        <n v="28.900312500000002"/>
        <n v="21.56059701492537"/>
        <n v="51.42078125"/>
        <n v="20.624719101123596"/>
        <n v="91.69429629629629"/>
        <n v="14.744"/>
        <n v="63.910000000000004"/>
        <n v="35.12"/>
        <n v="21.823191489361704"/>
        <n v="60.76"/>
        <n v="107.84153846153846"/>
        <n v="89.04648648648649"/>
        <n v="33.67948717948718"/>
        <n v="24.87462686567164"/>
        <n v="15.19222222222222"/>
        <n v="21.71125"/>
        <n v="32.41466666666667"/>
        <n v="10.46531332744925"/>
        <n v="22.745705521472395"/>
        <n v="49.6438202247191"/>
        <n v="13.605228758169934"/>
        <n v="8.469456521739131"/>
        <n v="23.093636363636364"/>
        <n v="55.82297297297297"/>
        <n v="9.879245283018868"/>
        <n v="9.750918367346939"/>
        <n v="59.994666666666674"/>
        <n v="28.66356756756757"/>
        <n v="74.16"/>
        <n v="36.55377777777778"/>
        <n v="136.425"/>
        <n v="27.439999999999998"/>
        <n v="149.6361797752809"/>
        <n v="134.34923076923076"/>
        <n v="18.56114285714286"/>
        <n v="42.70769662921349"/>
        <n v="18.87402384500745"/>
        <n v="14.432788944723619"/>
        <n v="19.9714598540146"/>
        <n v="41.69706744868036"/>
        <n v="141.2321875"/>
        <n v="150.31342465753423"/>
        <n v="19.34714932126697"/>
        <n v="30.6128"/>
        <n v="32.995999999999995"/>
        <n v="75.74993103448276"/>
        <n v="83.04094736842106"/>
        <n v="59.05635135135135"/>
        <n v="159.45391304347825"/>
        <n v="71.09918518518518"/>
        <n v="182.66306306306305"/>
        <n v="131.67891719745222"/>
        <n v="49.062363636363635"/>
        <n v="140.6376"/>
        <n v="9.301943844492442"/>
        <n v="7.498264462809917"/>
        <n v="10.347719298245615"/>
        <n v="11.82"/>
        <n v="44.996875"/>
        <n v="62.42342105263158"/>
        <n v="8.48076923076923"/>
        <n v="17.435428571428574"/>
        <n v="65.802"/>
        <n v="11.615133333333333"/>
        <n v="31.926017191977078"/>
        <n v="45.62489626556017"/>
        <n v="41.32462311557789"/>
        <n v="99.52558139534885"/>
        <n v="33.02217391304348"/>
        <n v="117.61"/>
        <n v="37.274424778761066"/>
        <n v="19.29860465116279"/>
        <n v="59.140276816609"/>
        <n v="68.27636363636363"/>
        <n v="113.4"/>
        <n v="33.54857142857143"/>
        <n v="70.32457627118643"/>
        <n v="29.074117647058827"/>
        <n v="82.00303571428572"/>
        <n v="18.693333333333335"/>
        <n v="46.50539568345324"/>
        <n v="237.27374999999998"/>
        <n v="46.11095406360424"/>
        <n v="45.05681647940075"/>
        <n v="36.92266666666667"/>
        <n v="64.85875"/>
        <n v="15.637826086956522"/>
        <n v="48.79266129032258"/>
        <n v="19.996276595744682"/>
        <n v="7.037810107197549"/>
        <n v="14.128699551569506"/>
        <n v="32.641134751773045"/>
        <n v="96.55843373493977"/>
        <n v="8.934264705882352"/>
        <n v="158.46"/>
        <n v="41.104565217391304"/>
        <n v="11.527027027027026"/>
        <n v="113.64714285714285"/>
        <n v="21.688333333333333"/>
        <n v="16.39076923076923"/>
        <n v="28.75329113924051"/>
        <n v="26.24774647887324"/>
        <n v="43.497115384615384"/>
        <n v="156.875"/>
        <n v="57.958928571428565"/>
        <n v="144.57"/>
        <n v="30.677611940298508"/>
        <n v="167.91833333333332"/>
        <n v="21.161489361702127"/>
        <n v="70.08478260869565"/>
        <n v="29.011392405063294"/>
        <n v="67.07692307692308"/>
        <n v="68.13333333333333"/>
        <n v="22.628984375"/>
        <n v="25.515"/>
        <n v="60.35431754874652"/>
        <n v="10.452134831460674"/>
        <n v="64.30117647058823"/>
        <n v="57.404210526315794"/>
        <n v="37.84394904458599"/>
        <n v="40.13508448540706"/>
        <n v="59.20634674922601"/>
        <n v="26.0"/>
        <n v="75.66418803418803"/>
        <n v="26.42300518134715"/>
        <n v="69.58285714285714"/>
        <n v="5.30367412140575"/>
        <n v="146.76666666666668"/>
        <n v="30.858756476683936"/>
        <n v="23.87741379310345"/>
        <n v="18.58553784860558"/>
        <n v="30.3363184079602"/>
        <n v="87.72069892473118"/>
        <n v="52.839999999999996"/>
        <n v="32.22790697674418"/>
        <n v="29.52736111111111"/>
        <n v="117.28805555555556"/>
        <n v="28.489936102236424"/>
        <n v="31.546666666666667"/>
        <n v="31.79036496350365"/>
        <n v="77.78412903225806"/>
        <n v="5.832125"/>
        <n v="26.638464163822526"/>
        <n v="106.805"/>
        <n v="30.2031914893617"/>
        <n v="61.092127659574466"/>
        <n v="50.48187725631769"/>
        <n v="72.94045454545454"/>
        <n v="49.06777777777778"/>
        <n v="23.6468"/>
        <n v="48.189473684210526"/>
        <n v="33.306486486486484"/>
        <n v="10.33764705882353"/>
        <n v="31.61061946902655"/>
        <n v="100.48"/>
        <n v="9.299213973799127"/>
        <n v="19.196932515337423"/>
        <n v="36.333"/>
        <n v="45.700558659217876"/>
        <n v="69.96227272727273"/>
        <n v="24.61770731707317"/>
        <n v="48.97685950413223"/>
        <n v="14.562727272727273"/>
        <n v="38.656"/>
        <n v="17.664525547445255"/>
        <n v="24.155072463768118"/>
        <n v="42.752027027027026"/>
        <n v="12.101923076923077"/>
        <n v="11.667751937984496"/>
        <n v="7.119797468354431"/>
        <n v="91.43124087591241"/>
        <n v="44.01055718475074"/>
        <n v="23.27661577608142"/>
        <n v="82.08385542168675"/>
        <n v="13.140630841121494"/>
        <n v="19.836296296296297"/>
        <n v="5.44494623655914"/>
        <n v="20.53673469387755"/>
        <n v="8.337391304347825"/>
        <n v="43.827212389380534"/>
        <n v="18.84422222222222"/>
        <n v="20.770273224043716"/>
        <n v="18.98448275862069"/>
        <n v="28.616000000000003"/>
        <n v="44.35809523809524"/>
        <n v="77.12571428571428"/>
        <n v="205.11448275862068"/>
        <n v="70.17157894736842"/>
        <n v="28.712735849056607"/>
        <n v="22.767218543046358"/>
        <n v="24.000325203252032"/>
        <n v="14.652324324324324"/>
        <n v="10.818041958041958"/>
        <n v="43.646428571428565"/>
        <n v="12.838536585365853"/>
        <n v="14.51720930232558"/>
        <n v="34.66434782608695"/>
        <n v="19.01608579088472"/>
        <n v="15.002522522522524"/>
        <n v="65.8115763546798"/>
        <n v="40.88953488372093"/>
        <n v="87.10416666666667"/>
        <n v="37.180952380952384"/>
        <n v="100.92478873239436"/>
        <n v="78.11335294117647"/>
        <n v="30.220515463917526"/>
        <n v="38.88755555555556"/>
        <n v="137.81040000000002"/>
        <n v="44.708592057761734"/>
        <n v="18.839396984924623"/>
        <n v="18.21116607773852"/>
        <n v="45.28872727272727"/>
        <n v="7.079640718562874"/>
        <n v="153.636"/>
        <n v="13.116153846153846"/>
        <n v="118.45774647887323"/>
        <n v="6.365901639344262"/>
        <n v="37.755"/>
        <n v="186.47058823529412"/>
        <n v="10.694573643410854"/>
        <n v="37.17677419354839"/>
        <n v="104.011875"/>
        <n v="51.48921875"/>
        <n v="88.36666666666667"/>
        <n v="173.30666666666664"/>
        <n v="31.644347826086957"/>
        <n v="19.000803571428573"/>
        <n v="184.65808219178084"/>
        <n v="54.0346"/>
        <n v="28.782"/>
        <n v="50.5925"/>
        <n v="23.305"/>
        <n v="61.56857142857143"/>
        <n v="81.91777777777779"/>
        <n v="34.322798507462686"/>
        <n v="41.13116883116883"/>
        <n v="6.954098360655737"/>
        <n v="68.45658536585366"/>
        <n v="9.105387755102042"/>
        <n v="15.046666666666667"/>
        <n v="85.01777777777778"/>
        <n v="19.5624"/>
        <n v="28.0865"/>
        <n v="36.28585365853659"/>
        <n v="15.083499999999999"/>
        <n v="21.815068493150687"/>
        <n v="51.251250000000006"/>
        <n v="68.79444444444444"/>
        <n v="19.290434782608695"/>
        <n v="25.2288"/>
        <n v="10.849729729729729"/>
        <n v="41.01547619047619"/>
        <n v="42.19451612903226"/>
        <n v="48.87932960893855"/>
        <n v="54.15502392344497"/>
        <n v="34.454772727272726"/>
        <n v="46.917185628742516"/>
        <n v="37.098285714285716"/>
        <n v="36.267"/>
        <n v="18.488979591836735"/>
        <n v="28.074146341463415"/>
        <n v="42.30139534883721"/>
        <n v="51.3"/>
        <n v="169.93241379310345"/>
        <n v="91.93684210526315"/>
        <n v="96.62766355140187"/>
        <n v="30.756173120728928"/>
        <n v="9.178159509202453"/>
        <n v="21.378861788617886"/>
        <n v="24.694323144104803"/>
        <n v="47.185106382978724"/>
        <n v="55.51209876543209"/>
        <n v="23.314725274725273"/>
        <n v="87.74010471204188"/>
        <n v="12.51"/>
        <n v="35.0075"/>
        <n v="16.14308620689655"/>
        <n v="76.43599999999999"/>
        <n v="7.009679300291546"/>
        <n v="130.9502857142857"/>
        <n v="15.687"/>
        <n v="23.899354838709677"/>
        <n v="52.39296"/>
        <n v="64.95065693430656"/>
        <n v="18.516666666666666"/>
        <n v="40.02285714285715"/>
        <n v="29.16867256637168"/>
        <n v="55.856258503401364"/>
        <n v="18.52684410646388"/>
        <n v="36.67763636363636"/>
        <n v="36.14195530726257"/>
        <n v="47.42876712328767"/>
        <n v="27.37142857142857"/>
        <n v="88.57804347826087"/>
        <n v="8.384029850746268"/>
        <n v="31.165714285714284"/>
        <n v="52.86022471910112"/>
        <n v="22.537142857142857"/>
        <n v="69.84475247524752"/>
        <n v="10.912235294117647"/>
        <n v="14.275"/>
        <n v="58.56967741935483"/>
        <n v="15.6631299734748"/>
        <n v="23.017100371747212"/>
        <n v="65.93977528089889"/>
        <n v="145.20774193548385"/>
        <n v="56.97428571428571"/>
        <n v="45.755769230769225"/>
        <n v="32.051764705882356"/>
        <n v="23.585912408759125"/>
        <n v="12.214377880184331"/>
        <n v="103.1832558139535"/>
        <n v="32.19969631236442"/>
        <n v="40.86918604651163"/>
        <n v="32.16315789473684"/>
        <n v="40.21964912280702"/>
        <n v="43.39705882352941"/>
        <n v="55.88925373134328"/>
        <n v="23.79193548387097"/>
        <n v="64.1904081632653"/>
        <n v="19.816447368421052"/>
        <n v="55.18614173228347"/>
        <n v="24.20173374613003"/>
        <n v="40.04"/>
        <n v="126.26871428571428"/>
        <n v="58.87285714285714"/>
        <n v="76.012012987013"/>
        <n v="69.89176470588237"/>
        <n v="41.167500000000004"/>
        <n v="11.514444444444443"/>
        <n v="24.198134715025905"/>
        <n v="40.37777777777778"/>
        <n v="32.317962962962966"/>
        <n v="27.194881516587678"/>
        <n v="12.606185567010309"/>
        <n v="35.596"/>
        <n v="20.446563981042654"/>
        <n v="35.782995951417"/>
        <n v="33.998222222222225"/>
        <n v="72.30051724137931"/>
        <n v="46.41745454545455"/>
        <n v="36.77669172932331"/>
        <n v="33.76644295302013"/>
        <n v="23.33923469387755"/>
        <n v="46.56316770186336"/>
        <n v="48.58425"/>
        <n v="10.875770750988142"/>
        <n v="163.71612903225807"/>
        <n v="35.43076612903226"/>
        <n v="13.84774818401937"/>
        <n v="111.2595041322314"/>
        <n v="10.129032258064516"/>
        <n v="145.65651515151515"/>
        <n v="69.048"/>
        <n v="22.811941391941392"/>
        <n v="69.56479041916168"/>
        <n v="45.53864864864865"/>
        <n v="26.160000000000004"/>
        <n v="34.258974358974356"/>
        <n v="14.539302325581396"/>
        <n v="52.464814814814815"/>
        <n v="52.8861"/>
        <n v="14.611764705882353"/>
        <n v="23.030714285714286"/>
        <n v="26.574932432432433"/>
        <n v="122.34645569620254"/>
        <n v="22.905732368896928"/>
        <n v="28.33653846153846"/>
        <n v="38.947878787878786"/>
        <n v="88.08746478873239"/>
        <n v="56.12786885245902"/>
        <n v="25.723846153846154"/>
        <n v="148.4535483870968"/>
        <n v="20.933138401559457"/>
        <n v="139.42153846153846"/>
        <n v="74.65829268292683"/>
        <n v="22.68775590551181"/>
        <n v="90.85384615384615"/>
        <n v="27.648"/>
        <n v="20.1020618556701"/>
        <n v="21.41987951807229"/>
        <n v="53.80757575757576"/>
        <n v="49.82808510638298"/>
        <n v="29.710862068965515"/>
        <n v="129.5"/>
        <n v="15.907124999999999"/>
        <n v="43.22610687022901"/>
        <n v="21.209491525423726"/>
        <n v="22.768906882591093"/>
        <n v="51.932432432432435"/>
        <n v="20.121794871794872"/>
        <n v="33.015952380952385"/>
        <n v="58.65164772727273"/>
        <n v="142.94285714285715"/>
        <n v="29.476451612903226"/>
        <n v="14.603636363636362"/>
        <n v="49.98"/>
        <n v="98.49894736842104"/>
        <n v="251.41"/>
        <n v="17.76454081632653"/>
        <n v="12.924999999999999"/>
        <n v="11.57910447761194"/>
        <n v="18.851274509803922"/>
        <n v="47.45377300613497"/>
        <n v="21.731111111111108"/>
        <n v="10.5525"/>
        <n v="41.053011363636365"/>
        <n v="121.04375"/>
        <n v="27.95"/>
        <n v="21.663255813953487"/>
        <n v="47.82330275229358"/>
        <n v="108.2225"/>
        <n v="75.72857142857143"/>
        <n v="22.65205821205821"/>
        <n v="28.150769230769228"/>
        <n v="29.729938650306746"/>
        <n v="88.71089552238806"/>
        <n v="52.46"/>
        <n v="16.955844155844154"/>
        <n v="14.463842105263158"/>
        <n v="46.23179487179487"/>
        <n v="121.06020408163265"/>
        <n v="8.781639344262294"/>
        <n v="24.675882352941176"/>
        <n v="30.251570247933884"/>
        <n v="139.96966666666668"/>
        <n v="36.44013157894737"/>
        <n v="19.20208092485549"/>
        <n v="6.69821882951654"/>
        <n v="71.630625"/>
        <n v="28.801704545454548"/>
        <n v="26.013543307086614"/>
        <n v="97.6782857142857"/>
        <n v="36.616136363636365"/>
        <n v="7.388618784530387"/>
        <n v="31.520483383685804"/>
        <n v="234.19257142857143"/>
        <n v="156.87120000000002"/>
        <n v="19.49297297297297"/>
        <n v="25.406603773584905"/>
        <n v="11.177265625"/>
        <n v="56.350610169491524"/>
        <n v="21.449620253164557"/>
        <n v="34.932432432432435"/>
        <n v="22.708076923076923"/>
        <n v="24.503999999999998"/>
        <n v="25.770173410404624"/>
        <n v="37.15867219917013"/>
        <n v="26.316"/>
        <n v="11.915351812366739"/>
        <n v="54.02198529411765"/>
        <n v="129.84489795918367"/>
        <n v="56.82209302325581"/>
        <n v="25.292290076335878"/>
        <n v="7.425"/>
        <n v="14.315277777777778"/>
        <n v="14.26616883116883"/>
        <n v="9.028689138576778"/>
        <n v="21.654545454545453"/>
        <n v="50.373000000000005"/>
        <n v="28.453454545454548"/>
        <n v="6.545242718446602"/>
        <n v="39.79784366576819"/>
        <n v="94.14873015873016"/>
        <n v="37.712888888888884"/>
        <n v="38.89875"/>
        <n v="107.20851063829788"/>
        <n v="22.024234234234232"/>
        <n v="29.823476821192056"/>
        <n v="49.35671641791045"/>
        <n v="19.125"/>
        <n v="24.518"/>
        <n v="38.64473684210526"/>
        <n v="23.405055350553507"/>
        <n v="50.49102167182663"/>
        <n v="46.0604347826087"/>
        <n v="6.88163708086785"/>
        <n v="34.65"/>
        <n v="23.567512437810944"/>
        <n v="118.0"/>
        <n v="20.120866141732282"/>
        <n v="41.04048780487805"/>
        <n v="64.22209677419355"/>
        <n v="77.63347826086957"/>
        <n v="5.628571428571429"/>
        <n v="65.85675675675675"/>
        <n v="46.634460431654674"/>
        <n v="31.11148936170213"/>
        <n v="8.345454545454546"/>
        <n v="20.504907975460124"/>
        <n v="136.7029508196721"/>
        <n v="93.9696551724138"/>
        <n v="31.123363095238098"/>
        <n v="42.383790322580644"/>
        <n v="41.39607843137255"/>
        <n v="18.80793650793651"/>
        <n v="24.976470588235294"/>
        <n v="24.06324840764331"/>
        <n v="32.46651162790698"/>
        <n v="11.67897435897436"/>
        <n v="57.55714285714286"/>
        <n v="32.25"/>
        <n v="6.143755458515284"/>
        <n v="98.02896551724139"/>
        <n v="19.021259842519683"/>
        <n v="11.857403651115618"/>
        <n v="14.754"/>
        <n v="16.553813104189043"/>
        <n v="57.60776978417266"/>
        <n v="17.98181818181818"/>
        <n v="7.1848221343873515"/>
        <n v="31.483636363636364"/>
        <n v="49.71917808219178"/>
        <n v="62.65645390070922"/>
        <n v="59.35148717948719"/>
        <n v="99.35142857142857"/>
        <n v="25.3098861047836"/>
        <n v="27.964195804195803"/>
        <n v="106.22571428571429"/>
        <n v="30.89818181818182"/>
        <n v="61.690384615384616"/>
        <n v="67.68041666666666"/>
        <n v="16.43177570093458"/>
        <n v="49.47904761904762"/>
        <n v="31.42285714285714"/>
        <n v="13.068482972136223"/>
        <n v="31.02333333333333"/>
        <n v="23.039473684210527"/>
        <n v="50.46630434782609"/>
        <n v="6.333731343283582"/>
        <n v="51.468242574257424"/>
        <n v="57.73"/>
        <n v="22.250632911392405"/>
        <n v="65.5284"/>
        <n v="13.413041825095057"/>
        <n v="238.1007792207792"/>
        <n v="51.796451612903226"/>
        <n v="16.583111111111112"/>
        <n v="47.72148148148148"/>
        <n v="7.9385076708507665"/>
        <n v="7.5818359375"/>
        <n v="32.08836363636363"/>
        <n v="38.64772727272727"/>
        <n v="31.136097560975607"/>
        <n v="26.57894736842105"/>
        <n v="15.13002512562814"/>
        <n v="74.40802675585284"/>
        <n v="8.532673267326732"/>
        <n v="21.37417112299465"/>
        <n v="23.921140350877195"/>
        <n v="52.88"/>
        <n v="160.9772448979592"/>
        <n v="78.15612903225806"/>
        <n v="79.36428571428571"/>
        <n v="17.615000000000002"/>
        <n v="14.817575757575758"/>
        <n v="12.882835820895522"/>
        <n v="102.41866666666667"/>
        <n v="29.520281690140845"/>
        <n v="62.64841201716738"/>
        <n v="6.524074074074075"/>
        <n v="285.1419387755102"/>
        <n v="160.51500000000001"/>
        <n v="57.29531335149864"/>
        <n v="33.228"/>
        <n v="16.42248366013072"/>
        <n v="15.344719471947194"/>
        <n v="58.85577777777778"/>
        <n v="48.7643795620438"/>
        <n v="64.96438356164383"/>
        <n v="36.04906666666666"/>
        <n v="67.06666666666666"/>
        <n v="18.982191780821918"/>
        <n v="31.464"/>
        <n v="22.141732283464567"/>
        <n v="40.23478260869565"/>
        <n v="45.600731707317074"/>
        <n v="73.52666666666667"/>
        <n v="72.56408759124088"/>
        <n v="17.720707964601772"/>
        <n v="24.655506329113926"/>
        <n v="51.55407407407407"/>
        <n v="16.615945945945946"/>
        <n v="23.584799999999998"/>
        <n v="21.341007194244604"/>
        <n v="312.9836885245902"/>
        <n v="31.439999999999998"/>
        <n v="51.53117021276596"/>
        <n v="29.243225806451612"/>
        <n v="32.52857142857143"/>
        <n v="20.224285714285713"/>
        <n v="124.14594594594594"/>
        <n v="74.5236923076923"/>
        <n v="13.813571428571427"/>
        <n v="48.504817518248174"/>
        <n v="51.000837209302325"/>
        <n v="43.307917570498915"/>
        <n v="5.014374999999999"/>
        <n v="52.65505813953489"/>
        <n v="9.4325"/>
        <n v="30.435722222222225"/>
        <n v="27.619423076923077"/>
        <n v="32.65953488372093"/>
        <n v="14.97444089456869"/>
        <n v="93.20040983606557"/>
        <n v="30.637608069164266"/>
        <n v="14.48"/>
        <n v="22.184129032258063"/>
        <n v="35.1696"/>
        <n v="18.06465256797583"/>
        <n v="14.339347826086957"/>
        <n v="49.85965811965812"/>
        <n v="14.28913043478261"/>
        <n v="23.056941176470588"/>
        <n v="41.582857142857144"/>
        <n v="25.415945945945946"/>
        <n v="10.544285714285715"/>
        <n v="22.585714285714285"/>
        <n v="26.675419847328243"/>
        <n v="115.62457627118644"/>
        <n v="18.188085106382978"/>
        <n v="35.29574585635359"/>
        <n v="47.83280487804878"/>
        <n v="141.29555555555555"/>
        <n v="22.834405144694532"/>
        <n v="7.468446601941747"/>
        <n v="128.3595744680851"/>
        <n v="38.023054755043226"/>
        <n v="165.81551724137933"/>
        <n v="50.083829787234045"/>
        <n v="16.798235294117646"/>
        <n v="150.46641509433962"/>
        <n v="73.16312056737588"/>
        <n v="108.03169014084507"/>
        <n v="22.06625"/>
        <n v="55.94035211267605"/>
        <n v="66.795"/>
        <n v="32.85"/>
        <n v="9.575416666666667"/>
        <n v="25.174230769230768"/>
        <n v="7.695448275862068"/>
        <n v="47.753125"/>
        <n v="48.18705882352941"/>
        <n v="34.71938461538461"/>
        <n v="11.68590909090909"/>
        <n v="5.88"/>
        <n v="28.49846153846154"/>
        <n v="8.431176470588236"/>
        <n v="30.147954545454546"/>
        <n v="42.7975"/>
        <n v="59.07"/>
        <n v="12.578692810457516"/>
        <n v="28.460632911392402"/>
        <n v="51.44102040816327"/>
        <n v="108.7938679245283"/>
        <n v="7.9847577092511015"/>
        <n v="12.90268656716418"/>
        <n v="103.77939393939393"/>
        <n v="176.22"/>
        <n v="11.925"/>
        <n v="26.505555555555553"/>
        <n v="30.511260504201683"/>
        <n v="123.5478947368421"/>
        <n v="9.758885191347755"/>
        <n v="17.49"/>
        <n v="13.554545454545455"/>
        <n v="34.44"/>
        <n v="12.861935483870969"/>
        <n v="26.14814814814815"/>
        <n v="42.22719298245614"/>
        <n v="193.7263157894737"/>
        <n v="46.22859060402685"/>
        <n v="47.18184615384615"/>
        <n v="12.079707112970713"/>
        <n v="103.47444444444446"/>
        <n v="19.59107142857143"/>
        <n v="25.883444444444446"/>
        <n v="34.11144827586207"/>
        <n v="12.503149606299212"/>
        <n v="53.15"/>
        <n v="9.318223495702005"/>
        <n v="25.055654676258992"/>
        <n v="28.738494623655914"/>
        <n v="13.935250836120403"/>
        <n v="31.400194174757278"/>
        <n v="52.387173913043476"/>
        <n v="36.10480349344978"/>
        <n v="47.43175"/>
        <n v="23.96519440124417"/>
        <n v="32.934389312977096"/>
        <n v="42.66940677966102"/>
        <n v="63.427"/>
        <n v="65.30866666666667"/>
        <n v="50.655"/>
        <n v="48.46649572649572"/>
        <n v="19.940676328502416"/>
        <n v="25.59522471910112"/>
        <n v="98.52999999999999"/>
        <n v="40.044444444444444"/>
        <n v="27.315"/>
        <n v="139.7526"/>
        <n v="94.57556603773585"/>
        <n v="18.712182410423456"/>
        <n v="45.8493023255814"/>
        <n v="11.497837837837837"/>
        <n v="28.01706666666667"/>
        <n v="28.018181818181816"/>
        <n v="86.302125"/>
        <n v="13.030084033613445"/>
        <n v="11.470415094339621"/>
        <n v="51.077619047619045"/>
        <n v="30.798425531914894"/>
        <n v="58.10068965517242"/>
        <n v="32.49108187134503"/>
        <n v="56.4609756097561"/>
        <n v="20.97671641791045"/>
        <n v="59.51142857142857"/>
        <n v="15.695434782608697"/>
        <n v="44.61333333333334"/>
        <n v="27.557674418604652"/>
        <n v="31.812925531914892"/>
        <n v="34.080633147113595"/>
        <n v="58.281839999999995"/>
        <n v="8.50067415730337"/>
        <n v="42.34538860103627"/>
        <n v="65.24942307692308"/>
        <n v="98.74645000000001"/>
        <n v="26.802295081967213"/>
        <n v="18.06"/>
        <n v="39.97833333333333"/>
        <n v="51.02533980582524"/>
        <n v="81.42697986577181"/>
        <n v="109.01645161290324"/>
        <n v="16.811186440677968"/>
        <n v="22.5794"/>
        <n v="70.75179856115108"/>
        <n v="16.921649048625792"/>
        <n v="15.196276923076923"/>
        <n v="23.739583333333332"/>
        <n v="211.05555555555554"/>
        <n v="20.001567164179104"/>
        <n v="9.243959955506117"/>
        <n v="11.799707112970712"/>
        <n v="32.04680327868852"/>
        <n v="72.5725"/>
        <n v="38.927058823529414"/>
        <n v="10.929342560553634"/>
        <n v="13.44181277860327"/>
        <n v="22.5348"/>
        <n v="54.77873417721519"/>
        <n v="24.67930174563591"/>
        <n v="30.2766985645933"/>
        <n v="29.082528735632184"/>
        <n v="79.48379310344828"/>
        <n v="60.613789473684214"/>
        <n v="29.745641025641024"/>
        <n v="31.087500000000002"/>
        <n v="98.8690909090909"/>
        <n v="66.68490566037737"/>
        <n v="73.36703999999999"/>
        <n v="54.9919170984456"/>
        <n v="97.11375"/>
        <n v="42.957"/>
        <n v="29.578489208633094"/>
        <n v="21.111278195488723"/>
        <n v="41.262844036697246"/>
        <n v="45.748356164383566"/>
        <n v="50.489999999999995"/>
        <n v="40.33553571428572"/>
        <n v="50.116480446927376"/>
        <n v="33.629999999999995"/>
        <n v="85.21466019417477"/>
        <n v="13.72240909090909"/>
        <n v="85.05508620689655"/>
        <n v="5.983582089552239"/>
        <n v="50.55518072289156"/>
        <n v="39.586559139784946"/>
        <n v="46.52075471698113"/>
        <n v="33.35055555555556"/>
        <n v="14.693333333333333"/>
        <n v="31.46091743119266"/>
        <n v="97.07133333333333"/>
        <n v="14.431969111969112"/>
        <n v="17.325525629887053"/>
        <n v="27.9"/>
        <n v="98.791"/>
        <n v="34.63384615384616"/>
        <n v="38.709874476987444"/>
        <n v="67.754296875"/>
        <n v="81.12583333333333"/>
        <n v="8.174825174825175"/>
        <n v="32.94466101694915"/>
        <n v="35.486363636363635"/>
        <n v="65.74133333333333"/>
        <n v="42.7869696969697"/>
        <n v="29.429536082474225"/>
        <n v="40.11000000000001"/>
        <n v="22.95720930232558"/>
        <n v="30.029999999999998"/>
        <n v="13.151186440677966"/>
        <n v="20.430358974358974"/>
        <n v="52.288000000000004"/>
        <n v="21.18753488372093"/>
        <n v="31.162489082969433"/>
        <n v="28.644"/>
        <n v="11.877903930131005"/>
        <n v="85.305"/>
        <n v="26.69333333333333"/>
        <n v="100.85584905660377"/>
        <n v="64.044"/>
        <n v="47.543489932885905"/>
        <n v="24.447674418604652"/>
        <n v="52.82160664819944"/>
        <n v="45.821176470588235"/>
        <n v="14.065817694369974"/>
        <n v="15.639206349206349"/>
        <n v="38.97451327433628"/>
        <n v="70.26666666666667"/>
        <n v="27.48206896551724"/>
        <n v="43.690909090909095"/>
        <n v="27.70849315068493"/>
        <n v="12.0204"/>
        <n v="28.650000000000002"/>
        <n v="15.665555555555557"/>
        <n v="18.46864406779661"/>
        <n v="29.08341085271318"/>
        <n v="16.711000000000002"/>
        <n v="5.757714285714286"/>
        <n v="28.498461538461537"/>
        <n v="147.52"/>
        <n v="68.5964705882353"/>
        <n v="33.96184615384615"/>
        <n v="13.71936936936937"/>
        <n v="33.81823529411764"/>
        <n v="10.460874811463047"/>
        <n v="18.936387096774194"/>
        <n v="20.32351851851852"/>
        <n v="17.442739726027398"/>
        <n v="95.16566265060241"/>
        <n v="26.168315789473684"/>
        <n v="54.69123232323232"/>
        <n v="40.919999999999995"/>
        <n v="38.25"/>
        <n v="6.115415730337079"/>
        <n v="51.0314598540146"/>
        <n v="58.84219451371571"/>
        <n v="95.28904761904762"/>
        <n v="72.1"/>
        <n v="9.910434782608696"/>
        <n v="80.1340522875817"/>
        <n v="63.20294117647059"/>
        <n v="18.519375"/>
        <n v="27.035333333333334"/>
        <n v="12.377278481012658"/>
        <n v="65.43833333333333"/>
        <n v="58.95711111111112"/>
        <n v="23.505000000000003"/>
        <n v="35.47571428571429"/>
        <n v="92.34"/>
        <n v="61.19689440993789"/>
        <n v="145.4527848101266"/>
        <n v="45.28846153846154"/>
        <n v="18.00427807486631"/>
        <n v="29.93080139372822"/>
        <n v="16.456714285714288"/>
        <n v="7.453125"/>
        <n v="7.602318840579711"/>
        <n v="45.4255"/>
        <n v="24.069073170731706"/>
        <n v="78.88545454545455"/>
        <n v="90.55444444444444"/>
        <n v="117.74000000000001"/>
        <n v="42.57555555555555"/>
        <n v="52.59319884726225"/>
        <n v="14.120549828178694"/>
        <n v="48.63854304635762"/>
        <n v="21.255757575757578"/>
        <n v="12.654437869822484"/>
        <n v="25.388461538461538"/>
        <n v="31.619999999999997"/>
        <n v="13.067244094488188"/>
        <n v="10.760677966101694"/>
        <n v="70.65978723404255"/>
        <n v="24.008108108108107"/>
        <n v="89.2272"/>
        <n v="19.422222222222224"/>
        <n v="55.4271875"/>
        <n v="44.31528497409327"/>
        <n v="5.066896551724138"/>
        <n v="14.876788321167883"/>
        <n v="59.480000000000004"/>
        <n v="32.537142857142854"/>
        <n v="18.046451612903226"/>
        <n v="95.21557251908396"/>
        <n v="41.19375"/>
        <n v="8.35"/>
        <n v="55.78172489082969"/>
        <n v="40.60027972027972"/>
        <n v="27.464820512820513"/>
        <n v="27.81425675675676"/>
        <n v="21.387228260869566"/>
        <n v="19.27058823529412"/>
        <n v="24.598837209302324"/>
        <n v="19.333333333333332"/>
        <n v="47.99714285714286"/>
        <n v="34.54578947368421"/>
        <n v="4.991434689507495"/>
        <n v="47.15372549019608"/>
        <n v="140.81471074380167"/>
        <n v="34.80166666666666"/>
        <n v="30.182285714285715"/>
        <n v="29.797199999999997"/>
        <n v="49.73584337349397"/>
        <n v="191.80425531914892"/>
        <n v="61.529752066115705"/>
        <n v="16.503010752688173"/>
        <n v="128.775"/>
        <n v="54.32423076923077"/>
        <n v="22.975851063829786"/>
        <n v="83.91428571428571"/>
        <n v="74.765"/>
        <n v="18.888648648648648"/>
        <n v="31.645151515151515"/>
        <n v="37.73"/>
        <n v="39.569213483146065"/>
        <n v="32.028"/>
        <n v="25.456363636363633"/>
        <n v="180.34313559322035"/>
        <n v="30.955178571428572"/>
        <n v="34.410000000000004"/>
        <n v="18.976"/>
        <n v="16.138275862068966"/>
        <n v="35.37531914893617"/>
        <n v="30.300125"/>
        <n v="12.618947368421052"/>
        <n v="50.57955801104972"/>
        <n v="58.616470588235295"/>
        <n v="14.521728395061729"/>
        <n v="63.36"/>
        <n v="24.49370786516854"/>
        <n v="22.441188959660295"/>
        <n v="20.47609756097561"/>
        <n v="21.574647887323945"/>
        <n v="48.138214285714284"/>
        <n v="56.80704545454546"/>
        <n v="145.51333333333335"/>
        <n v="57.998602150537636"/>
        <n v="22.201485148514852"/>
        <n v="64.45"/>
        <n v="47.22447513812154"/>
        <n v="8.653274336283186"/>
        <n v="46.86063492063492"/>
        <n v="72.19591836734693"/>
        <n v="129.37736842105264"/>
        <n v="20.65595744680851"/>
        <n v="43.885714285714286"/>
        <n v="13.989751552795031"/>
        <n v="25.25290023201856"/>
        <n v="42.946043737574556"/>
        <n v="8.865054945054945"/>
        <n v="12.000574074074075"/>
        <n v="15.875810055865921"/>
        <n v="133.96911627906977"/>
        <n v="8.198608058608057"/>
        <n v="14.886666666666665"/>
        <n v="36.461023255813956"/>
        <n v="37.08391304347826"/>
        <n v="26.755084745762712"/>
        <n v="30.61931034482759"/>
        <n v="61.21058823529411"/>
        <n v="22.037979797979798"/>
        <n v="9.291553398058252"/>
        <n v="21.18933774834437"/>
        <n v="12.897499999999999"/>
        <n v="76.36190476190475"/>
        <n v="8.047058823529412"/>
        <n v="21.825000000000003"/>
        <n v="126.78386503067485"/>
        <n v="36.25764705882353"/>
        <n v="32.03135076252723"/>
        <n v="9.238333333333333"/>
        <n v="88.33846153846154"/>
        <n v="28.359001314060446"/>
        <n v="41.55076923076923"/>
        <n v="109.45833333333333"/>
        <n v="16.426285714285715"/>
        <n v="80.52881818181818"/>
        <n v="62.51428571428571"/>
        <n v="26.685185185185187"/>
        <n v="12.618055555555555"/>
        <n v="102.19662650602409"/>
        <n v="29.359204545454546"/>
        <n v="117.73499999999999"/>
        <n v="15.082615384615385"/>
        <n v="56.83491295938105"/>
        <n v="17.314814814814813"/>
        <n v="85.70493150684932"/>
        <n v="42.372"/>
        <n v="10.051700680272107"/>
        <n v="18.862291666666668"/>
        <n v="22.25565217391304"/>
        <n v="25.294054054054055"/>
        <n v="15.57343373493976"/>
        <n v="55.854166666666664"/>
        <n v="14.804433221099888"/>
        <n v="62.491140939597315"/>
        <n v="62.99290697674419"/>
        <n v="39.855624999999996"/>
        <n v="14.351785714285715"/>
        <n v="5.788294314381271"/>
        <n v="43.87054794520548"/>
        <n v="140.5257142857143"/>
        <n v="23.54735849056604"/>
        <n v="47.95834586466165"/>
        <n v="173.23176470588237"/>
        <n v="59.85"/>
        <n v="34.63682432432432"/>
        <n v="99.28725388601036"/>
        <n v="66.94462809917356"/>
        <n v="34.18928571428572"/>
        <n v="25.904096385542168"/>
        <n v="27.372571428571426"/>
        <n v="114.43625"/>
        <n v="69.28500000000001"/>
        <n v="25.857069408740358"/>
        <n v="54.19901477832512"/>
        <n v="37.79348837209302"/>
        <n v="15.30549295774648"/>
        <n v="22.080447552447552"/>
        <n v="13.830084033613446"/>
        <n v="78.56"/>
        <n v="32.69853658536586"/>
        <n v="60.163645833333334"/>
        <n v="45.18527027027027"/>
        <n v="49.75621951219512"/>
        <n v="31.1813707165109"/>
        <n v="120.11884615384616"/>
        <n v="30.96181069958848"/>
        <n v="43.50283018867925"/>
        <n v="99.41029411764706"/>
        <n v="48.217781690140846"/>
        <n v="20.342173913043478"/>
        <n v="40.70222222222222"/>
        <n v="45.8865"/>
        <n v="185.01999999999998"/>
        <n v="22.735935483870968"/>
        <n v="20.151269035532994"/>
        <n v="31.774394463667818"/>
        <n v="34.84470588235294"/>
        <n v="31.02"/>
        <n v="32.97210526315789"/>
        <n v="24.008131147540983"/>
        <n v="101.3744827586207"/>
        <n v="21.49891500904159"/>
        <n v="28.884"/>
        <n v="38.41539325842697"/>
        <n v="17.155384615384616"/>
        <n v="122.52032967032967"/>
        <n v="31.2375"/>
        <n v="42.8117"/>
        <n v="17.83833333333333"/>
        <n v="56.59875776397515"/>
        <n v="27.327637795275592"/>
        <n v="55.16364705882353"/>
        <n v="44.61872727272727"/>
        <n v="18.534927113702622"/>
        <n v="24.6175"/>
        <n v="22.82825"/>
        <n v="54.70704545454546"/>
        <n v="24.31537313432836"/>
        <n v="37.51076923076923"/>
        <n v="11.359142857142857"/>
        <n v="47.318392857142854"/>
        <n v="63.42758620689655"/>
        <n v="13.88081081081081"/>
        <n v="105.56"/>
        <n v="33.32216560509554"/>
        <n v="19.277369814651365"/>
        <n v="17.53142857142857"/>
        <n v="49.21"/>
        <n v="26.87874316939891"/>
        <n v="38.797948717948714"/>
        <n v="15.547752808988765"/>
        <n v="82.91900000000001"/>
        <n v="25.954838709677418"/>
        <n v="27.439470198675494"/>
        <n v="27.38740157480315"/>
        <n v="97.09690322580646"/>
        <n v="35.72287234042553"/>
        <n v="6.76386546184739"/>
        <n v="128.00879999999998"/>
        <n v="31.827894736842108"/>
        <n v="125.20544776119402"/>
        <n v="47.706875"/>
        <n v="15.542435897435897"/>
        <n v="40.23279761904762"/>
        <n v="103.97600000000001"/>
        <n v="29.220338983050848"/>
        <n v="79.72613496932516"/>
        <n v="147.41914285714287"/>
        <n v="46.199999999999996"/>
        <n v="33.17217391304348"/>
        <n v="30.519453781512606"/>
        <n v="49.91084210526316"/>
        <n v="35.25872340425531"/>
        <n v="26.7375"/>
        <n v="335.8644444444445"/>
        <n v="35.59260563380281"/>
        <n v="28.034313725490197"/>
        <n v="213.75024096385542"/>
        <n v="25.34470588235294"/>
        <n v="29.920731707317074"/>
        <n v="25.23948717948718"/>
        <n v="105.60202247191012"/>
        <n v="46.57574660633484"/>
        <n v="115.53652173913044"/>
        <n v="26.583645320197043"/>
        <n v="32.019586206896555"/>
        <n v="22.467058823529413"/>
        <n v="37.53284671532847"/>
        <n v="113.6470588235294"/>
        <n v="30.37090909090909"/>
        <n v="156.6457142857143"/>
        <n v="27.669963636363637"/>
        <n v="47.85"/>
        <n v="45.669955357142854"/>
        <n v="31.619069767441857"/>
        <n v="136.50433333333334"/>
        <n v="239.81379310344826"/>
        <n v="13.960689655172413"/>
        <n v="138.83969696969697"/>
        <n v="11.991145833333334"/>
        <n v="12.099185520361992"/>
        <n v="39.75743944636678"/>
        <n v="6.617109004739337"/>
        <n v="51.440000000000005"/>
        <n v="65.42454545454545"/>
        <n v="43.02894736842105"/>
        <n v="29.033739130434782"/>
        <n v="101.16929824561403"/>
        <n v="13.284484304932736"/>
        <n v="104.23943262411348"/>
        <n v="11.8325"/>
        <n v="28.40277108433735"/>
        <n v="92.73213483146067"/>
        <n v="64.76764705882353"/>
        <n v="23.977777777777778"/>
        <n v="20.128"/>
        <n v="207.89615384615385"/>
        <n v="125.31282051282052"/>
        <n v="23.252314814814813"/>
        <n v="61.78573770491803"/>
        <n v="32.3151030927835"/>
        <n v="99.84"/>
        <n v="23.548544600938968"/>
        <n v="181.77534246575343"/>
        <n v="14.447407407407407"/>
        <n v="109.9"/>
        <n v="42.88841530054645"/>
        <n v="58.10641025641026"/>
        <n v="61.714285714285715"/>
        <n v="14.929506726457399"/>
        <n v="34.22222222222222"/>
        <n v="106.68375"/>
        <n v="27.1375"/>
        <n v="86.69635820895522"/>
        <n v="15.567719298245613"/>
        <n v="25.85610687022901"/>
        <n v="5.313640776699029"/>
        <n v="84.15396226415093"/>
        <n v="12.36"/>
        <n v="126.96"/>
        <n v="50.11906976744186"/>
        <n v="218.7448888888889"/>
        <n v="49.0673275862069"/>
        <n v="37.70617021276596"/>
        <n v="77.39622641509433"/>
        <n v="38.189268292682925"/>
        <n v="21.065364238410595"/>
        <n v="58.41509433962264"/>
        <n v="14.715046728971961"/>
        <n v="26.765013054830288"/>
        <n v="42.4437323943662"/>
        <n v="50.715213675213676"/>
        <n v="41.83326470588235"/>
        <n v="19.36774193548387"/>
        <n v="33.608264900662256"/>
        <n v="114.46977777777778"/>
        <n v="132.47"/>
        <n v="46.76571428571429"/>
        <n v="58.26506756756756"/>
        <n v="7.1424825174825175"/>
        <n v="34.448660714285715"/>
        <n v="118.8980487804878"/>
        <n v="79.53970588235293"/>
        <n v="19.57941176470588"/>
        <n v="21.89798780487805"/>
        <n v="43.07322580645162"/>
        <n v="116.60729166666665"/>
        <n v="12.99923566878981"/>
        <n v="161.67499999999998"/>
        <n v="49.35537190082645"/>
        <n v="26.98227272727273"/>
        <n v="12.392282608695652"/>
        <n v="30.705295454545453"/>
        <n v="45.82108108108108"/>
        <n v="192.13828571428573"/>
        <n v="60.81588785046729"/>
        <n v="31.797196969696966"/>
        <n v="70.02279569892474"/>
        <n v="12.922577962577963"/>
        <n v="93.75649122807017"/>
        <n v="32.112015503875966"/>
        <n v="12.194285714285714"/>
        <n v="5.525708333333333"/>
        <n v="15.3"/>
        <n v="25.747826086956525"/>
        <n v="45.428285714285714"/>
        <n v="18.318586387434554"/>
        <n v="23.997297297297298"/>
        <n v="17.47102564102564"/>
        <n v="10.547669902912622"/>
        <n v="14.432199312714777"/>
        <n v="22.462330827067667"/>
        <n v="16.234444444444442"/>
        <n v="10.032745098039216"/>
        <n v="41.333333333333336"/>
        <n v="27.398447761194028"/>
        <n v="59.71118644067797"/>
        <n v="8.785403587443946"/>
        <n v="30.187948717948718"/>
        <n v="131.62416666666667"/>
        <n v="68.55878787878788"/>
        <n v="35.613702770780854"/>
        <n v="17.108"/>
        <n v="33.140476190476186"/>
        <n v="31.168498168498168"/>
        <n v="16.33259911894273"/>
        <n v="35.85526011560694"/>
        <n v="35.71071428571428"/>
        <n v="11.404854368932039"/>
        <n v="6.2439912280701755"/>
        <n v="25.573741007194243"/>
        <n v="15.534672897196263"/>
        <n v="33.39727272727273"/>
        <n v="37.188771186440675"/>
        <n v="23.566280991735535"/>
        <n v="22.944525547445256"/>
        <n v="31.898000000000003"/>
        <n v="21.122020202020202"/>
        <n v="54.95956284153006"/>
        <n v="34.091750000000005"/>
        <n v="105.22800000000001"/>
        <n v="40.48106796116505"/>
        <n v="41.01985815602837"/>
        <n v="53.79298969072165"/>
        <n v="15.777849462365591"/>
        <n v="30.16231173380035"/>
        <n v="155.8895238095238"/>
        <n v="50.745"/>
        <n v="49.68981818181818"/>
        <n v="14.978342245989303"/>
        <n v="60.56285714285714"/>
        <n v="82.09230769230768"/>
        <n v="197.6064"/>
        <n v="20.696322188449848"/>
        <n v="54.52647887323944"/>
        <n v="141.7"/>
        <n v="19.145982142857143"/>
        <n v="104.08188405797101"/>
        <n v="17.258220640569398"/>
        <n v="17.185643564356436"/>
        <n v="17.999825072886296"/>
        <n v="21.52857142857143"/>
        <n v="34.01552631578947"/>
        <n v="39.312"/>
        <n v="130.77586206896552"/>
        <n v="16.315714285714286"/>
        <n v="137.3864935064935"/>
        <n v="33.862972972972976"/>
        <n v="115.35333333333334"/>
        <n v="15.664202898550723"/>
        <n v="64.00117936117935"/>
        <n v="22.89777777777778"/>
        <n v="85.56611111111111"/>
        <n v="8.704972067039106"/>
        <n v="57.45044117647059"/>
        <n v="4.798888888888889"/>
        <n v="15.757377049180329"/>
        <n v="40.64473684210526"/>
        <n v="73.14424657534246"/>
        <n v="35.44231404958678"/>
        <n v="24.38048780487805"/>
        <n v="14.006857142857143"/>
        <n v="36.36867469879518"/>
        <n v="26.29055258467023"/>
        <n v="53.49024390243902"/>
        <n v="32.455555555555556"/>
        <n v="38.818028169014084"/>
        <n v="27.45301282051282"/>
        <n v="46.08326530612245"/>
        <n v="90.39"/>
        <n v="23.047574750830563"/>
        <n v="20.863693931398416"/>
        <n v="9.993235294117646"/>
        <n v="23.425352112676055"/>
        <n v="80.54285714285714"/>
        <n v="69.52473684210527"/>
        <n v="24.2"/>
        <n v="35.414646840148706"/>
        <n v="41.43157407407407"/>
        <n v="54.64637450199203"/>
        <n v="23.490000000000002"/>
        <n v="6.869090909090909"/>
        <n v="31.796266666666664"/>
        <n v="64.5035294117647"/>
        <n v="44.612857142857145"/>
        <n v="8.985221674876847"/>
        <n v="15.197154696132596"/>
        <n v="81.38454545454546"/>
        <n v="7.304189189189189"/>
        <n v="64.4145652173913"/>
        <n v="12.210952986022873"/>
        <n v="115.78153846153847"/>
        <n v="21.99676966292135"/>
        <n v="17.589567567567567"/>
        <n v="33.63"/>
        <n v="14.511854684512429"/>
        <n v="41.7043619047619"/>
        <n v="49.95137931034483"/>
        <n v="8.10204081632653"/>
        <n v="5.28615969581749"/>
        <n v="33.49084249084249"/>
        <n v="45.229396551724136"/>
        <n v="19.627636363636363"/>
        <n v="11.411188811188811"/>
        <n v="30.516146095717883"/>
        <n v="30.410610932475887"/>
        <n v="32.73051601423487"/>
        <n v="16.78846153846154"/>
        <n v="41.323146067415735"/>
        <n v="26.726911764705882"/>
        <n v="42.87681818181818"/>
        <n v="31.860769230769233"/>
        <n v="9.925149700598803"/>
        <n v="20.87235294117647"/>
        <n v="79.69114503816795"/>
        <n v="44.936216216216216"/>
        <n v="57.35330188679245"/>
        <n v="23.419745222929937"/>
        <n v="145.65764150943394"/>
        <n v="274.8748387096774"/>
        <n v="65.1572192513369"/>
        <n v="44.18561224489796"/>
        <n v="13.235813148788928"/>
        <n v="31.07069306930693"/>
        <n v="37.242439024390244"/>
        <n v="83.49478787878788"/>
        <n v="33.556326530612246"/>
        <n v="82.48247191011235"/>
        <n v="51.31363636363637"/>
        <n v="75.7375"/>
        <n v="7.677446808510639"/>
        <n v="35.27333333333333"/>
        <n v="32.877701149425285"/>
        <n v="92.26457446808512"/>
        <n v="99.705"/>
        <n v="10.293411764705883"/>
        <n v="25.189447236180904"/>
        <n v="25.05470422535211"/>
        <n v="20.4"/>
        <n v="66.72857142857143"/>
        <n v="19.36229508196721"/>
        <n v="53.313005893909626"/>
        <n v="28.15625"/>
        <n v="10.2455"/>
        <n v="123.17647058823529"/>
        <n v="17.020227272727272"/>
        <n v="16.529662921348315"/>
        <n v="15.931999999999999"/>
        <n v="50.28592592592593"/>
        <n v="76.58827160493827"/>
        <n v="86.625"/>
        <n v="48.295462962962965"/>
        <n v="22.5778515625"/>
        <n v="42.63181818181818"/>
        <n v="45.50853333333333"/>
        <n v="41.57063829787234"/>
        <n v="83.40876923076922"/>
        <n v="88.18727272727273"/>
        <n v="17.078645833333333"/>
        <n v="48.6325"/>
        <n v="34.6931571994716"/>
        <n v="14.4384"/>
        <n v="25.45230769230769"/>
        <n v="85.89314285714286"/>
        <n v="32.38212475633528"/>
        <n v="70.52173913043478"/>
        <n v="30.97533333333333"/>
        <n v="26.62872727272727"/>
        <n v="31.153548387096773"/>
        <n v="87.57115384615385"/>
        <n v="67.79032258064517"/>
        <n v="18.2696"/>
        <n v="6.541935483870968"/>
        <n v="35.216"/>
        <n v="18.367105263157896"/>
        <n v="17.709999999999997"/>
        <n v="54.893414634146346"/>
        <n v="42.07055118110236"/>
        <n v="34.1843137254902"/>
        <n v="24.133333333333333"/>
        <n v="173.30676923076925"/>
        <n v="22.330000000000002"/>
        <n v="33.18"/>
        <n v="231.24693333333335"/>
        <n v="10.681895734597157"/>
        <n v="48.92025806451613"/>
        <n v="40.914545454545454"/>
        <n v="31.266745562130176"/>
        <n v="19.70918918918919"/>
        <n v="52.88029090909091"/>
        <n v="47.204256756756756"/>
        <n v="6.897884378843788"/>
        <n v="16.683636363636364"/>
        <n v="79.465"/>
        <n v="51.96230769230769"/>
        <n v="26.463629032258062"/>
        <n v="100.35183673469388"/>
        <n v="40.823793103448274"/>
        <n v="28.634375000000002"/>
        <n v="37.89585585585585"/>
        <n v="23.192990990990992"/>
        <n v="29.749414802065406"/>
        <n v="22.416222222222224"/>
        <n v="12.540594059405942"/>
        <n v="12.749153318077804"/>
        <n v="59.748901098901094"/>
        <n v="34.333333333333336"/>
        <n v="35.92758620689656"/>
      </sharedItems>
    </cacheField>
    <cacheField name="Period" numFmtId="0">
      <sharedItems>
        <s v="Post-Shift"/>
        <s v="Baseline"/>
      </sharedItems>
    </cacheField>
    <cacheField name="Week" numFmtId="0">
      <sharedItems containsSemiMixedTypes="0" containsString="0" containsNumber="1" containsInteger="1">
        <n v="4.0"/>
        <n v="24.0"/>
        <n v="1.0"/>
        <n v="8.0"/>
        <n v="42.0"/>
        <n v="33.0"/>
        <n v="14.0"/>
        <n v="16.0"/>
        <n v="46.0"/>
        <n v="17.0"/>
        <n v="37.0"/>
        <n v="22.0"/>
        <n v="9.0"/>
        <n v="34.0"/>
        <n v="52.0"/>
        <n v="44.0"/>
        <n v="27.0"/>
        <n v="53.0"/>
        <n v="50.0"/>
        <n v="15.0"/>
        <n v="23.0"/>
        <n v="35.0"/>
        <n v="36.0"/>
        <n v="21.0"/>
        <n v="48.0"/>
        <n v="2.0"/>
        <n v="10.0"/>
        <n v="12.0"/>
        <n v="40.0"/>
        <n v="32.0"/>
        <n v="20.0"/>
        <n v="49.0"/>
        <n v="28.0"/>
        <n v="26.0"/>
        <n v="18.0"/>
        <n v="41.0"/>
        <n v="13.0"/>
        <n v="39.0"/>
        <n v="11.0"/>
        <n v="7.0"/>
        <n v="29.0"/>
        <n v="38.0"/>
        <n v="30.0"/>
        <n v="43.0"/>
        <n v="47.0"/>
        <n v="51.0"/>
        <n v="3.0"/>
        <n v="19.0"/>
        <n v="45.0"/>
        <n v="5.0"/>
        <n v="6.0"/>
        <n v="25.0"/>
        <n v="3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CAC_ByWeek" cacheId="0" dataCaption="" compact="0" compactData="0">
  <location ref="A1:D56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CA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t="default"/>
      </items>
    </pivotField>
    <pivotField name="Period" axis="axisCol" compact="0" outline="0" multipleItemSelectionAllowed="1" showAll="0" sortType="ascending">
      <items>
        <item x="1"/>
        <item x="0"/>
        <item t="default"/>
      </items>
    </pivotField>
    <pivotField name="Week" axis="axisRow" compact="0" outline="0" multipleItemSelectionAllowed="1" showAll="0" sortType="ascending">
      <items>
        <item x="2"/>
        <item x="25"/>
        <item x="46"/>
        <item x="0"/>
        <item x="49"/>
        <item x="50"/>
        <item x="39"/>
        <item x="3"/>
        <item x="12"/>
        <item x="26"/>
        <item x="38"/>
        <item x="27"/>
        <item x="36"/>
        <item x="6"/>
        <item x="19"/>
        <item x="7"/>
        <item x="9"/>
        <item x="34"/>
        <item x="47"/>
        <item x="30"/>
        <item x="23"/>
        <item x="11"/>
        <item x="20"/>
        <item x="1"/>
        <item x="51"/>
        <item x="33"/>
        <item x="16"/>
        <item x="32"/>
        <item x="40"/>
        <item x="42"/>
        <item x="52"/>
        <item x="29"/>
        <item x="5"/>
        <item x="13"/>
        <item x="21"/>
        <item x="22"/>
        <item x="10"/>
        <item x="41"/>
        <item x="37"/>
        <item x="28"/>
        <item x="35"/>
        <item x="4"/>
        <item x="43"/>
        <item x="15"/>
        <item x="48"/>
        <item x="8"/>
        <item x="44"/>
        <item x="24"/>
        <item x="31"/>
        <item x="18"/>
        <item x="45"/>
        <item x="14"/>
        <item x="17"/>
        <item t="default"/>
      </items>
    </pivotField>
  </pivotFields>
  <rowFields>
    <field x="16"/>
  </rowFields>
  <colFields>
    <field x="15"/>
  </colFields>
  <dataFields>
    <dataField name="AVERAGE of CAC" fld="1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8.13"/>
    <col customWidth="1" min="18" max="18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5">
        <v>59886.0</v>
      </c>
      <c r="G2" s="5">
        <v>2113.0</v>
      </c>
      <c r="H2" s="5">
        <v>0.0353</v>
      </c>
      <c r="I2" s="5">
        <v>1.26</v>
      </c>
      <c r="J2" s="5">
        <v>2662.38</v>
      </c>
      <c r="K2" s="5">
        <v>159.0</v>
      </c>
      <c r="L2" s="5">
        <v>16.74</v>
      </c>
      <c r="M2" s="5">
        <v>4803.43</v>
      </c>
      <c r="N2" s="5">
        <v>1.8</v>
      </c>
      <c r="O2" s="6">
        <f t="shared" ref="O2:O1801" si="1">IF(K2=0,"",J2/K2)</f>
        <v>16.7445283</v>
      </c>
      <c r="P2" s="6" t="str">
        <f t="shared" ref="P2:P1801" si="2">IF(A2&lt;DATE(2024,7,1),"Baseline","Post-Shift")</f>
        <v>Post-Shift</v>
      </c>
      <c r="Q2" s="3">
        <f t="shared" ref="Q2:Q1801" si="3">WEEKNUM(DATE(RIGHT(A2,4),LEFT(A2,FIND("/",A2)-1),MID(A2,FIND("/",A2)+1,2)),1)</f>
        <v>4</v>
      </c>
    </row>
    <row r="3">
      <c r="A3" s="4" t="s">
        <v>22</v>
      </c>
      <c r="B3" s="2" t="s">
        <v>23</v>
      </c>
      <c r="C3" s="2" t="s">
        <v>19</v>
      </c>
      <c r="D3" s="2" t="s">
        <v>24</v>
      </c>
      <c r="E3" s="2" t="s">
        <v>25</v>
      </c>
      <c r="F3" s="5">
        <v>135608.0</v>
      </c>
      <c r="G3" s="5">
        <v>5220.0</v>
      </c>
      <c r="H3" s="5">
        <v>0.0385</v>
      </c>
      <c r="I3" s="5">
        <v>1.18</v>
      </c>
      <c r="J3" s="5">
        <v>6159.6</v>
      </c>
      <c r="K3" s="5">
        <v>411.0</v>
      </c>
      <c r="L3" s="5">
        <v>14.99</v>
      </c>
      <c r="M3" s="5">
        <v>64126.68</v>
      </c>
      <c r="N3" s="5">
        <v>10.41</v>
      </c>
      <c r="O3" s="6">
        <f t="shared" si="1"/>
        <v>14.98686131</v>
      </c>
      <c r="P3" s="6" t="str">
        <f t="shared" si="2"/>
        <v>Post-Shift</v>
      </c>
      <c r="Q3" s="3">
        <f t="shared" si="3"/>
        <v>4</v>
      </c>
    </row>
    <row r="4">
      <c r="A4" s="4" t="s">
        <v>26</v>
      </c>
      <c r="B4" s="2" t="s">
        <v>23</v>
      </c>
      <c r="C4" s="2" t="s">
        <v>27</v>
      </c>
      <c r="D4" s="2" t="s">
        <v>29</v>
      </c>
      <c r="E4" s="2" t="s">
        <v>30</v>
      </c>
      <c r="F4" s="5">
        <v>92313.0</v>
      </c>
      <c r="G4" s="5">
        <v>5991.0</v>
      </c>
      <c r="H4" s="5">
        <v>0.0649</v>
      </c>
      <c r="I4" s="5">
        <v>0.85</v>
      </c>
      <c r="J4" s="5">
        <v>5092.35</v>
      </c>
      <c r="K4" s="5">
        <v>267.0</v>
      </c>
      <c r="L4" s="5">
        <v>19.07</v>
      </c>
      <c r="M4" s="5">
        <v>10489.07</v>
      </c>
      <c r="N4" s="5">
        <v>2.06</v>
      </c>
      <c r="O4" s="6">
        <f t="shared" si="1"/>
        <v>19.07247191</v>
      </c>
      <c r="P4" s="6" t="str">
        <f t="shared" si="2"/>
        <v>Post-Shift</v>
      </c>
      <c r="Q4" s="3">
        <f t="shared" si="3"/>
        <v>24</v>
      </c>
    </row>
    <row r="5">
      <c r="A5" s="4">
        <v>45323.0</v>
      </c>
      <c r="B5" s="2" t="s">
        <v>23</v>
      </c>
      <c r="C5" s="2" t="s">
        <v>31</v>
      </c>
      <c r="D5" s="2" t="s">
        <v>32</v>
      </c>
      <c r="E5" s="2" t="s">
        <v>33</v>
      </c>
      <c r="F5" s="5">
        <v>83953.0</v>
      </c>
      <c r="G5" s="5">
        <v>5935.0</v>
      </c>
      <c r="H5" s="5">
        <v>0.0707</v>
      </c>
      <c r="I5" s="5">
        <v>1.32</v>
      </c>
      <c r="J5" s="5">
        <v>7834.2</v>
      </c>
      <c r="K5" s="5">
        <v>296.0</v>
      </c>
      <c r="L5" s="5">
        <v>26.47</v>
      </c>
      <c r="M5" s="5">
        <v>50505.07</v>
      </c>
      <c r="N5" s="5">
        <v>6.45</v>
      </c>
      <c r="O5" s="6">
        <f t="shared" si="1"/>
        <v>26.46689189</v>
      </c>
      <c r="P5" s="6" t="str">
        <f t="shared" si="2"/>
        <v>Baseline</v>
      </c>
      <c r="Q5" s="3">
        <f t="shared" si="3"/>
        <v>1</v>
      </c>
    </row>
    <row r="6">
      <c r="A6" s="4" t="s">
        <v>34</v>
      </c>
      <c r="B6" s="2" t="s">
        <v>23</v>
      </c>
      <c r="C6" s="2" t="s">
        <v>19</v>
      </c>
      <c r="D6" s="2" t="s">
        <v>29</v>
      </c>
      <c r="E6" s="2" t="s">
        <v>25</v>
      </c>
      <c r="F6" s="5">
        <v>91807.0</v>
      </c>
      <c r="G6" s="5">
        <v>4489.0</v>
      </c>
      <c r="H6" s="5">
        <v>0.0489</v>
      </c>
      <c r="I6" s="5">
        <v>1.93</v>
      </c>
      <c r="J6" s="5">
        <v>8663.77</v>
      </c>
      <c r="K6" s="5">
        <v>107.0</v>
      </c>
      <c r="L6" s="5">
        <v>80.97</v>
      </c>
      <c r="M6" s="5">
        <v>3369.53</v>
      </c>
      <c r="N6" s="5">
        <v>0.39</v>
      </c>
      <c r="O6" s="6">
        <f t="shared" si="1"/>
        <v>80.96981308</v>
      </c>
      <c r="P6" s="6" t="str">
        <f t="shared" si="2"/>
        <v>Post-Shift</v>
      </c>
      <c r="Q6" s="3">
        <f t="shared" si="3"/>
        <v>8</v>
      </c>
    </row>
    <row r="7">
      <c r="A7" s="4" t="s">
        <v>35</v>
      </c>
      <c r="B7" s="2" t="s">
        <v>23</v>
      </c>
      <c r="C7" s="2" t="s">
        <v>19</v>
      </c>
      <c r="D7" s="2" t="s">
        <v>20</v>
      </c>
      <c r="E7" s="2" t="s">
        <v>36</v>
      </c>
      <c r="F7" s="5">
        <v>17666.0</v>
      </c>
      <c r="G7" s="5">
        <v>724.0</v>
      </c>
      <c r="H7" s="5">
        <v>0.041</v>
      </c>
      <c r="I7" s="5">
        <v>0.37</v>
      </c>
      <c r="J7" s="5">
        <v>267.88</v>
      </c>
      <c r="K7" s="5">
        <v>23.0</v>
      </c>
      <c r="L7" s="5">
        <v>11.65</v>
      </c>
      <c r="M7" s="5">
        <v>5220.85</v>
      </c>
      <c r="N7" s="5">
        <v>19.49</v>
      </c>
      <c r="O7" s="6">
        <f t="shared" si="1"/>
        <v>11.64695652</v>
      </c>
      <c r="P7" s="6" t="str">
        <f t="shared" si="2"/>
        <v>Post-Shift</v>
      </c>
      <c r="Q7" s="3">
        <f t="shared" si="3"/>
        <v>42</v>
      </c>
    </row>
    <row r="8">
      <c r="A8" s="4" t="s">
        <v>37</v>
      </c>
      <c r="B8" s="2" t="s">
        <v>38</v>
      </c>
      <c r="C8" s="2" t="s">
        <v>27</v>
      </c>
      <c r="D8" s="2" t="s">
        <v>20</v>
      </c>
      <c r="E8" s="2" t="s">
        <v>30</v>
      </c>
      <c r="F8" s="5">
        <v>118252.0</v>
      </c>
      <c r="G8" s="5">
        <v>3748.0</v>
      </c>
      <c r="H8" s="5">
        <v>0.0317</v>
      </c>
      <c r="I8" s="5">
        <v>0.42</v>
      </c>
      <c r="J8" s="5">
        <v>1574.16</v>
      </c>
      <c r="K8" s="5">
        <v>152.0</v>
      </c>
      <c r="L8" s="5">
        <v>10.36</v>
      </c>
      <c r="M8" s="5">
        <v>12838.56</v>
      </c>
      <c r="N8" s="5">
        <v>8.16</v>
      </c>
      <c r="O8" s="6">
        <f t="shared" si="1"/>
        <v>10.35631579</v>
      </c>
      <c r="P8" s="6" t="str">
        <f t="shared" si="2"/>
        <v>Post-Shift</v>
      </c>
      <c r="Q8" s="3">
        <f t="shared" si="3"/>
        <v>33</v>
      </c>
    </row>
    <row r="9">
      <c r="A9" s="4">
        <v>45416.0</v>
      </c>
      <c r="B9" s="2" t="s">
        <v>23</v>
      </c>
      <c r="C9" s="2" t="s">
        <v>19</v>
      </c>
      <c r="D9" s="2" t="s">
        <v>24</v>
      </c>
      <c r="E9" s="2" t="s">
        <v>21</v>
      </c>
      <c r="F9" s="5">
        <v>92939.0</v>
      </c>
      <c r="G9" s="5">
        <v>5176.0</v>
      </c>
      <c r="H9" s="5">
        <v>0.0557</v>
      </c>
      <c r="I9" s="5">
        <v>0.66</v>
      </c>
      <c r="J9" s="5">
        <v>3416.16</v>
      </c>
      <c r="K9" s="5">
        <v>388.0</v>
      </c>
      <c r="L9" s="5">
        <v>8.8</v>
      </c>
      <c r="M9" s="5">
        <v>96298.69</v>
      </c>
      <c r="N9" s="5">
        <v>28.19</v>
      </c>
      <c r="O9" s="6">
        <f t="shared" si="1"/>
        <v>8.804536082</v>
      </c>
      <c r="P9" s="6" t="str">
        <f t="shared" si="2"/>
        <v>Baseline</v>
      </c>
      <c r="Q9" s="3">
        <f t="shared" si="3"/>
        <v>14</v>
      </c>
    </row>
    <row r="10">
      <c r="A10" s="4" t="s">
        <v>40</v>
      </c>
      <c r="B10" s="2" t="s">
        <v>38</v>
      </c>
      <c r="C10" s="2" t="s">
        <v>41</v>
      </c>
      <c r="D10" s="2" t="s">
        <v>24</v>
      </c>
      <c r="E10" s="2" t="s">
        <v>33</v>
      </c>
      <c r="F10" s="5">
        <v>30939.0</v>
      </c>
      <c r="G10" s="5">
        <v>937.0</v>
      </c>
      <c r="H10" s="5">
        <v>0.0303</v>
      </c>
      <c r="I10" s="5">
        <v>0.59</v>
      </c>
      <c r="J10" s="5">
        <v>552.83</v>
      </c>
      <c r="K10" s="5">
        <v>63.0</v>
      </c>
      <c r="L10" s="5">
        <v>8.78</v>
      </c>
      <c r="M10" s="5">
        <v>16531.03</v>
      </c>
      <c r="N10" s="5">
        <v>29.9</v>
      </c>
      <c r="O10" s="6">
        <f t="shared" si="1"/>
        <v>8.775079365</v>
      </c>
      <c r="P10" s="6" t="str">
        <f t="shared" si="2"/>
        <v>Post-Shift</v>
      </c>
      <c r="Q10" s="3">
        <f t="shared" si="3"/>
        <v>16</v>
      </c>
    </row>
    <row r="11">
      <c r="A11" s="4" t="s">
        <v>43</v>
      </c>
      <c r="B11" s="2" t="s">
        <v>18</v>
      </c>
      <c r="C11" s="2" t="s">
        <v>31</v>
      </c>
      <c r="D11" s="2" t="s">
        <v>20</v>
      </c>
      <c r="E11" s="2" t="s">
        <v>30</v>
      </c>
      <c r="F11" s="5">
        <v>8748.0</v>
      </c>
      <c r="G11" s="5">
        <v>362.0</v>
      </c>
      <c r="H11" s="5">
        <v>0.0414</v>
      </c>
      <c r="I11" s="5">
        <v>1.21</v>
      </c>
      <c r="J11" s="5">
        <v>438.02</v>
      </c>
      <c r="K11" s="5">
        <v>10.0</v>
      </c>
      <c r="L11" s="5">
        <v>43.8</v>
      </c>
      <c r="M11" s="5">
        <v>966.57</v>
      </c>
      <c r="N11" s="5">
        <v>2.21</v>
      </c>
      <c r="O11" s="6">
        <f t="shared" si="1"/>
        <v>43.802</v>
      </c>
      <c r="P11" s="6" t="str">
        <f t="shared" si="2"/>
        <v>Post-Shift</v>
      </c>
      <c r="Q11" s="3">
        <f t="shared" si="3"/>
        <v>46</v>
      </c>
    </row>
    <row r="12">
      <c r="A12" s="4" t="s">
        <v>44</v>
      </c>
      <c r="B12" s="2" t="s">
        <v>38</v>
      </c>
      <c r="C12" s="2" t="s">
        <v>27</v>
      </c>
      <c r="D12" s="2" t="s">
        <v>45</v>
      </c>
      <c r="E12" s="2" t="s">
        <v>21</v>
      </c>
      <c r="F12" s="5">
        <v>98264.0</v>
      </c>
      <c r="G12" s="5">
        <v>3144.0</v>
      </c>
      <c r="H12" s="5">
        <v>0.032</v>
      </c>
      <c r="I12" s="5">
        <v>1.56</v>
      </c>
      <c r="J12" s="5">
        <v>4904.64</v>
      </c>
      <c r="K12" s="5">
        <v>129.0</v>
      </c>
      <c r="L12" s="5">
        <v>38.02</v>
      </c>
      <c r="M12" s="5">
        <v>23127.27</v>
      </c>
      <c r="N12" s="5">
        <v>4.72</v>
      </c>
      <c r="O12" s="6">
        <f t="shared" si="1"/>
        <v>38.02046512</v>
      </c>
      <c r="P12" s="6" t="str">
        <f t="shared" si="2"/>
        <v>Post-Shift</v>
      </c>
      <c r="Q12" s="3">
        <f t="shared" si="3"/>
        <v>17</v>
      </c>
    </row>
    <row r="13">
      <c r="A13" s="4">
        <v>45605.0</v>
      </c>
      <c r="B13" s="2" t="s">
        <v>38</v>
      </c>
      <c r="C13" s="2" t="s">
        <v>27</v>
      </c>
      <c r="D13" s="2" t="s">
        <v>20</v>
      </c>
      <c r="E13" s="2" t="s">
        <v>36</v>
      </c>
      <c r="F13" s="5">
        <v>173229.0</v>
      </c>
      <c r="G13" s="5">
        <v>5092.0</v>
      </c>
      <c r="H13" s="5">
        <v>0.0294</v>
      </c>
      <c r="I13" s="5">
        <v>1.72</v>
      </c>
      <c r="J13" s="5">
        <v>8758.24</v>
      </c>
      <c r="K13" s="5">
        <v>65.0</v>
      </c>
      <c r="L13" s="5">
        <v>134.74</v>
      </c>
      <c r="M13" s="5">
        <v>12320.17</v>
      </c>
      <c r="N13" s="5">
        <v>1.41</v>
      </c>
      <c r="O13" s="6">
        <f t="shared" si="1"/>
        <v>134.7421538</v>
      </c>
      <c r="P13" s="6" t="str">
        <f t="shared" si="2"/>
        <v>Post-Shift</v>
      </c>
      <c r="Q13" s="3">
        <f t="shared" si="3"/>
        <v>37</v>
      </c>
    </row>
    <row r="14">
      <c r="A14" s="4" t="s">
        <v>47</v>
      </c>
      <c r="B14" s="2" t="s">
        <v>38</v>
      </c>
      <c r="C14" s="2" t="s">
        <v>27</v>
      </c>
      <c r="D14" s="2" t="s">
        <v>32</v>
      </c>
      <c r="E14" s="2" t="s">
        <v>36</v>
      </c>
      <c r="F14" s="5">
        <v>147483.0</v>
      </c>
      <c r="G14" s="5">
        <v>2138.0</v>
      </c>
      <c r="H14" s="5">
        <v>0.0145</v>
      </c>
      <c r="I14" s="5">
        <v>0.57</v>
      </c>
      <c r="J14" s="5">
        <v>1218.66</v>
      </c>
      <c r="K14" s="5">
        <v>159.0</v>
      </c>
      <c r="L14" s="5">
        <v>7.66</v>
      </c>
      <c r="M14" s="5">
        <v>42434.18</v>
      </c>
      <c r="N14" s="5">
        <v>34.82</v>
      </c>
      <c r="O14" s="6">
        <f t="shared" si="1"/>
        <v>7.664528302</v>
      </c>
      <c r="P14" s="6" t="str">
        <f t="shared" si="2"/>
        <v>Post-Shift</v>
      </c>
      <c r="Q14" s="3">
        <f t="shared" si="3"/>
        <v>22</v>
      </c>
    </row>
    <row r="15">
      <c r="A15" s="4" t="s">
        <v>49</v>
      </c>
      <c r="B15" s="2" t="s">
        <v>18</v>
      </c>
      <c r="C15" s="2" t="s">
        <v>31</v>
      </c>
      <c r="D15" s="2" t="s">
        <v>32</v>
      </c>
      <c r="E15" s="2" t="s">
        <v>30</v>
      </c>
      <c r="F15" s="5">
        <v>116472.0</v>
      </c>
      <c r="G15" s="5">
        <v>4006.0</v>
      </c>
      <c r="H15" s="5">
        <v>0.0344</v>
      </c>
      <c r="I15" s="5">
        <v>2.68</v>
      </c>
      <c r="J15" s="5">
        <v>10736.08</v>
      </c>
      <c r="K15" s="5">
        <v>291.0</v>
      </c>
      <c r="L15" s="5">
        <v>36.89</v>
      </c>
      <c r="M15" s="5">
        <v>78428.38</v>
      </c>
      <c r="N15" s="5">
        <v>7.31</v>
      </c>
      <c r="O15" s="6">
        <f t="shared" si="1"/>
        <v>36.8937457</v>
      </c>
      <c r="P15" s="6" t="str">
        <f t="shared" si="2"/>
        <v>Post-Shift</v>
      </c>
      <c r="Q15" s="3">
        <f t="shared" si="3"/>
        <v>9</v>
      </c>
    </row>
    <row r="16">
      <c r="A16" s="4" t="s">
        <v>44</v>
      </c>
      <c r="B16" s="2" t="s">
        <v>23</v>
      </c>
      <c r="C16" s="2" t="s">
        <v>31</v>
      </c>
      <c r="D16" s="2" t="s">
        <v>24</v>
      </c>
      <c r="E16" s="2" t="s">
        <v>36</v>
      </c>
      <c r="F16" s="5">
        <v>37711.0</v>
      </c>
      <c r="G16" s="5">
        <v>2111.0</v>
      </c>
      <c r="H16" s="5">
        <v>0.056</v>
      </c>
      <c r="I16" s="5">
        <v>0.68</v>
      </c>
      <c r="J16" s="5">
        <v>1435.48</v>
      </c>
      <c r="K16" s="5">
        <v>92.0</v>
      </c>
      <c r="L16" s="5">
        <v>15.6</v>
      </c>
      <c r="M16" s="5">
        <v>13898.86</v>
      </c>
      <c r="N16" s="5">
        <v>9.68</v>
      </c>
      <c r="O16" s="6">
        <f t="shared" si="1"/>
        <v>15.60304348</v>
      </c>
      <c r="P16" s="6" t="str">
        <f t="shared" si="2"/>
        <v>Post-Shift</v>
      </c>
      <c r="Q16" s="3">
        <f t="shared" si="3"/>
        <v>17</v>
      </c>
    </row>
    <row r="17">
      <c r="A17" s="4" t="s">
        <v>35</v>
      </c>
      <c r="B17" s="2" t="s">
        <v>23</v>
      </c>
      <c r="C17" s="2" t="s">
        <v>31</v>
      </c>
      <c r="D17" s="2" t="s">
        <v>45</v>
      </c>
      <c r="E17" s="2" t="s">
        <v>33</v>
      </c>
      <c r="F17" s="5">
        <v>96412.0</v>
      </c>
      <c r="G17" s="5">
        <v>7047.0</v>
      </c>
      <c r="H17" s="5">
        <v>0.0731</v>
      </c>
      <c r="I17" s="5">
        <v>1.11</v>
      </c>
      <c r="J17" s="5">
        <v>7822.17</v>
      </c>
      <c r="K17" s="5">
        <v>194.0</v>
      </c>
      <c r="L17" s="5">
        <v>40.32</v>
      </c>
      <c r="M17" s="5">
        <v>36717.43</v>
      </c>
      <c r="N17" s="5">
        <v>4.69</v>
      </c>
      <c r="O17" s="6">
        <f t="shared" si="1"/>
        <v>40.32046392</v>
      </c>
      <c r="P17" s="6" t="str">
        <f t="shared" si="2"/>
        <v>Post-Shift</v>
      </c>
      <c r="Q17" s="3">
        <f t="shared" si="3"/>
        <v>42</v>
      </c>
    </row>
    <row r="18">
      <c r="A18" s="4" t="s">
        <v>52</v>
      </c>
      <c r="B18" s="2" t="s">
        <v>23</v>
      </c>
      <c r="C18" s="2" t="s">
        <v>27</v>
      </c>
      <c r="D18" s="2" t="s">
        <v>20</v>
      </c>
      <c r="E18" s="2" t="s">
        <v>36</v>
      </c>
      <c r="F18" s="5">
        <v>184476.0</v>
      </c>
      <c r="G18" s="5">
        <v>8854.0</v>
      </c>
      <c r="H18" s="5">
        <v>0.048</v>
      </c>
      <c r="I18" s="5">
        <v>0.35</v>
      </c>
      <c r="J18" s="5">
        <v>3098.9</v>
      </c>
      <c r="K18" s="5">
        <v>198.0</v>
      </c>
      <c r="L18" s="5">
        <v>15.65</v>
      </c>
      <c r="M18" s="5">
        <v>56216.92</v>
      </c>
      <c r="N18" s="5">
        <v>18.14</v>
      </c>
      <c r="O18" s="6">
        <f t="shared" si="1"/>
        <v>15.6510101</v>
      </c>
      <c r="P18" s="6" t="str">
        <f t="shared" si="2"/>
        <v>Post-Shift</v>
      </c>
      <c r="Q18" s="3">
        <f t="shared" si="3"/>
        <v>33</v>
      </c>
    </row>
    <row r="19">
      <c r="A19" s="4" t="s">
        <v>53</v>
      </c>
      <c r="B19" s="2" t="s">
        <v>23</v>
      </c>
      <c r="C19" s="2" t="s">
        <v>19</v>
      </c>
      <c r="D19" s="2" t="s">
        <v>20</v>
      </c>
      <c r="E19" s="2" t="s">
        <v>33</v>
      </c>
      <c r="F19" s="5">
        <v>38828.0</v>
      </c>
      <c r="G19" s="5">
        <v>3607.0</v>
      </c>
      <c r="H19" s="5">
        <v>0.0929</v>
      </c>
      <c r="I19" s="5">
        <v>0.97</v>
      </c>
      <c r="J19" s="5">
        <v>3498.79</v>
      </c>
      <c r="K19" s="5">
        <v>116.0</v>
      </c>
      <c r="L19" s="5">
        <v>30.16</v>
      </c>
      <c r="M19" s="5">
        <v>8788.51</v>
      </c>
      <c r="N19" s="5">
        <v>2.51</v>
      </c>
      <c r="O19" s="6">
        <f t="shared" si="1"/>
        <v>30.16198276</v>
      </c>
      <c r="P19" s="6" t="str">
        <f t="shared" si="2"/>
        <v>Post-Shift</v>
      </c>
      <c r="Q19" s="3">
        <f t="shared" si="3"/>
        <v>34</v>
      </c>
    </row>
    <row r="20">
      <c r="A20" s="4" t="s">
        <v>54</v>
      </c>
      <c r="B20" s="2" t="s">
        <v>38</v>
      </c>
      <c r="C20" s="2" t="s">
        <v>27</v>
      </c>
      <c r="D20" s="2" t="s">
        <v>32</v>
      </c>
      <c r="E20" s="2" t="s">
        <v>36</v>
      </c>
      <c r="F20" s="5">
        <v>187957.0</v>
      </c>
      <c r="G20" s="5">
        <v>4586.0</v>
      </c>
      <c r="H20" s="5">
        <v>0.0244</v>
      </c>
      <c r="I20" s="5">
        <v>2.1</v>
      </c>
      <c r="J20" s="5">
        <v>9630.6</v>
      </c>
      <c r="K20" s="5">
        <v>271.0</v>
      </c>
      <c r="L20" s="5">
        <v>35.54</v>
      </c>
      <c r="M20" s="5">
        <v>34433.97</v>
      </c>
      <c r="N20" s="5">
        <v>3.58</v>
      </c>
      <c r="O20" s="6">
        <f t="shared" si="1"/>
        <v>35.53726937</v>
      </c>
      <c r="P20" s="6" t="str">
        <f t="shared" si="2"/>
        <v>Post-Shift</v>
      </c>
      <c r="Q20" s="3">
        <f t="shared" si="3"/>
        <v>52</v>
      </c>
    </row>
    <row r="21">
      <c r="A21" s="4">
        <v>45302.0</v>
      </c>
      <c r="B21" s="2" t="s">
        <v>18</v>
      </c>
      <c r="C21" s="2" t="s">
        <v>27</v>
      </c>
      <c r="D21" s="2" t="s">
        <v>32</v>
      </c>
      <c r="E21" s="2" t="s">
        <v>36</v>
      </c>
      <c r="F21" s="5">
        <v>34592.0</v>
      </c>
      <c r="G21" s="5">
        <v>1615.0</v>
      </c>
      <c r="H21" s="5">
        <v>0.0467</v>
      </c>
      <c r="I21" s="5">
        <v>1.15</v>
      </c>
      <c r="J21" s="5">
        <v>1857.25</v>
      </c>
      <c r="K21" s="5">
        <v>116.0</v>
      </c>
      <c r="L21" s="5">
        <v>16.01</v>
      </c>
      <c r="M21" s="5">
        <v>4344.96</v>
      </c>
      <c r="N21" s="5">
        <v>2.34</v>
      </c>
      <c r="O21" s="6">
        <f t="shared" si="1"/>
        <v>16.01077586</v>
      </c>
      <c r="P21" s="6" t="str">
        <f t="shared" si="2"/>
        <v>Baseline</v>
      </c>
      <c r="Q21" s="3">
        <f t="shared" si="3"/>
        <v>44</v>
      </c>
    </row>
    <row r="22">
      <c r="A22" s="4">
        <v>45389.0</v>
      </c>
      <c r="B22" s="2" t="s">
        <v>38</v>
      </c>
      <c r="C22" s="2" t="s">
        <v>31</v>
      </c>
      <c r="D22" s="2" t="s">
        <v>20</v>
      </c>
      <c r="E22" s="2" t="s">
        <v>30</v>
      </c>
      <c r="F22" s="5">
        <v>185798.0</v>
      </c>
      <c r="G22" s="5">
        <v>5889.0</v>
      </c>
      <c r="H22" s="5">
        <v>0.0317</v>
      </c>
      <c r="I22" s="5">
        <v>0.9</v>
      </c>
      <c r="J22" s="5">
        <v>5300.1</v>
      </c>
      <c r="K22" s="5">
        <v>400.0</v>
      </c>
      <c r="L22" s="5">
        <v>13.25</v>
      </c>
      <c r="M22" s="5">
        <v>41326.63</v>
      </c>
      <c r="N22" s="5">
        <v>7.8</v>
      </c>
      <c r="O22" s="6">
        <f t="shared" si="1"/>
        <v>13.25025</v>
      </c>
      <c r="P22" s="6" t="str">
        <f t="shared" si="2"/>
        <v>Baseline</v>
      </c>
      <c r="Q22" s="3">
        <f t="shared" si="3"/>
        <v>27</v>
      </c>
    </row>
    <row r="23">
      <c r="A23" s="4" t="s">
        <v>55</v>
      </c>
      <c r="B23" s="2" t="s">
        <v>23</v>
      </c>
      <c r="C23" s="2" t="s">
        <v>27</v>
      </c>
      <c r="D23" s="2" t="s">
        <v>24</v>
      </c>
      <c r="E23" s="2" t="s">
        <v>56</v>
      </c>
      <c r="F23" s="5">
        <v>194407.0</v>
      </c>
      <c r="G23" s="5">
        <v>13122.0</v>
      </c>
      <c r="H23" s="5">
        <v>0.0675</v>
      </c>
      <c r="I23" s="5">
        <v>0.85</v>
      </c>
      <c r="J23" s="5">
        <v>11153.7</v>
      </c>
      <c r="K23" s="5">
        <v>379.0</v>
      </c>
      <c r="L23" s="5">
        <v>29.43</v>
      </c>
      <c r="M23" s="5">
        <v>56289.95</v>
      </c>
      <c r="N23" s="5">
        <v>5.05</v>
      </c>
      <c r="O23" s="6">
        <f t="shared" si="1"/>
        <v>29.4292876</v>
      </c>
      <c r="P23" s="6" t="str">
        <f t="shared" si="2"/>
        <v>Post-Shift</v>
      </c>
      <c r="Q23" s="3">
        <f t="shared" si="3"/>
        <v>53</v>
      </c>
    </row>
    <row r="24">
      <c r="A24" s="4" t="s">
        <v>43</v>
      </c>
      <c r="B24" s="2" t="s">
        <v>18</v>
      </c>
      <c r="C24" s="2" t="s">
        <v>19</v>
      </c>
      <c r="D24" s="2" t="s">
        <v>32</v>
      </c>
      <c r="E24" s="2" t="s">
        <v>21</v>
      </c>
      <c r="F24" s="5">
        <v>188062.0</v>
      </c>
      <c r="G24" s="5">
        <v>8143.0</v>
      </c>
      <c r="H24" s="5">
        <v>0.0433</v>
      </c>
      <c r="I24" s="5">
        <v>1.8</v>
      </c>
      <c r="J24" s="5">
        <v>14657.4</v>
      </c>
      <c r="K24" s="5">
        <v>614.0</v>
      </c>
      <c r="L24" s="5">
        <v>23.87</v>
      </c>
      <c r="M24" s="5">
        <v>124232.5</v>
      </c>
      <c r="N24" s="5">
        <v>8.48</v>
      </c>
      <c r="O24" s="6">
        <f t="shared" si="1"/>
        <v>23.87198697</v>
      </c>
      <c r="P24" s="6" t="str">
        <f t="shared" si="2"/>
        <v>Post-Shift</v>
      </c>
      <c r="Q24" s="3">
        <f t="shared" si="3"/>
        <v>46</v>
      </c>
    </row>
    <row r="25">
      <c r="A25" s="4" t="s">
        <v>57</v>
      </c>
      <c r="B25" s="2" t="s">
        <v>38</v>
      </c>
      <c r="C25" s="2" t="s">
        <v>31</v>
      </c>
      <c r="D25" s="2" t="s">
        <v>29</v>
      </c>
      <c r="E25" s="2" t="s">
        <v>56</v>
      </c>
      <c r="F25" s="5">
        <v>195710.0</v>
      </c>
      <c r="G25" s="5">
        <v>4481.0</v>
      </c>
      <c r="H25" s="5">
        <v>0.0229</v>
      </c>
      <c r="I25" s="5">
        <v>0.53</v>
      </c>
      <c r="J25" s="5">
        <v>2374.93</v>
      </c>
      <c r="K25" s="5">
        <v>352.0</v>
      </c>
      <c r="L25" s="5">
        <v>6.75</v>
      </c>
      <c r="M25" s="5">
        <v>27223.39</v>
      </c>
      <c r="N25" s="5">
        <v>11.46</v>
      </c>
      <c r="O25" s="6">
        <f t="shared" si="1"/>
        <v>6.746960227</v>
      </c>
      <c r="P25" s="6" t="str">
        <f t="shared" si="2"/>
        <v>Post-Shift</v>
      </c>
      <c r="Q25" s="3">
        <f t="shared" si="3"/>
        <v>50</v>
      </c>
    </row>
    <row r="26">
      <c r="A26" s="4">
        <v>45539.0</v>
      </c>
      <c r="B26" s="2" t="s">
        <v>18</v>
      </c>
      <c r="C26" s="2" t="s">
        <v>41</v>
      </c>
      <c r="D26" s="2" t="s">
        <v>29</v>
      </c>
      <c r="E26" s="2" t="s">
        <v>58</v>
      </c>
      <c r="F26" s="5">
        <v>198824.0</v>
      </c>
      <c r="G26" s="5">
        <v>9046.0</v>
      </c>
      <c r="H26" s="5">
        <v>0.0455</v>
      </c>
      <c r="I26" s="5">
        <v>3.61</v>
      </c>
      <c r="J26" s="5">
        <v>32656.06</v>
      </c>
      <c r="K26" s="5">
        <v>407.0</v>
      </c>
      <c r="L26" s="5">
        <v>80.24</v>
      </c>
      <c r="M26" s="5">
        <v>71482.19</v>
      </c>
      <c r="N26" s="5">
        <v>2.19</v>
      </c>
      <c r="O26" s="6">
        <f t="shared" si="1"/>
        <v>80.23601966</v>
      </c>
      <c r="P26" s="6" t="str">
        <f t="shared" si="2"/>
        <v>Post-Shift</v>
      </c>
      <c r="Q26" s="3">
        <f t="shared" si="3"/>
        <v>15</v>
      </c>
    </row>
    <row r="27">
      <c r="A27" s="4">
        <v>45510.0</v>
      </c>
      <c r="B27" s="2" t="s">
        <v>38</v>
      </c>
      <c r="C27" s="2" t="s">
        <v>31</v>
      </c>
      <c r="D27" s="2" t="s">
        <v>32</v>
      </c>
      <c r="E27" s="2" t="s">
        <v>30</v>
      </c>
      <c r="F27" s="5">
        <v>196962.0</v>
      </c>
      <c r="G27" s="5">
        <v>5081.0</v>
      </c>
      <c r="H27" s="5">
        <v>0.0258</v>
      </c>
      <c r="I27" s="5">
        <v>2.06</v>
      </c>
      <c r="J27" s="5">
        <v>10466.86</v>
      </c>
      <c r="K27" s="5">
        <v>282.0</v>
      </c>
      <c r="L27" s="5">
        <v>37.12</v>
      </c>
      <c r="M27" s="5">
        <v>24196.95</v>
      </c>
      <c r="N27" s="5">
        <v>2.31</v>
      </c>
      <c r="O27" s="6">
        <f t="shared" si="1"/>
        <v>37.11652482</v>
      </c>
      <c r="P27" s="6" t="str">
        <f t="shared" si="2"/>
        <v>Post-Shift</v>
      </c>
      <c r="Q27" s="3">
        <f t="shared" si="3"/>
        <v>23</v>
      </c>
    </row>
    <row r="28">
      <c r="A28" s="4" t="s">
        <v>59</v>
      </c>
      <c r="B28" s="2" t="s">
        <v>18</v>
      </c>
      <c r="C28" s="2" t="s">
        <v>31</v>
      </c>
      <c r="D28" s="2" t="s">
        <v>32</v>
      </c>
      <c r="E28" s="2" t="s">
        <v>21</v>
      </c>
      <c r="F28" s="5">
        <v>105386.0</v>
      </c>
      <c r="G28" s="5">
        <v>3783.0</v>
      </c>
      <c r="H28" s="5">
        <v>0.0359</v>
      </c>
      <c r="I28" s="5">
        <v>1.82</v>
      </c>
      <c r="J28" s="5">
        <v>6885.06</v>
      </c>
      <c r="K28" s="5">
        <v>130.0</v>
      </c>
      <c r="L28" s="5">
        <v>52.96</v>
      </c>
      <c r="M28" s="5">
        <v>36776.35</v>
      </c>
      <c r="N28" s="5">
        <v>5.34</v>
      </c>
      <c r="O28" s="6">
        <f t="shared" si="1"/>
        <v>52.962</v>
      </c>
      <c r="P28" s="6" t="str">
        <f t="shared" si="2"/>
        <v>Post-Shift</v>
      </c>
      <c r="Q28" s="3">
        <f t="shared" si="3"/>
        <v>35</v>
      </c>
    </row>
    <row r="29">
      <c r="A29" s="4">
        <v>45421.0</v>
      </c>
      <c r="B29" s="2" t="s">
        <v>18</v>
      </c>
      <c r="C29" s="2" t="s">
        <v>19</v>
      </c>
      <c r="D29" s="2" t="s">
        <v>29</v>
      </c>
      <c r="E29" s="2" t="s">
        <v>21</v>
      </c>
      <c r="F29" s="5">
        <v>49425.0</v>
      </c>
      <c r="G29" s="5">
        <v>1996.0</v>
      </c>
      <c r="H29" s="5">
        <v>0.0404</v>
      </c>
      <c r="I29" s="5">
        <v>1.27</v>
      </c>
      <c r="J29" s="5">
        <v>2534.92</v>
      </c>
      <c r="K29" s="5">
        <v>98.0</v>
      </c>
      <c r="L29" s="5">
        <v>25.87</v>
      </c>
      <c r="M29" s="5">
        <v>9253.27</v>
      </c>
      <c r="N29" s="5">
        <v>3.65</v>
      </c>
      <c r="O29" s="6">
        <f t="shared" si="1"/>
        <v>25.86653061</v>
      </c>
      <c r="P29" s="6" t="str">
        <f t="shared" si="2"/>
        <v>Baseline</v>
      </c>
      <c r="Q29" s="3">
        <f t="shared" si="3"/>
        <v>36</v>
      </c>
    </row>
    <row r="30">
      <c r="A30" s="4" t="s">
        <v>60</v>
      </c>
      <c r="B30" s="2" t="s">
        <v>38</v>
      </c>
      <c r="C30" s="2" t="s">
        <v>27</v>
      </c>
      <c r="D30" s="2" t="s">
        <v>45</v>
      </c>
      <c r="E30" s="2" t="s">
        <v>36</v>
      </c>
      <c r="F30" s="5">
        <v>191141.0</v>
      </c>
      <c r="G30" s="5">
        <v>4453.0</v>
      </c>
      <c r="H30" s="5">
        <v>0.0233</v>
      </c>
      <c r="I30" s="5">
        <v>1.23</v>
      </c>
      <c r="J30" s="5">
        <v>5477.19</v>
      </c>
      <c r="K30" s="5">
        <v>72.0</v>
      </c>
      <c r="L30" s="5">
        <v>76.07</v>
      </c>
      <c r="M30" s="5">
        <v>8367.46</v>
      </c>
      <c r="N30" s="5">
        <v>1.53</v>
      </c>
      <c r="O30" s="6">
        <f t="shared" si="1"/>
        <v>76.07208333</v>
      </c>
      <c r="P30" s="6" t="str">
        <f t="shared" si="2"/>
        <v>Post-Shift</v>
      </c>
      <c r="Q30" s="3">
        <f t="shared" si="3"/>
        <v>52</v>
      </c>
    </row>
    <row r="31">
      <c r="A31" s="4" t="s">
        <v>61</v>
      </c>
      <c r="B31" s="2" t="s">
        <v>23</v>
      </c>
      <c r="C31" s="2" t="s">
        <v>31</v>
      </c>
      <c r="D31" s="2" t="s">
        <v>24</v>
      </c>
      <c r="E31" s="2" t="s">
        <v>36</v>
      </c>
      <c r="F31" s="5">
        <v>91900.0</v>
      </c>
      <c r="G31" s="5">
        <v>4696.0</v>
      </c>
      <c r="H31" s="5">
        <v>0.0511</v>
      </c>
      <c r="I31" s="5">
        <v>0.53</v>
      </c>
      <c r="J31" s="5">
        <v>2488.88</v>
      </c>
      <c r="K31" s="5">
        <v>367.0</v>
      </c>
      <c r="L31" s="5">
        <v>6.78</v>
      </c>
      <c r="M31" s="5">
        <v>109696.8</v>
      </c>
      <c r="N31" s="5">
        <v>44.07</v>
      </c>
      <c r="O31" s="6">
        <f t="shared" si="1"/>
        <v>6.781689373</v>
      </c>
      <c r="P31" s="6" t="str">
        <f t="shared" si="2"/>
        <v>Post-Shift</v>
      </c>
      <c r="Q31" s="3">
        <f t="shared" si="3"/>
        <v>21</v>
      </c>
    </row>
    <row r="32">
      <c r="A32" s="4" t="s">
        <v>62</v>
      </c>
      <c r="B32" s="2" t="s">
        <v>18</v>
      </c>
      <c r="C32" s="2" t="s">
        <v>27</v>
      </c>
      <c r="D32" s="2" t="s">
        <v>29</v>
      </c>
      <c r="E32" s="2" t="s">
        <v>36</v>
      </c>
      <c r="F32" s="5">
        <v>11801.0</v>
      </c>
      <c r="G32" s="5">
        <v>795.0</v>
      </c>
      <c r="H32" s="5">
        <v>0.0674</v>
      </c>
      <c r="I32" s="5">
        <v>2.97</v>
      </c>
      <c r="J32" s="5">
        <v>2361.15</v>
      </c>
      <c r="K32" s="5">
        <v>57.0</v>
      </c>
      <c r="L32" s="5">
        <v>41.42</v>
      </c>
      <c r="M32" s="5">
        <v>3966.25</v>
      </c>
      <c r="N32" s="5">
        <v>1.68</v>
      </c>
      <c r="O32" s="6">
        <f t="shared" si="1"/>
        <v>41.42368421</v>
      </c>
      <c r="P32" s="6" t="str">
        <f t="shared" si="2"/>
        <v>Post-Shift</v>
      </c>
      <c r="Q32" s="3">
        <f t="shared" si="3"/>
        <v>48</v>
      </c>
    </row>
    <row r="33">
      <c r="A33" s="4" t="s">
        <v>63</v>
      </c>
      <c r="B33" s="2" t="s">
        <v>38</v>
      </c>
      <c r="C33" s="2" t="s">
        <v>41</v>
      </c>
      <c r="D33" s="2" t="s">
        <v>20</v>
      </c>
      <c r="E33" s="2" t="s">
        <v>21</v>
      </c>
      <c r="F33" s="5">
        <v>193926.0</v>
      </c>
      <c r="G33" s="5">
        <v>5837.0</v>
      </c>
      <c r="H33" s="5">
        <v>0.0301</v>
      </c>
      <c r="I33" s="5">
        <v>1.0</v>
      </c>
      <c r="J33" s="5">
        <v>5837.0</v>
      </c>
      <c r="K33" s="5">
        <v>193.0</v>
      </c>
      <c r="L33" s="5">
        <v>30.24</v>
      </c>
      <c r="M33" s="5">
        <v>28429.29</v>
      </c>
      <c r="N33" s="5">
        <v>4.87</v>
      </c>
      <c r="O33" s="6">
        <f t="shared" si="1"/>
        <v>30.24352332</v>
      </c>
      <c r="P33" s="6" t="str">
        <f t="shared" si="2"/>
        <v>Post-Shift</v>
      </c>
      <c r="Q33" s="3">
        <f t="shared" si="3"/>
        <v>46</v>
      </c>
    </row>
    <row r="34">
      <c r="A34" s="4" t="s">
        <v>64</v>
      </c>
      <c r="B34" s="2" t="s">
        <v>18</v>
      </c>
      <c r="C34" s="2" t="s">
        <v>41</v>
      </c>
      <c r="D34" s="2" t="s">
        <v>24</v>
      </c>
      <c r="E34" s="2" t="s">
        <v>56</v>
      </c>
      <c r="F34" s="5">
        <v>35355.0</v>
      </c>
      <c r="G34" s="5">
        <v>961.0</v>
      </c>
      <c r="H34" s="5">
        <v>0.0272</v>
      </c>
      <c r="I34" s="5">
        <v>2.22</v>
      </c>
      <c r="J34" s="5">
        <v>2133.42</v>
      </c>
      <c r="K34" s="5">
        <v>68.0</v>
      </c>
      <c r="L34" s="5">
        <v>31.37</v>
      </c>
      <c r="M34" s="5">
        <v>6145.22</v>
      </c>
      <c r="N34" s="5">
        <v>2.88</v>
      </c>
      <c r="O34" s="6">
        <f t="shared" si="1"/>
        <v>31.37382353</v>
      </c>
      <c r="P34" s="6" t="str">
        <f t="shared" si="2"/>
        <v>Post-Shift</v>
      </c>
      <c r="Q34" s="3">
        <f t="shared" si="3"/>
        <v>9</v>
      </c>
    </row>
    <row r="35">
      <c r="A35" s="4">
        <v>45637.0</v>
      </c>
      <c r="B35" s="2" t="s">
        <v>23</v>
      </c>
      <c r="C35" s="2" t="s">
        <v>31</v>
      </c>
      <c r="D35" s="2" t="s">
        <v>29</v>
      </c>
      <c r="E35" s="2" t="s">
        <v>21</v>
      </c>
      <c r="F35" s="5">
        <v>133148.0</v>
      </c>
      <c r="G35" s="5">
        <v>9120.0</v>
      </c>
      <c r="H35" s="5">
        <v>0.0685</v>
      </c>
      <c r="I35" s="5">
        <v>0.5</v>
      </c>
      <c r="J35" s="5">
        <v>4560.0</v>
      </c>
      <c r="K35" s="5">
        <v>279.0</v>
      </c>
      <c r="L35" s="5">
        <v>16.34</v>
      </c>
      <c r="M35" s="5">
        <v>83385.98</v>
      </c>
      <c r="N35" s="5">
        <v>18.29</v>
      </c>
      <c r="O35" s="6">
        <f t="shared" si="1"/>
        <v>16.34408602</v>
      </c>
      <c r="P35" s="6" t="str">
        <f t="shared" si="2"/>
        <v>Post-Shift</v>
      </c>
      <c r="Q35" s="3">
        <f t="shared" si="3"/>
        <v>46</v>
      </c>
    </row>
    <row r="36">
      <c r="A36" s="4">
        <v>45627.0</v>
      </c>
      <c r="B36" s="2" t="s">
        <v>38</v>
      </c>
      <c r="C36" s="2" t="s">
        <v>27</v>
      </c>
      <c r="D36" s="2" t="s">
        <v>45</v>
      </c>
      <c r="E36" s="2" t="s">
        <v>36</v>
      </c>
      <c r="F36" s="5">
        <v>104657.0</v>
      </c>
      <c r="G36" s="5">
        <v>4029.0</v>
      </c>
      <c r="H36" s="5">
        <v>0.0385</v>
      </c>
      <c r="I36" s="5">
        <v>0.71</v>
      </c>
      <c r="J36" s="5">
        <v>2860.59</v>
      </c>
      <c r="K36" s="5">
        <v>204.0</v>
      </c>
      <c r="L36" s="5">
        <v>14.02</v>
      </c>
      <c r="M36" s="5">
        <v>10401.62</v>
      </c>
      <c r="N36" s="5">
        <v>3.64</v>
      </c>
      <c r="O36" s="6">
        <f t="shared" si="1"/>
        <v>14.0225</v>
      </c>
      <c r="P36" s="6" t="str">
        <f t="shared" si="2"/>
        <v>Post-Shift</v>
      </c>
      <c r="Q36" s="3">
        <f t="shared" si="3"/>
        <v>2</v>
      </c>
    </row>
    <row r="37">
      <c r="A37" s="4" t="s">
        <v>65</v>
      </c>
      <c r="B37" s="2" t="s">
        <v>23</v>
      </c>
      <c r="C37" s="2" t="s">
        <v>31</v>
      </c>
      <c r="D37" s="2" t="s">
        <v>20</v>
      </c>
      <c r="E37" s="2" t="s">
        <v>56</v>
      </c>
      <c r="F37" s="5">
        <v>174160.0</v>
      </c>
      <c r="G37" s="5">
        <v>9683.0</v>
      </c>
      <c r="H37" s="5">
        <v>0.0556</v>
      </c>
      <c r="I37" s="5">
        <v>1.84</v>
      </c>
      <c r="J37" s="5">
        <v>17816.72</v>
      </c>
      <c r="K37" s="5">
        <v>512.0</v>
      </c>
      <c r="L37" s="5">
        <v>34.8</v>
      </c>
      <c r="M37" s="5">
        <v>73177.92</v>
      </c>
      <c r="N37" s="5">
        <v>4.11</v>
      </c>
      <c r="O37" s="6">
        <f t="shared" si="1"/>
        <v>34.79828125</v>
      </c>
      <c r="P37" s="6" t="str">
        <f t="shared" si="2"/>
        <v>Post-Shift</v>
      </c>
      <c r="Q37" s="3">
        <f t="shared" si="3"/>
        <v>21</v>
      </c>
    </row>
    <row r="38">
      <c r="A38" s="4">
        <v>45413.0</v>
      </c>
      <c r="B38" s="2" t="s">
        <v>23</v>
      </c>
      <c r="C38" s="2" t="s">
        <v>41</v>
      </c>
      <c r="D38" s="2" t="s">
        <v>20</v>
      </c>
      <c r="E38" s="2" t="s">
        <v>21</v>
      </c>
      <c r="F38" s="5">
        <v>6015.0</v>
      </c>
      <c r="G38" s="5">
        <v>410.0</v>
      </c>
      <c r="H38" s="5">
        <v>0.0683</v>
      </c>
      <c r="I38" s="5">
        <v>1.93</v>
      </c>
      <c r="J38" s="5">
        <v>791.3</v>
      </c>
      <c r="K38" s="5">
        <v>28.0</v>
      </c>
      <c r="L38" s="5">
        <v>28.26</v>
      </c>
      <c r="M38" s="5">
        <v>4383.32</v>
      </c>
      <c r="N38" s="5">
        <v>5.54</v>
      </c>
      <c r="O38" s="6">
        <f t="shared" si="1"/>
        <v>28.26071429</v>
      </c>
      <c r="P38" s="6" t="str">
        <f t="shared" si="2"/>
        <v>Baseline</v>
      </c>
      <c r="Q38" s="3">
        <f t="shared" si="3"/>
        <v>1</v>
      </c>
    </row>
    <row r="39">
      <c r="A39" s="4">
        <v>45444.0</v>
      </c>
      <c r="B39" s="2" t="s">
        <v>38</v>
      </c>
      <c r="C39" s="2" t="s">
        <v>19</v>
      </c>
      <c r="D39" s="2" t="s">
        <v>29</v>
      </c>
      <c r="E39" s="2" t="s">
        <v>58</v>
      </c>
      <c r="F39" s="5">
        <v>17763.0</v>
      </c>
      <c r="G39" s="5">
        <v>726.0</v>
      </c>
      <c r="H39" s="5">
        <v>0.0409</v>
      </c>
      <c r="I39" s="5">
        <v>1.94</v>
      </c>
      <c r="J39" s="5">
        <v>1408.44</v>
      </c>
      <c r="K39" s="5">
        <v>30.0</v>
      </c>
      <c r="L39" s="5">
        <v>46.95</v>
      </c>
      <c r="M39" s="5">
        <v>1946.19</v>
      </c>
      <c r="N39" s="5">
        <v>1.38</v>
      </c>
      <c r="O39" s="6">
        <f t="shared" si="1"/>
        <v>46.948</v>
      </c>
      <c r="P39" s="6" t="str">
        <f t="shared" si="2"/>
        <v>Baseline</v>
      </c>
      <c r="Q39" s="3">
        <f t="shared" si="3"/>
        <v>1</v>
      </c>
    </row>
    <row r="40">
      <c r="A40" s="4" t="s">
        <v>66</v>
      </c>
      <c r="B40" s="2" t="s">
        <v>23</v>
      </c>
      <c r="C40" s="2" t="s">
        <v>19</v>
      </c>
      <c r="D40" s="2" t="s">
        <v>24</v>
      </c>
      <c r="E40" s="2" t="s">
        <v>56</v>
      </c>
      <c r="F40" s="5">
        <v>97193.0</v>
      </c>
      <c r="G40" s="5">
        <v>6230.0</v>
      </c>
      <c r="H40" s="5">
        <v>0.0641</v>
      </c>
      <c r="I40" s="5">
        <v>1.6</v>
      </c>
      <c r="J40" s="5">
        <v>9968.0</v>
      </c>
      <c r="K40" s="5">
        <v>306.0</v>
      </c>
      <c r="L40" s="5">
        <v>32.58</v>
      </c>
      <c r="M40" s="5">
        <v>81609.12</v>
      </c>
      <c r="N40" s="5">
        <v>8.19</v>
      </c>
      <c r="O40" s="6">
        <f t="shared" si="1"/>
        <v>32.5751634</v>
      </c>
      <c r="P40" s="6" t="str">
        <f t="shared" si="2"/>
        <v>Post-Shift</v>
      </c>
      <c r="Q40" s="3">
        <f t="shared" si="3"/>
        <v>42</v>
      </c>
    </row>
    <row r="41">
      <c r="A41" s="4">
        <v>45446.0</v>
      </c>
      <c r="B41" s="2" t="s">
        <v>38</v>
      </c>
      <c r="C41" s="2" t="s">
        <v>31</v>
      </c>
      <c r="D41" s="2" t="s">
        <v>29</v>
      </c>
      <c r="E41" s="2" t="s">
        <v>21</v>
      </c>
      <c r="F41" s="5">
        <v>58682.0</v>
      </c>
      <c r="G41" s="5">
        <v>1748.0</v>
      </c>
      <c r="H41" s="5">
        <v>0.0298</v>
      </c>
      <c r="I41" s="5">
        <v>1.49</v>
      </c>
      <c r="J41" s="5">
        <v>2604.52</v>
      </c>
      <c r="K41" s="5">
        <v>84.0</v>
      </c>
      <c r="L41" s="5">
        <v>31.01</v>
      </c>
      <c r="M41" s="5">
        <v>12746.65</v>
      </c>
      <c r="N41" s="5">
        <v>4.89</v>
      </c>
      <c r="O41" s="6">
        <f t="shared" si="1"/>
        <v>31.00619048</v>
      </c>
      <c r="P41" s="6" t="str">
        <f t="shared" si="2"/>
        <v>Baseline</v>
      </c>
      <c r="Q41" s="3">
        <f t="shared" si="3"/>
        <v>10</v>
      </c>
    </row>
    <row r="42">
      <c r="A42" s="4" t="s">
        <v>67</v>
      </c>
      <c r="B42" s="2" t="s">
        <v>23</v>
      </c>
      <c r="C42" s="2" t="s">
        <v>41</v>
      </c>
      <c r="D42" s="2" t="s">
        <v>32</v>
      </c>
      <c r="E42" s="2" t="s">
        <v>36</v>
      </c>
      <c r="F42" s="5">
        <v>108196.0</v>
      </c>
      <c r="G42" s="5">
        <v>5334.0</v>
      </c>
      <c r="H42" s="5">
        <v>0.0493</v>
      </c>
      <c r="I42" s="5">
        <v>0.99</v>
      </c>
      <c r="J42" s="5">
        <v>5280.66</v>
      </c>
      <c r="K42" s="5">
        <v>289.0</v>
      </c>
      <c r="L42" s="5">
        <v>18.27</v>
      </c>
      <c r="M42" s="5">
        <v>27408.56</v>
      </c>
      <c r="N42" s="5">
        <v>5.19</v>
      </c>
      <c r="O42" s="6">
        <f t="shared" si="1"/>
        <v>18.27217993</v>
      </c>
      <c r="P42" s="6" t="str">
        <f t="shared" si="2"/>
        <v>Post-Shift</v>
      </c>
      <c r="Q42" s="3">
        <f t="shared" si="3"/>
        <v>12</v>
      </c>
    </row>
    <row r="43">
      <c r="A43" s="4">
        <v>45505.0</v>
      </c>
      <c r="B43" s="2" t="s">
        <v>18</v>
      </c>
      <c r="C43" s="2" t="s">
        <v>19</v>
      </c>
      <c r="D43" s="2" t="s">
        <v>20</v>
      </c>
      <c r="E43" s="2" t="s">
        <v>56</v>
      </c>
      <c r="F43" s="5">
        <v>63243.0</v>
      </c>
      <c r="G43" s="5">
        <v>1707.0</v>
      </c>
      <c r="H43" s="5">
        <v>0.027</v>
      </c>
      <c r="I43" s="5">
        <v>2.24</v>
      </c>
      <c r="J43" s="5">
        <v>3823.68</v>
      </c>
      <c r="K43" s="5">
        <v>37.0</v>
      </c>
      <c r="L43" s="5">
        <v>103.34</v>
      </c>
      <c r="M43" s="5">
        <v>3893.12</v>
      </c>
      <c r="N43" s="5">
        <v>1.02</v>
      </c>
      <c r="O43" s="6">
        <f t="shared" si="1"/>
        <v>103.3427027</v>
      </c>
      <c r="P43" s="6" t="str">
        <f t="shared" si="2"/>
        <v>Post-Shift</v>
      </c>
      <c r="Q43" s="3">
        <f t="shared" si="3"/>
        <v>2</v>
      </c>
    </row>
    <row r="44">
      <c r="A44" s="4" t="s">
        <v>53</v>
      </c>
      <c r="B44" s="2" t="s">
        <v>18</v>
      </c>
      <c r="C44" s="2" t="s">
        <v>19</v>
      </c>
      <c r="D44" s="2" t="s">
        <v>45</v>
      </c>
      <c r="E44" s="2" t="s">
        <v>21</v>
      </c>
      <c r="F44" s="5">
        <v>152979.0</v>
      </c>
      <c r="G44" s="5">
        <v>4650.0</v>
      </c>
      <c r="H44" s="5">
        <v>0.0304</v>
      </c>
      <c r="I44" s="5">
        <v>0.79</v>
      </c>
      <c r="J44" s="5">
        <v>3673.5</v>
      </c>
      <c r="K44" s="5">
        <v>330.0</v>
      </c>
      <c r="L44" s="5">
        <v>11.13</v>
      </c>
      <c r="M44" s="5">
        <v>91949.73</v>
      </c>
      <c r="N44" s="5">
        <v>25.03</v>
      </c>
      <c r="O44" s="6">
        <f t="shared" si="1"/>
        <v>11.13181818</v>
      </c>
      <c r="P44" s="6" t="str">
        <f t="shared" si="2"/>
        <v>Post-Shift</v>
      </c>
      <c r="Q44" s="3">
        <f t="shared" si="3"/>
        <v>34</v>
      </c>
    </row>
    <row r="45">
      <c r="A45" s="4">
        <v>45505.0</v>
      </c>
      <c r="B45" s="2" t="s">
        <v>18</v>
      </c>
      <c r="C45" s="2" t="s">
        <v>41</v>
      </c>
      <c r="D45" s="2" t="s">
        <v>24</v>
      </c>
      <c r="E45" s="2" t="s">
        <v>30</v>
      </c>
      <c r="F45" s="5">
        <v>132600.0</v>
      </c>
      <c r="G45" s="5">
        <v>6802.0</v>
      </c>
      <c r="H45" s="5">
        <v>0.0513</v>
      </c>
      <c r="I45" s="5">
        <v>1.53</v>
      </c>
      <c r="J45" s="5">
        <v>10407.06</v>
      </c>
      <c r="K45" s="5">
        <v>97.0</v>
      </c>
      <c r="L45" s="5">
        <v>107.29</v>
      </c>
      <c r="M45" s="5">
        <v>6779.29</v>
      </c>
      <c r="N45" s="5">
        <v>0.65</v>
      </c>
      <c r="O45" s="6">
        <f t="shared" si="1"/>
        <v>107.2892784</v>
      </c>
      <c r="P45" s="6" t="str">
        <f t="shared" si="2"/>
        <v>Post-Shift</v>
      </c>
      <c r="Q45" s="3">
        <f t="shared" si="3"/>
        <v>2</v>
      </c>
    </row>
    <row r="46">
      <c r="A46" s="4" t="s">
        <v>68</v>
      </c>
      <c r="B46" s="2" t="s">
        <v>18</v>
      </c>
      <c r="C46" s="2" t="s">
        <v>27</v>
      </c>
      <c r="D46" s="2" t="s">
        <v>20</v>
      </c>
      <c r="E46" s="2" t="s">
        <v>58</v>
      </c>
      <c r="F46" s="5">
        <v>110977.0</v>
      </c>
      <c r="G46" s="5">
        <v>4150.0</v>
      </c>
      <c r="H46" s="5">
        <v>0.0374</v>
      </c>
      <c r="I46" s="5">
        <v>1.13</v>
      </c>
      <c r="J46" s="5">
        <v>4689.5</v>
      </c>
      <c r="K46" s="5">
        <v>197.0</v>
      </c>
      <c r="L46" s="5">
        <v>23.8</v>
      </c>
      <c r="M46" s="5">
        <v>18314.78</v>
      </c>
      <c r="N46" s="5">
        <v>3.91</v>
      </c>
      <c r="O46" s="6">
        <f t="shared" si="1"/>
        <v>23.80456853</v>
      </c>
      <c r="P46" s="6" t="str">
        <f t="shared" si="2"/>
        <v>Post-Shift</v>
      </c>
      <c r="Q46" s="3">
        <f t="shared" si="3"/>
        <v>40</v>
      </c>
    </row>
    <row r="47">
      <c r="A47" s="4">
        <v>45476.0</v>
      </c>
      <c r="B47" s="2" t="s">
        <v>18</v>
      </c>
      <c r="C47" s="2" t="s">
        <v>19</v>
      </c>
      <c r="D47" s="2" t="s">
        <v>24</v>
      </c>
      <c r="E47" s="2" t="s">
        <v>25</v>
      </c>
      <c r="F47" s="5">
        <v>87152.0</v>
      </c>
      <c r="G47" s="5">
        <v>3599.0</v>
      </c>
      <c r="H47" s="5">
        <v>0.0413</v>
      </c>
      <c r="I47" s="5">
        <v>2.63</v>
      </c>
      <c r="J47" s="5">
        <v>9465.37</v>
      </c>
      <c r="K47" s="5">
        <v>127.0</v>
      </c>
      <c r="L47" s="5">
        <v>74.53</v>
      </c>
      <c r="M47" s="5">
        <v>25958.5</v>
      </c>
      <c r="N47" s="5">
        <v>2.74</v>
      </c>
      <c r="O47" s="6">
        <f t="shared" si="1"/>
        <v>74.53047244</v>
      </c>
      <c r="P47" s="6" t="str">
        <f t="shared" si="2"/>
        <v>Post-Shift</v>
      </c>
      <c r="Q47" s="3">
        <f t="shared" si="3"/>
        <v>10</v>
      </c>
    </row>
    <row r="48">
      <c r="A48" s="4" t="s">
        <v>69</v>
      </c>
      <c r="B48" s="2" t="s">
        <v>38</v>
      </c>
      <c r="C48" s="2" t="s">
        <v>31</v>
      </c>
      <c r="D48" s="2" t="s">
        <v>20</v>
      </c>
      <c r="E48" s="2" t="s">
        <v>21</v>
      </c>
      <c r="F48" s="5">
        <v>164096.0</v>
      </c>
      <c r="G48" s="5">
        <v>1919.0</v>
      </c>
      <c r="H48" s="5">
        <v>0.0117</v>
      </c>
      <c r="I48" s="5">
        <v>0.66</v>
      </c>
      <c r="J48" s="5">
        <v>1266.54</v>
      </c>
      <c r="K48" s="5">
        <v>139.0</v>
      </c>
      <c r="L48" s="5">
        <v>9.11</v>
      </c>
      <c r="M48" s="5">
        <v>7181.17</v>
      </c>
      <c r="N48" s="5">
        <v>5.67</v>
      </c>
      <c r="O48" s="6">
        <f t="shared" si="1"/>
        <v>9.111798561</v>
      </c>
      <c r="P48" s="6" t="str">
        <f t="shared" si="2"/>
        <v>Post-Shift</v>
      </c>
      <c r="Q48" s="3">
        <f t="shared" si="3"/>
        <v>33</v>
      </c>
    </row>
    <row r="49">
      <c r="A49" s="4">
        <v>45573.0</v>
      </c>
      <c r="B49" s="2" t="s">
        <v>38</v>
      </c>
      <c r="C49" s="2" t="s">
        <v>31</v>
      </c>
      <c r="D49" s="2" t="s">
        <v>29</v>
      </c>
      <c r="E49" s="2" t="s">
        <v>33</v>
      </c>
      <c r="F49" s="5">
        <v>21389.0</v>
      </c>
      <c r="G49" s="5">
        <v>941.0</v>
      </c>
      <c r="H49" s="5">
        <v>0.044</v>
      </c>
      <c r="I49" s="5">
        <v>0.8</v>
      </c>
      <c r="J49" s="5">
        <v>752.8</v>
      </c>
      <c r="K49" s="5">
        <v>46.0</v>
      </c>
      <c r="L49" s="5">
        <v>16.37</v>
      </c>
      <c r="M49" s="5">
        <v>8479.43</v>
      </c>
      <c r="N49" s="5">
        <v>11.26</v>
      </c>
      <c r="O49" s="6">
        <f t="shared" si="1"/>
        <v>16.36521739</v>
      </c>
      <c r="P49" s="6" t="str">
        <f t="shared" si="2"/>
        <v>Post-Shift</v>
      </c>
      <c r="Q49" s="3">
        <f t="shared" si="3"/>
        <v>32</v>
      </c>
    </row>
    <row r="50">
      <c r="A50" s="4" t="s">
        <v>70</v>
      </c>
      <c r="B50" s="2" t="s">
        <v>18</v>
      </c>
      <c r="C50" s="2" t="s">
        <v>31</v>
      </c>
      <c r="D50" s="2" t="s">
        <v>29</v>
      </c>
      <c r="E50" s="2" t="s">
        <v>56</v>
      </c>
      <c r="F50" s="5">
        <v>69323.0</v>
      </c>
      <c r="G50" s="5">
        <v>2169.0</v>
      </c>
      <c r="H50" s="5">
        <v>0.0313</v>
      </c>
      <c r="I50" s="5">
        <v>2.19</v>
      </c>
      <c r="J50" s="5">
        <v>4750.11</v>
      </c>
      <c r="K50" s="5">
        <v>94.0</v>
      </c>
      <c r="L50" s="5">
        <v>50.53</v>
      </c>
      <c r="M50" s="5">
        <v>16337.12</v>
      </c>
      <c r="N50" s="5">
        <v>3.44</v>
      </c>
      <c r="O50" s="6">
        <f t="shared" si="1"/>
        <v>50.53308511</v>
      </c>
      <c r="P50" s="6" t="str">
        <f t="shared" si="2"/>
        <v>Post-Shift</v>
      </c>
      <c r="Q50" s="3">
        <f t="shared" si="3"/>
        <v>17</v>
      </c>
    </row>
    <row r="51">
      <c r="A51" s="4" t="s">
        <v>71</v>
      </c>
      <c r="B51" s="2" t="s">
        <v>18</v>
      </c>
      <c r="C51" s="2" t="s">
        <v>41</v>
      </c>
      <c r="D51" s="2" t="s">
        <v>32</v>
      </c>
      <c r="E51" s="2" t="s">
        <v>21</v>
      </c>
      <c r="F51" s="5">
        <v>138291.0</v>
      </c>
      <c r="G51" s="5">
        <v>3318.0</v>
      </c>
      <c r="H51" s="5">
        <v>0.024</v>
      </c>
      <c r="I51" s="5">
        <v>0.83</v>
      </c>
      <c r="J51" s="5">
        <v>2753.94</v>
      </c>
      <c r="K51" s="5">
        <v>217.0</v>
      </c>
      <c r="L51" s="5">
        <v>12.69</v>
      </c>
      <c r="M51" s="5">
        <v>12761.51</v>
      </c>
      <c r="N51" s="5">
        <v>4.63</v>
      </c>
      <c r="O51" s="6">
        <f t="shared" si="1"/>
        <v>12.69096774</v>
      </c>
      <c r="P51" s="6" t="str">
        <f t="shared" si="2"/>
        <v>Post-Shift</v>
      </c>
      <c r="Q51" s="3">
        <f t="shared" si="3"/>
        <v>20</v>
      </c>
    </row>
    <row r="52">
      <c r="A52" s="4" t="s">
        <v>72</v>
      </c>
      <c r="B52" s="2" t="s">
        <v>23</v>
      </c>
      <c r="C52" s="2" t="s">
        <v>31</v>
      </c>
      <c r="D52" s="2" t="s">
        <v>24</v>
      </c>
      <c r="E52" s="2" t="s">
        <v>25</v>
      </c>
      <c r="F52" s="5">
        <v>72444.0</v>
      </c>
      <c r="G52" s="5">
        <v>2339.0</v>
      </c>
      <c r="H52" s="5">
        <v>0.0323</v>
      </c>
      <c r="I52" s="5">
        <v>1.39</v>
      </c>
      <c r="J52" s="5">
        <v>3251.21</v>
      </c>
      <c r="K52" s="5">
        <v>153.0</v>
      </c>
      <c r="L52" s="5">
        <v>21.25</v>
      </c>
      <c r="M52" s="5">
        <v>12919.22</v>
      </c>
      <c r="N52" s="5">
        <v>3.97</v>
      </c>
      <c r="O52" s="6">
        <f t="shared" si="1"/>
        <v>21.24973856</v>
      </c>
      <c r="P52" s="6" t="str">
        <f t="shared" si="2"/>
        <v>Post-Shift</v>
      </c>
      <c r="Q52" s="3">
        <f t="shared" si="3"/>
        <v>48</v>
      </c>
    </row>
    <row r="53">
      <c r="A53" s="4">
        <v>45394.0</v>
      </c>
      <c r="B53" s="2" t="s">
        <v>18</v>
      </c>
      <c r="C53" s="2" t="s">
        <v>19</v>
      </c>
      <c r="D53" s="2" t="s">
        <v>29</v>
      </c>
      <c r="E53" s="2" t="s">
        <v>21</v>
      </c>
      <c r="F53" s="5">
        <v>160002.0</v>
      </c>
      <c r="G53" s="5">
        <v>7520.0</v>
      </c>
      <c r="H53" s="5">
        <v>0.047</v>
      </c>
      <c r="I53" s="5">
        <v>2.96</v>
      </c>
      <c r="J53" s="5">
        <v>22259.2</v>
      </c>
      <c r="K53" s="5">
        <v>403.0</v>
      </c>
      <c r="L53" s="5">
        <v>55.23</v>
      </c>
      <c r="M53" s="5">
        <v>70823.58</v>
      </c>
      <c r="N53" s="5">
        <v>3.18</v>
      </c>
      <c r="O53" s="6">
        <f t="shared" si="1"/>
        <v>55.2337469</v>
      </c>
      <c r="P53" s="6" t="str">
        <f t="shared" si="2"/>
        <v>Baseline</v>
      </c>
      <c r="Q53" s="3">
        <f t="shared" si="3"/>
        <v>49</v>
      </c>
    </row>
    <row r="54">
      <c r="A54" s="4">
        <v>45634.0</v>
      </c>
      <c r="B54" s="2" t="s">
        <v>38</v>
      </c>
      <c r="C54" s="2" t="s">
        <v>19</v>
      </c>
      <c r="D54" s="2" t="s">
        <v>45</v>
      </c>
      <c r="E54" s="2" t="s">
        <v>30</v>
      </c>
      <c r="F54" s="5">
        <v>16246.0</v>
      </c>
      <c r="G54" s="5">
        <v>448.0</v>
      </c>
      <c r="H54" s="5">
        <v>0.0276</v>
      </c>
      <c r="I54" s="5">
        <v>1.99</v>
      </c>
      <c r="J54" s="5">
        <v>891.52</v>
      </c>
      <c r="K54" s="5">
        <v>8.0</v>
      </c>
      <c r="L54" s="5">
        <v>111.44</v>
      </c>
      <c r="M54" s="5">
        <v>1955.09</v>
      </c>
      <c r="N54" s="5">
        <v>2.19</v>
      </c>
      <c r="O54" s="6">
        <f t="shared" si="1"/>
        <v>111.44</v>
      </c>
      <c r="P54" s="6" t="str">
        <f t="shared" si="2"/>
        <v>Post-Shift</v>
      </c>
      <c r="Q54" s="3">
        <f t="shared" si="3"/>
        <v>33</v>
      </c>
    </row>
    <row r="55">
      <c r="A55" s="4">
        <v>45418.0</v>
      </c>
      <c r="B55" s="2" t="s">
        <v>38</v>
      </c>
      <c r="C55" s="2" t="s">
        <v>31</v>
      </c>
      <c r="D55" s="2" t="s">
        <v>20</v>
      </c>
      <c r="E55" s="2" t="s">
        <v>33</v>
      </c>
      <c r="F55" s="5">
        <v>15789.0</v>
      </c>
      <c r="G55" s="5">
        <v>423.0</v>
      </c>
      <c r="H55" s="5">
        <v>0.0268</v>
      </c>
      <c r="I55" s="5">
        <v>1.81</v>
      </c>
      <c r="J55" s="5">
        <v>765.63</v>
      </c>
      <c r="K55" s="5">
        <v>7.0</v>
      </c>
      <c r="L55" s="5">
        <v>109.38</v>
      </c>
      <c r="M55" s="5">
        <v>1223.95</v>
      </c>
      <c r="N55" s="5">
        <v>1.6</v>
      </c>
      <c r="O55" s="6">
        <f t="shared" si="1"/>
        <v>109.3757143</v>
      </c>
      <c r="P55" s="6" t="str">
        <f t="shared" si="2"/>
        <v>Baseline</v>
      </c>
      <c r="Q55" s="3">
        <f t="shared" si="3"/>
        <v>23</v>
      </c>
    </row>
    <row r="56">
      <c r="A56" s="4">
        <v>45418.0</v>
      </c>
      <c r="B56" s="2" t="s">
        <v>18</v>
      </c>
      <c r="C56" s="2" t="s">
        <v>19</v>
      </c>
      <c r="D56" s="2" t="s">
        <v>24</v>
      </c>
      <c r="E56" s="2" t="s">
        <v>58</v>
      </c>
      <c r="F56" s="5">
        <v>25103.0</v>
      </c>
      <c r="G56" s="5">
        <v>710.0</v>
      </c>
      <c r="H56" s="5">
        <v>0.0283</v>
      </c>
      <c r="I56" s="5">
        <v>2.34</v>
      </c>
      <c r="J56" s="5">
        <v>1661.4</v>
      </c>
      <c r="K56" s="5">
        <v>24.0</v>
      </c>
      <c r="L56" s="5">
        <v>69.23</v>
      </c>
      <c r="M56" s="5">
        <v>1896.75</v>
      </c>
      <c r="N56" s="5">
        <v>1.14</v>
      </c>
      <c r="O56" s="6">
        <f t="shared" si="1"/>
        <v>69.225</v>
      </c>
      <c r="P56" s="6" t="str">
        <f t="shared" si="2"/>
        <v>Baseline</v>
      </c>
      <c r="Q56" s="3">
        <f t="shared" si="3"/>
        <v>23</v>
      </c>
    </row>
    <row r="57">
      <c r="A57" s="4" t="s">
        <v>73</v>
      </c>
      <c r="B57" s="2" t="s">
        <v>23</v>
      </c>
      <c r="C57" s="2" t="s">
        <v>41</v>
      </c>
      <c r="D57" s="2" t="s">
        <v>32</v>
      </c>
      <c r="E57" s="2" t="s">
        <v>56</v>
      </c>
      <c r="F57" s="5">
        <v>138515.0</v>
      </c>
      <c r="G57" s="5">
        <v>4377.0</v>
      </c>
      <c r="H57" s="5">
        <v>0.0316</v>
      </c>
      <c r="I57" s="5">
        <v>0.51</v>
      </c>
      <c r="J57" s="5">
        <v>2232.27</v>
      </c>
      <c r="K57" s="5">
        <v>285.0</v>
      </c>
      <c r="L57" s="5">
        <v>7.83</v>
      </c>
      <c r="M57" s="5">
        <v>10321.59</v>
      </c>
      <c r="N57" s="5">
        <v>4.62</v>
      </c>
      <c r="O57" s="6">
        <f t="shared" si="1"/>
        <v>7.832526316</v>
      </c>
      <c r="P57" s="6" t="str">
        <f t="shared" si="2"/>
        <v>Post-Shift</v>
      </c>
      <c r="Q57" s="3">
        <f t="shared" si="3"/>
        <v>52</v>
      </c>
    </row>
    <row r="58">
      <c r="A58" s="4" t="s">
        <v>74</v>
      </c>
      <c r="B58" s="2" t="s">
        <v>38</v>
      </c>
      <c r="C58" s="2" t="s">
        <v>19</v>
      </c>
      <c r="D58" s="2" t="s">
        <v>24</v>
      </c>
      <c r="E58" s="2" t="s">
        <v>58</v>
      </c>
      <c r="F58" s="5">
        <v>180399.0</v>
      </c>
      <c r="G58" s="5">
        <v>6025.0</v>
      </c>
      <c r="H58" s="5">
        <v>0.0334</v>
      </c>
      <c r="I58" s="5">
        <v>0.7</v>
      </c>
      <c r="J58" s="5">
        <v>4217.5</v>
      </c>
      <c r="K58" s="5">
        <v>191.0</v>
      </c>
      <c r="L58" s="5">
        <v>22.08</v>
      </c>
      <c r="M58" s="5">
        <v>17456.79</v>
      </c>
      <c r="N58" s="5">
        <v>4.14</v>
      </c>
      <c r="O58" s="6">
        <f t="shared" si="1"/>
        <v>22.08115183</v>
      </c>
      <c r="P58" s="6" t="str">
        <f t="shared" si="2"/>
        <v>Post-Shift</v>
      </c>
      <c r="Q58" s="3">
        <f t="shared" si="3"/>
        <v>8</v>
      </c>
    </row>
    <row r="59">
      <c r="A59" s="4" t="s">
        <v>75</v>
      </c>
      <c r="B59" s="2" t="s">
        <v>38</v>
      </c>
      <c r="C59" s="2" t="s">
        <v>27</v>
      </c>
      <c r="D59" s="2" t="s">
        <v>45</v>
      </c>
      <c r="E59" s="2" t="s">
        <v>21</v>
      </c>
      <c r="F59" s="5">
        <v>62545.0</v>
      </c>
      <c r="G59" s="5">
        <v>606.0</v>
      </c>
      <c r="H59" s="5">
        <v>0.0097</v>
      </c>
      <c r="I59" s="5">
        <v>1.96</v>
      </c>
      <c r="J59" s="5">
        <v>1187.76</v>
      </c>
      <c r="K59" s="5">
        <v>37.0</v>
      </c>
      <c r="L59" s="5">
        <v>32.1</v>
      </c>
      <c r="M59" s="5">
        <v>5627.66</v>
      </c>
      <c r="N59" s="5">
        <v>4.74</v>
      </c>
      <c r="O59" s="6">
        <f t="shared" si="1"/>
        <v>32.10162162</v>
      </c>
      <c r="P59" s="6" t="str">
        <f t="shared" si="2"/>
        <v>Post-Shift</v>
      </c>
      <c r="Q59" s="3">
        <f t="shared" si="3"/>
        <v>20</v>
      </c>
    </row>
    <row r="60">
      <c r="A60" s="4" t="s">
        <v>76</v>
      </c>
      <c r="B60" s="2" t="s">
        <v>18</v>
      </c>
      <c r="C60" s="2" t="s">
        <v>31</v>
      </c>
      <c r="D60" s="2" t="s">
        <v>20</v>
      </c>
      <c r="E60" s="2" t="s">
        <v>36</v>
      </c>
      <c r="F60" s="5">
        <v>72526.0</v>
      </c>
      <c r="G60" s="5">
        <v>2146.0</v>
      </c>
      <c r="H60" s="5">
        <v>0.0296</v>
      </c>
      <c r="I60" s="5">
        <v>1.56</v>
      </c>
      <c r="J60" s="5">
        <v>3347.76</v>
      </c>
      <c r="K60" s="5">
        <v>168.0</v>
      </c>
      <c r="L60" s="5">
        <v>19.93</v>
      </c>
      <c r="M60" s="5">
        <v>25859.74</v>
      </c>
      <c r="N60" s="5">
        <v>7.72</v>
      </c>
      <c r="O60" s="6">
        <f t="shared" si="1"/>
        <v>19.92714286</v>
      </c>
      <c r="P60" s="6" t="str">
        <f t="shared" si="2"/>
        <v>Post-Shift</v>
      </c>
      <c r="Q60" s="3">
        <f t="shared" si="3"/>
        <v>27</v>
      </c>
    </row>
    <row r="61">
      <c r="A61" s="4">
        <v>45480.0</v>
      </c>
      <c r="B61" s="2" t="s">
        <v>38</v>
      </c>
      <c r="C61" s="2" t="s">
        <v>41</v>
      </c>
      <c r="D61" s="2" t="s">
        <v>24</v>
      </c>
      <c r="E61" s="2" t="s">
        <v>58</v>
      </c>
      <c r="F61" s="5">
        <v>67823.0</v>
      </c>
      <c r="G61" s="5">
        <v>2075.0</v>
      </c>
      <c r="H61" s="5">
        <v>0.0306</v>
      </c>
      <c r="I61" s="5">
        <v>1.83</v>
      </c>
      <c r="J61" s="5">
        <v>3797.25</v>
      </c>
      <c r="K61" s="5">
        <v>26.0</v>
      </c>
      <c r="L61" s="5">
        <v>146.05</v>
      </c>
      <c r="M61" s="5">
        <v>4093.91</v>
      </c>
      <c r="N61" s="5">
        <v>1.08</v>
      </c>
      <c r="O61" s="6">
        <f t="shared" si="1"/>
        <v>146.0480769</v>
      </c>
      <c r="P61" s="6" t="str">
        <f t="shared" si="2"/>
        <v>Post-Shift</v>
      </c>
      <c r="Q61" s="3">
        <f t="shared" si="3"/>
        <v>28</v>
      </c>
    </row>
    <row r="62">
      <c r="A62" s="4" t="s">
        <v>77</v>
      </c>
      <c r="B62" s="2" t="s">
        <v>38</v>
      </c>
      <c r="C62" s="2" t="s">
        <v>41</v>
      </c>
      <c r="D62" s="2" t="s">
        <v>45</v>
      </c>
      <c r="E62" s="2" t="s">
        <v>56</v>
      </c>
      <c r="F62" s="5">
        <v>164937.0</v>
      </c>
      <c r="G62" s="5">
        <v>4453.0</v>
      </c>
      <c r="H62" s="5">
        <v>0.027</v>
      </c>
      <c r="I62" s="5">
        <v>1.08</v>
      </c>
      <c r="J62" s="5">
        <v>4809.24</v>
      </c>
      <c r="K62" s="5">
        <v>129.0</v>
      </c>
      <c r="L62" s="5">
        <v>37.28</v>
      </c>
      <c r="M62" s="5">
        <v>35127.5</v>
      </c>
      <c r="N62" s="5">
        <v>7.3</v>
      </c>
      <c r="O62" s="6">
        <f t="shared" si="1"/>
        <v>37.28093023</v>
      </c>
      <c r="P62" s="6" t="str">
        <f t="shared" si="2"/>
        <v>Post-Shift</v>
      </c>
      <c r="Q62" s="3">
        <f t="shared" si="3"/>
        <v>26</v>
      </c>
    </row>
    <row r="63">
      <c r="A63" s="4" t="s">
        <v>57</v>
      </c>
      <c r="B63" s="2" t="s">
        <v>38</v>
      </c>
      <c r="C63" s="2" t="s">
        <v>19</v>
      </c>
      <c r="D63" s="2" t="s">
        <v>24</v>
      </c>
      <c r="E63" s="2" t="s">
        <v>25</v>
      </c>
      <c r="F63" s="5">
        <v>114575.0</v>
      </c>
      <c r="G63" s="5">
        <v>2039.0</v>
      </c>
      <c r="H63" s="5">
        <v>0.0178</v>
      </c>
      <c r="I63" s="5">
        <v>0.53</v>
      </c>
      <c r="J63" s="5">
        <v>1080.67</v>
      </c>
      <c r="K63" s="5">
        <v>113.0</v>
      </c>
      <c r="L63" s="5">
        <v>9.56</v>
      </c>
      <c r="M63" s="5">
        <v>10656.96</v>
      </c>
      <c r="N63" s="5">
        <v>9.86</v>
      </c>
      <c r="O63" s="6">
        <f t="shared" si="1"/>
        <v>9.563451327</v>
      </c>
      <c r="P63" s="6" t="str">
        <f t="shared" si="2"/>
        <v>Post-Shift</v>
      </c>
      <c r="Q63" s="3">
        <f t="shared" si="3"/>
        <v>50</v>
      </c>
    </row>
    <row r="64">
      <c r="A64" s="4" t="s">
        <v>78</v>
      </c>
      <c r="B64" s="2" t="s">
        <v>18</v>
      </c>
      <c r="C64" s="2" t="s">
        <v>31</v>
      </c>
      <c r="D64" s="2" t="s">
        <v>20</v>
      </c>
      <c r="E64" s="2" t="s">
        <v>33</v>
      </c>
      <c r="F64" s="5">
        <v>132157.0</v>
      </c>
      <c r="G64" s="5">
        <v>2999.0</v>
      </c>
      <c r="H64" s="5">
        <v>0.0227</v>
      </c>
      <c r="I64" s="5">
        <v>0.93</v>
      </c>
      <c r="J64" s="5">
        <v>2789.07</v>
      </c>
      <c r="K64" s="5">
        <v>152.0</v>
      </c>
      <c r="L64" s="5">
        <v>18.35</v>
      </c>
      <c r="M64" s="5">
        <v>21855.26</v>
      </c>
      <c r="N64" s="5">
        <v>7.84</v>
      </c>
      <c r="O64" s="6">
        <f t="shared" si="1"/>
        <v>18.34914474</v>
      </c>
      <c r="P64" s="6" t="str">
        <f t="shared" si="2"/>
        <v>Post-Shift</v>
      </c>
      <c r="Q64" s="3">
        <f t="shared" si="3"/>
        <v>24</v>
      </c>
    </row>
    <row r="65">
      <c r="A65" s="4">
        <v>45597.0</v>
      </c>
      <c r="B65" s="2" t="s">
        <v>23</v>
      </c>
      <c r="C65" s="2" t="s">
        <v>27</v>
      </c>
      <c r="D65" s="2" t="s">
        <v>29</v>
      </c>
      <c r="E65" s="2" t="s">
        <v>33</v>
      </c>
      <c r="F65" s="5">
        <v>108145.0</v>
      </c>
      <c r="G65" s="5">
        <v>3882.0</v>
      </c>
      <c r="H65" s="5">
        <v>0.0359</v>
      </c>
      <c r="I65" s="5">
        <v>0.94</v>
      </c>
      <c r="J65" s="5">
        <v>3649.08</v>
      </c>
      <c r="K65" s="5">
        <v>98.0</v>
      </c>
      <c r="L65" s="5">
        <v>37.24</v>
      </c>
      <c r="M65" s="5">
        <v>28726.52</v>
      </c>
      <c r="N65" s="5">
        <v>7.87</v>
      </c>
      <c r="O65" s="6">
        <f t="shared" si="1"/>
        <v>37.2355102</v>
      </c>
      <c r="P65" s="6" t="str">
        <f t="shared" si="2"/>
        <v>Post-Shift</v>
      </c>
      <c r="Q65" s="3">
        <f t="shared" si="3"/>
        <v>2</v>
      </c>
    </row>
    <row r="66">
      <c r="A66" s="4" t="s">
        <v>79</v>
      </c>
      <c r="B66" s="2" t="s">
        <v>23</v>
      </c>
      <c r="C66" s="2" t="s">
        <v>19</v>
      </c>
      <c r="D66" s="2" t="s">
        <v>32</v>
      </c>
      <c r="E66" s="2" t="s">
        <v>56</v>
      </c>
      <c r="F66" s="5">
        <v>72642.0</v>
      </c>
      <c r="G66" s="5">
        <v>3014.0</v>
      </c>
      <c r="H66" s="5">
        <v>0.0415</v>
      </c>
      <c r="I66" s="5">
        <v>1.16</v>
      </c>
      <c r="J66" s="5">
        <v>3496.24</v>
      </c>
      <c r="K66" s="5">
        <v>59.0</v>
      </c>
      <c r="L66" s="5">
        <v>59.26</v>
      </c>
      <c r="M66" s="5">
        <v>15070.44</v>
      </c>
      <c r="N66" s="5">
        <v>4.31</v>
      </c>
      <c r="O66" s="6">
        <f t="shared" si="1"/>
        <v>59.25830508</v>
      </c>
      <c r="P66" s="6" t="str">
        <f t="shared" si="2"/>
        <v>Post-Shift</v>
      </c>
      <c r="Q66" s="3">
        <f t="shared" si="3"/>
        <v>18</v>
      </c>
    </row>
    <row r="67">
      <c r="A67" s="4">
        <v>45477.0</v>
      </c>
      <c r="B67" s="2" t="s">
        <v>23</v>
      </c>
      <c r="C67" s="2" t="s">
        <v>41</v>
      </c>
      <c r="D67" s="2" t="s">
        <v>29</v>
      </c>
      <c r="E67" s="2" t="s">
        <v>21</v>
      </c>
      <c r="F67" s="5">
        <v>131678.0</v>
      </c>
      <c r="G67" s="5">
        <v>8374.0</v>
      </c>
      <c r="H67" s="5">
        <v>0.0636</v>
      </c>
      <c r="I67" s="5">
        <v>0.91</v>
      </c>
      <c r="J67" s="5">
        <v>7620.34</v>
      </c>
      <c r="K67" s="5">
        <v>505.0</v>
      </c>
      <c r="L67" s="5">
        <v>15.09</v>
      </c>
      <c r="M67" s="5">
        <v>29682.01</v>
      </c>
      <c r="N67" s="5">
        <v>3.9</v>
      </c>
      <c r="O67" s="6">
        <f t="shared" si="1"/>
        <v>15.08978218</v>
      </c>
      <c r="P67" s="6" t="str">
        <f t="shared" si="2"/>
        <v>Post-Shift</v>
      </c>
      <c r="Q67" s="3">
        <f t="shared" si="3"/>
        <v>15</v>
      </c>
    </row>
    <row r="68">
      <c r="A68" s="4" t="s">
        <v>80</v>
      </c>
      <c r="B68" s="2" t="s">
        <v>18</v>
      </c>
      <c r="C68" s="2" t="s">
        <v>27</v>
      </c>
      <c r="D68" s="2" t="s">
        <v>45</v>
      </c>
      <c r="E68" s="2" t="s">
        <v>58</v>
      </c>
      <c r="F68" s="5">
        <v>34402.0</v>
      </c>
      <c r="G68" s="5">
        <v>1314.0</v>
      </c>
      <c r="H68" s="5">
        <v>0.0382</v>
      </c>
      <c r="I68" s="5">
        <v>3.29</v>
      </c>
      <c r="J68" s="5">
        <v>4323.06</v>
      </c>
      <c r="K68" s="5">
        <v>17.0</v>
      </c>
      <c r="L68" s="5">
        <v>254.3</v>
      </c>
      <c r="M68" s="5">
        <v>1273.24</v>
      </c>
      <c r="N68" s="5">
        <v>0.29</v>
      </c>
      <c r="O68" s="6">
        <f t="shared" si="1"/>
        <v>254.2976471</v>
      </c>
      <c r="P68" s="6" t="str">
        <f t="shared" si="2"/>
        <v>Post-Shift</v>
      </c>
      <c r="Q68" s="3">
        <f t="shared" si="3"/>
        <v>20</v>
      </c>
    </row>
    <row r="69">
      <c r="A69" s="4">
        <v>45514.0</v>
      </c>
      <c r="B69" s="2" t="s">
        <v>38</v>
      </c>
      <c r="C69" s="2" t="s">
        <v>27</v>
      </c>
      <c r="D69" s="2" t="s">
        <v>29</v>
      </c>
      <c r="E69" s="2" t="s">
        <v>33</v>
      </c>
      <c r="F69" s="5">
        <v>58276.0</v>
      </c>
      <c r="G69" s="5">
        <v>1183.0</v>
      </c>
      <c r="H69" s="5">
        <v>0.0203</v>
      </c>
      <c r="I69" s="5">
        <v>1.49</v>
      </c>
      <c r="J69" s="5">
        <v>1762.67</v>
      </c>
      <c r="K69" s="5">
        <v>89.0</v>
      </c>
      <c r="L69" s="5">
        <v>19.81</v>
      </c>
      <c r="M69" s="5">
        <v>20273.71</v>
      </c>
      <c r="N69" s="5">
        <v>11.5</v>
      </c>
      <c r="O69" s="6">
        <f t="shared" si="1"/>
        <v>19.8052809</v>
      </c>
      <c r="P69" s="6" t="str">
        <f t="shared" si="2"/>
        <v>Post-Shift</v>
      </c>
      <c r="Q69" s="3">
        <f t="shared" si="3"/>
        <v>41</v>
      </c>
    </row>
    <row r="70">
      <c r="A70" s="4" t="s">
        <v>37</v>
      </c>
      <c r="B70" s="2" t="s">
        <v>18</v>
      </c>
      <c r="C70" s="2" t="s">
        <v>31</v>
      </c>
      <c r="D70" s="2" t="s">
        <v>24</v>
      </c>
      <c r="E70" s="2" t="s">
        <v>36</v>
      </c>
      <c r="F70" s="5">
        <v>168059.0</v>
      </c>
      <c r="G70" s="5">
        <v>3462.0</v>
      </c>
      <c r="H70" s="5">
        <v>0.0206</v>
      </c>
      <c r="I70" s="5">
        <v>3.08</v>
      </c>
      <c r="J70" s="5">
        <v>10662.96</v>
      </c>
      <c r="K70" s="5">
        <v>154.0</v>
      </c>
      <c r="L70" s="5">
        <v>69.24</v>
      </c>
      <c r="M70" s="5">
        <v>33243.77</v>
      </c>
      <c r="N70" s="5">
        <v>3.12</v>
      </c>
      <c r="O70" s="6">
        <f t="shared" si="1"/>
        <v>69.24</v>
      </c>
      <c r="P70" s="6" t="str">
        <f t="shared" si="2"/>
        <v>Post-Shift</v>
      </c>
      <c r="Q70" s="3">
        <f t="shared" si="3"/>
        <v>33</v>
      </c>
    </row>
    <row r="71">
      <c r="A71" s="4" t="s">
        <v>69</v>
      </c>
      <c r="B71" s="2" t="s">
        <v>38</v>
      </c>
      <c r="C71" s="2" t="s">
        <v>27</v>
      </c>
      <c r="D71" s="2" t="s">
        <v>20</v>
      </c>
      <c r="E71" s="2" t="s">
        <v>36</v>
      </c>
      <c r="F71" s="5">
        <v>91123.0</v>
      </c>
      <c r="G71" s="5">
        <v>1567.0</v>
      </c>
      <c r="H71" s="5">
        <v>0.0172</v>
      </c>
      <c r="I71" s="5">
        <v>2.33</v>
      </c>
      <c r="J71" s="5">
        <v>3651.11</v>
      </c>
      <c r="K71" s="5">
        <v>64.0</v>
      </c>
      <c r="L71" s="5">
        <v>57.05</v>
      </c>
      <c r="M71" s="5">
        <v>5119.1</v>
      </c>
      <c r="N71" s="5">
        <v>1.4</v>
      </c>
      <c r="O71" s="6">
        <f t="shared" si="1"/>
        <v>57.04859375</v>
      </c>
      <c r="P71" s="6" t="str">
        <f t="shared" si="2"/>
        <v>Post-Shift</v>
      </c>
      <c r="Q71" s="3">
        <f t="shared" si="3"/>
        <v>33</v>
      </c>
    </row>
    <row r="72">
      <c r="A72" s="4" t="s">
        <v>81</v>
      </c>
      <c r="B72" s="2" t="s">
        <v>38</v>
      </c>
      <c r="C72" s="2" t="s">
        <v>31</v>
      </c>
      <c r="D72" s="2" t="s">
        <v>20</v>
      </c>
      <c r="E72" s="2" t="s">
        <v>58</v>
      </c>
      <c r="F72" s="5">
        <v>16344.0</v>
      </c>
      <c r="G72" s="5">
        <v>452.0</v>
      </c>
      <c r="H72" s="5">
        <v>0.0277</v>
      </c>
      <c r="I72" s="5">
        <v>0.9</v>
      </c>
      <c r="J72" s="5">
        <v>406.8</v>
      </c>
      <c r="K72" s="5">
        <v>5.0</v>
      </c>
      <c r="L72" s="5">
        <v>81.36</v>
      </c>
      <c r="M72" s="5">
        <v>1102.53</v>
      </c>
      <c r="N72" s="5">
        <v>2.71</v>
      </c>
      <c r="O72" s="6">
        <f t="shared" si="1"/>
        <v>81.36</v>
      </c>
      <c r="P72" s="6" t="str">
        <f t="shared" si="2"/>
        <v>Post-Shift</v>
      </c>
      <c r="Q72" s="3">
        <f t="shared" si="3"/>
        <v>22</v>
      </c>
    </row>
    <row r="73">
      <c r="A73" s="4" t="s">
        <v>82</v>
      </c>
      <c r="B73" s="2" t="s">
        <v>23</v>
      </c>
      <c r="C73" s="2" t="s">
        <v>27</v>
      </c>
      <c r="D73" s="2" t="s">
        <v>32</v>
      </c>
      <c r="E73" s="2" t="s">
        <v>21</v>
      </c>
      <c r="F73" s="5">
        <v>99457.0</v>
      </c>
      <c r="G73" s="5">
        <v>5808.0</v>
      </c>
      <c r="H73" s="5">
        <v>0.0584</v>
      </c>
      <c r="I73" s="5">
        <v>1.6</v>
      </c>
      <c r="J73" s="5">
        <v>9292.8</v>
      </c>
      <c r="K73" s="5">
        <v>80.0</v>
      </c>
      <c r="L73" s="5">
        <v>116.16</v>
      </c>
      <c r="M73" s="5">
        <v>12231.1</v>
      </c>
      <c r="N73" s="5">
        <v>1.32</v>
      </c>
      <c r="O73" s="6">
        <f t="shared" si="1"/>
        <v>116.16</v>
      </c>
      <c r="P73" s="6" t="str">
        <f t="shared" si="2"/>
        <v>Post-Shift</v>
      </c>
      <c r="Q73" s="3">
        <f t="shared" si="3"/>
        <v>13</v>
      </c>
    </row>
    <row r="74">
      <c r="A74" s="4">
        <v>45479.0</v>
      </c>
      <c r="B74" s="2" t="s">
        <v>38</v>
      </c>
      <c r="C74" s="2" t="s">
        <v>27</v>
      </c>
      <c r="D74" s="2" t="s">
        <v>45</v>
      </c>
      <c r="E74" s="2" t="s">
        <v>56</v>
      </c>
      <c r="F74" s="5">
        <v>57375.0</v>
      </c>
      <c r="G74" s="5">
        <v>843.0</v>
      </c>
      <c r="H74" s="5">
        <v>0.0147</v>
      </c>
      <c r="I74" s="5">
        <v>1.61</v>
      </c>
      <c r="J74" s="5">
        <v>1357.23</v>
      </c>
      <c r="K74" s="5">
        <v>40.0</v>
      </c>
      <c r="L74" s="5">
        <v>33.93</v>
      </c>
      <c r="M74" s="5">
        <v>9739.81</v>
      </c>
      <c r="N74" s="5">
        <v>7.18</v>
      </c>
      <c r="O74" s="6">
        <f t="shared" si="1"/>
        <v>33.93075</v>
      </c>
      <c r="P74" s="6" t="str">
        <f t="shared" si="2"/>
        <v>Post-Shift</v>
      </c>
      <c r="Q74" s="3">
        <f t="shared" si="3"/>
        <v>23</v>
      </c>
    </row>
    <row r="75">
      <c r="A75" s="4" t="s">
        <v>40</v>
      </c>
      <c r="B75" s="2" t="s">
        <v>18</v>
      </c>
      <c r="C75" s="2" t="s">
        <v>41</v>
      </c>
      <c r="D75" s="2" t="s">
        <v>45</v>
      </c>
      <c r="E75" s="2" t="s">
        <v>21</v>
      </c>
      <c r="F75" s="5">
        <v>115017.0</v>
      </c>
      <c r="G75" s="5">
        <v>2771.0</v>
      </c>
      <c r="H75" s="5">
        <v>0.0241</v>
      </c>
      <c r="I75" s="5">
        <v>2.56</v>
      </c>
      <c r="J75" s="5">
        <v>7093.76</v>
      </c>
      <c r="K75" s="5">
        <v>95.0</v>
      </c>
      <c r="L75" s="5">
        <v>74.67</v>
      </c>
      <c r="M75" s="5">
        <v>22528.38</v>
      </c>
      <c r="N75" s="5">
        <v>3.18</v>
      </c>
      <c r="O75" s="6">
        <f t="shared" si="1"/>
        <v>74.67115789</v>
      </c>
      <c r="P75" s="6" t="str">
        <f t="shared" si="2"/>
        <v>Post-Shift</v>
      </c>
      <c r="Q75" s="3">
        <f t="shared" si="3"/>
        <v>16</v>
      </c>
    </row>
    <row r="76">
      <c r="A76" s="4" t="s">
        <v>83</v>
      </c>
      <c r="B76" s="2" t="s">
        <v>38</v>
      </c>
      <c r="C76" s="2" t="s">
        <v>19</v>
      </c>
      <c r="D76" s="2" t="s">
        <v>24</v>
      </c>
      <c r="E76" s="2" t="s">
        <v>30</v>
      </c>
      <c r="F76" s="5">
        <v>90431.0</v>
      </c>
      <c r="G76" s="5">
        <v>1853.0</v>
      </c>
      <c r="H76" s="5">
        <v>0.0205</v>
      </c>
      <c r="I76" s="5">
        <v>1.7</v>
      </c>
      <c r="J76" s="5">
        <v>3150.1</v>
      </c>
      <c r="K76" s="5">
        <v>57.0</v>
      </c>
      <c r="L76" s="5">
        <v>55.26</v>
      </c>
      <c r="M76" s="5">
        <v>14834.93</v>
      </c>
      <c r="N76" s="5">
        <v>4.71</v>
      </c>
      <c r="O76" s="6">
        <f t="shared" si="1"/>
        <v>55.26491228</v>
      </c>
      <c r="P76" s="6" t="str">
        <f t="shared" si="2"/>
        <v>Post-Shift</v>
      </c>
      <c r="Q76" s="3">
        <f t="shared" si="3"/>
        <v>39</v>
      </c>
    </row>
    <row r="77">
      <c r="A77" s="4" t="s">
        <v>87</v>
      </c>
      <c r="B77" s="2" t="s">
        <v>38</v>
      </c>
      <c r="C77" s="2" t="s">
        <v>19</v>
      </c>
      <c r="D77" s="2" t="s">
        <v>45</v>
      </c>
      <c r="E77" s="2" t="s">
        <v>30</v>
      </c>
      <c r="F77" s="5">
        <v>140566.0</v>
      </c>
      <c r="G77" s="5">
        <v>5046.0</v>
      </c>
      <c r="H77" s="5">
        <v>0.0359</v>
      </c>
      <c r="I77" s="5">
        <v>0.62</v>
      </c>
      <c r="J77" s="5">
        <v>3128.52</v>
      </c>
      <c r="K77" s="5">
        <v>384.0</v>
      </c>
      <c r="L77" s="5">
        <v>8.15</v>
      </c>
      <c r="M77" s="5">
        <v>59980.19</v>
      </c>
      <c r="N77" s="5">
        <v>19.17</v>
      </c>
      <c r="O77" s="6">
        <f t="shared" si="1"/>
        <v>8.1471875</v>
      </c>
      <c r="P77" s="6" t="str">
        <f t="shared" si="2"/>
        <v>Post-Shift</v>
      </c>
      <c r="Q77" s="3">
        <f t="shared" si="3"/>
        <v>11</v>
      </c>
    </row>
    <row r="78">
      <c r="A78" s="4" t="s">
        <v>89</v>
      </c>
      <c r="B78" s="2" t="s">
        <v>38</v>
      </c>
      <c r="C78" s="2" t="s">
        <v>19</v>
      </c>
      <c r="D78" s="2" t="s">
        <v>24</v>
      </c>
      <c r="E78" s="2" t="s">
        <v>33</v>
      </c>
      <c r="F78" s="5">
        <v>133583.0</v>
      </c>
      <c r="G78" s="5">
        <v>3954.0</v>
      </c>
      <c r="H78" s="5">
        <v>0.0296</v>
      </c>
      <c r="I78" s="5">
        <v>0.65</v>
      </c>
      <c r="J78" s="5">
        <v>2570.1</v>
      </c>
      <c r="K78" s="5">
        <v>255.0</v>
      </c>
      <c r="L78" s="5">
        <v>10.08</v>
      </c>
      <c r="M78" s="5">
        <v>31756.12</v>
      </c>
      <c r="N78" s="5">
        <v>12.36</v>
      </c>
      <c r="O78" s="6">
        <f t="shared" si="1"/>
        <v>10.07882353</v>
      </c>
      <c r="P78" s="6" t="str">
        <f t="shared" si="2"/>
        <v>Post-Shift</v>
      </c>
      <c r="Q78" s="3">
        <f t="shared" si="3"/>
        <v>9</v>
      </c>
    </row>
    <row r="79">
      <c r="A79" s="4">
        <v>45508.0</v>
      </c>
      <c r="B79" s="2" t="s">
        <v>18</v>
      </c>
      <c r="C79" s="2" t="s">
        <v>27</v>
      </c>
      <c r="D79" s="2" t="s">
        <v>45</v>
      </c>
      <c r="E79" s="2" t="s">
        <v>30</v>
      </c>
      <c r="F79" s="5">
        <v>198555.0</v>
      </c>
      <c r="G79" s="5">
        <v>13104.0</v>
      </c>
      <c r="H79" s="5">
        <v>0.066</v>
      </c>
      <c r="I79" s="5">
        <v>2.46</v>
      </c>
      <c r="J79" s="5">
        <v>32235.84</v>
      </c>
      <c r="K79" s="5">
        <v>336.0</v>
      </c>
      <c r="L79" s="5">
        <v>95.94</v>
      </c>
      <c r="M79" s="5">
        <v>58794.32</v>
      </c>
      <c r="N79" s="5">
        <v>1.82</v>
      </c>
      <c r="O79" s="6">
        <f t="shared" si="1"/>
        <v>95.94</v>
      </c>
      <c r="P79" s="6" t="str">
        <f t="shared" si="2"/>
        <v>Post-Shift</v>
      </c>
      <c r="Q79" s="3">
        <f t="shared" si="3"/>
        <v>15</v>
      </c>
    </row>
    <row r="80">
      <c r="A80" s="4" t="s">
        <v>90</v>
      </c>
      <c r="B80" s="2" t="s">
        <v>38</v>
      </c>
      <c r="C80" s="2" t="s">
        <v>41</v>
      </c>
      <c r="D80" s="2" t="s">
        <v>29</v>
      </c>
      <c r="E80" s="2" t="s">
        <v>25</v>
      </c>
      <c r="F80" s="5">
        <v>88560.0</v>
      </c>
      <c r="G80" s="5">
        <v>1319.0</v>
      </c>
      <c r="H80" s="5">
        <v>0.0149</v>
      </c>
      <c r="I80" s="5">
        <v>0.52</v>
      </c>
      <c r="J80" s="5">
        <v>685.88</v>
      </c>
      <c r="K80" s="5">
        <v>81.0</v>
      </c>
      <c r="L80" s="5">
        <v>8.47</v>
      </c>
      <c r="M80" s="5">
        <v>8584.02</v>
      </c>
      <c r="N80" s="5">
        <v>12.52</v>
      </c>
      <c r="O80" s="6">
        <f t="shared" si="1"/>
        <v>8.467654321</v>
      </c>
      <c r="P80" s="6" t="str">
        <f t="shared" si="2"/>
        <v>Post-Shift</v>
      </c>
      <c r="Q80" s="3">
        <f t="shared" si="3"/>
        <v>39</v>
      </c>
    </row>
    <row r="81">
      <c r="A81" s="4" t="s">
        <v>91</v>
      </c>
      <c r="B81" s="2" t="s">
        <v>18</v>
      </c>
      <c r="C81" s="2" t="s">
        <v>41</v>
      </c>
      <c r="D81" s="2" t="s">
        <v>20</v>
      </c>
      <c r="E81" s="2" t="s">
        <v>21</v>
      </c>
      <c r="F81" s="5">
        <v>117217.0</v>
      </c>
      <c r="G81" s="5">
        <v>5602.0</v>
      </c>
      <c r="H81" s="5">
        <v>0.0478</v>
      </c>
      <c r="I81" s="5">
        <v>3.49</v>
      </c>
      <c r="J81" s="5">
        <v>19550.98</v>
      </c>
      <c r="K81" s="5">
        <v>411.0</v>
      </c>
      <c r="L81" s="5">
        <v>47.57</v>
      </c>
      <c r="M81" s="5">
        <v>75729.26</v>
      </c>
      <c r="N81" s="5">
        <v>3.87</v>
      </c>
      <c r="O81" s="6">
        <f t="shared" si="1"/>
        <v>47.5692944</v>
      </c>
      <c r="P81" s="6" t="str">
        <f t="shared" si="2"/>
        <v>Post-Shift</v>
      </c>
      <c r="Q81" s="3">
        <f t="shared" si="3"/>
        <v>26</v>
      </c>
    </row>
    <row r="82">
      <c r="A82" s="4" t="s">
        <v>92</v>
      </c>
      <c r="B82" s="2" t="s">
        <v>38</v>
      </c>
      <c r="C82" s="2" t="s">
        <v>31</v>
      </c>
      <c r="D82" s="2" t="s">
        <v>20</v>
      </c>
      <c r="E82" s="2" t="s">
        <v>21</v>
      </c>
      <c r="F82" s="5">
        <v>104616.0</v>
      </c>
      <c r="G82" s="5">
        <v>4048.0</v>
      </c>
      <c r="H82" s="5">
        <v>0.0387</v>
      </c>
      <c r="I82" s="5">
        <v>1.77</v>
      </c>
      <c r="J82" s="5">
        <v>7164.96</v>
      </c>
      <c r="K82" s="5">
        <v>233.0</v>
      </c>
      <c r="L82" s="5">
        <v>30.75</v>
      </c>
      <c r="M82" s="5">
        <v>45906.84</v>
      </c>
      <c r="N82" s="5">
        <v>6.41</v>
      </c>
      <c r="O82" s="6">
        <f t="shared" si="1"/>
        <v>30.75090129</v>
      </c>
      <c r="P82" s="6" t="str">
        <f t="shared" si="2"/>
        <v>Post-Shift</v>
      </c>
      <c r="Q82" s="3">
        <f t="shared" si="3"/>
        <v>34</v>
      </c>
    </row>
    <row r="83">
      <c r="A83" s="4" t="s">
        <v>93</v>
      </c>
      <c r="B83" s="2" t="s">
        <v>23</v>
      </c>
      <c r="C83" s="2" t="s">
        <v>27</v>
      </c>
      <c r="D83" s="2" t="s">
        <v>29</v>
      </c>
      <c r="E83" s="2" t="s">
        <v>36</v>
      </c>
      <c r="F83" s="5">
        <v>79553.0</v>
      </c>
      <c r="G83" s="5">
        <v>2712.0</v>
      </c>
      <c r="H83" s="5">
        <v>0.0341</v>
      </c>
      <c r="I83" s="5">
        <v>0.31</v>
      </c>
      <c r="J83" s="5">
        <v>840.72</v>
      </c>
      <c r="K83" s="5">
        <v>170.0</v>
      </c>
      <c r="L83" s="5">
        <v>4.95</v>
      </c>
      <c r="M83" s="5">
        <v>16973.79</v>
      </c>
      <c r="N83" s="5">
        <v>20.19</v>
      </c>
      <c r="O83" s="6">
        <f t="shared" si="1"/>
        <v>4.945411765</v>
      </c>
      <c r="P83" s="6" t="str">
        <f t="shared" si="2"/>
        <v>Post-Shift</v>
      </c>
      <c r="Q83" s="3">
        <f t="shared" si="3"/>
        <v>7</v>
      </c>
    </row>
    <row r="84">
      <c r="A84" s="4" t="s">
        <v>53</v>
      </c>
      <c r="B84" s="2" t="s">
        <v>18</v>
      </c>
      <c r="C84" s="2" t="s">
        <v>19</v>
      </c>
      <c r="D84" s="2" t="s">
        <v>20</v>
      </c>
      <c r="E84" s="2" t="s">
        <v>30</v>
      </c>
      <c r="F84" s="5">
        <v>170904.0</v>
      </c>
      <c r="G84" s="5">
        <v>4751.0</v>
      </c>
      <c r="H84" s="5">
        <v>0.0278</v>
      </c>
      <c r="I84" s="5">
        <v>1.12</v>
      </c>
      <c r="J84" s="5">
        <v>5321.12</v>
      </c>
      <c r="K84" s="5">
        <v>326.0</v>
      </c>
      <c r="L84" s="5">
        <v>16.32</v>
      </c>
      <c r="M84" s="5">
        <v>44297.15</v>
      </c>
      <c r="N84" s="5">
        <v>8.32</v>
      </c>
      <c r="O84" s="6">
        <f t="shared" si="1"/>
        <v>16.32245399</v>
      </c>
      <c r="P84" s="6" t="str">
        <f t="shared" si="2"/>
        <v>Post-Shift</v>
      </c>
      <c r="Q84" s="3">
        <f t="shared" si="3"/>
        <v>34</v>
      </c>
    </row>
    <row r="85">
      <c r="A85" s="4" t="s">
        <v>94</v>
      </c>
      <c r="B85" s="2" t="s">
        <v>18</v>
      </c>
      <c r="C85" s="2" t="s">
        <v>19</v>
      </c>
      <c r="D85" s="2" t="s">
        <v>29</v>
      </c>
      <c r="E85" s="2" t="s">
        <v>56</v>
      </c>
      <c r="F85" s="5">
        <v>88807.0</v>
      </c>
      <c r="G85" s="5">
        <v>4999.0</v>
      </c>
      <c r="H85" s="5">
        <v>0.0563</v>
      </c>
      <c r="I85" s="5">
        <v>2.37</v>
      </c>
      <c r="J85" s="5">
        <v>11847.63</v>
      </c>
      <c r="K85" s="5">
        <v>348.0</v>
      </c>
      <c r="L85" s="5">
        <v>34.04</v>
      </c>
      <c r="M85" s="5">
        <v>103474.3</v>
      </c>
      <c r="N85" s="5">
        <v>8.73</v>
      </c>
      <c r="O85" s="6">
        <f t="shared" si="1"/>
        <v>34.04491379</v>
      </c>
      <c r="P85" s="6" t="str">
        <f t="shared" si="2"/>
        <v>Post-Shift</v>
      </c>
      <c r="Q85" s="3">
        <f t="shared" si="3"/>
        <v>29</v>
      </c>
    </row>
    <row r="86">
      <c r="A86" s="4" t="s">
        <v>37</v>
      </c>
      <c r="B86" s="2" t="s">
        <v>38</v>
      </c>
      <c r="C86" s="2" t="s">
        <v>31</v>
      </c>
      <c r="D86" s="2" t="s">
        <v>24</v>
      </c>
      <c r="E86" s="2" t="s">
        <v>36</v>
      </c>
      <c r="F86" s="5">
        <v>157499.0</v>
      </c>
      <c r="G86" s="5">
        <v>1574.0</v>
      </c>
      <c r="H86" s="5">
        <v>0.01</v>
      </c>
      <c r="I86" s="5">
        <v>1.76</v>
      </c>
      <c r="J86" s="5">
        <v>2770.24</v>
      </c>
      <c r="K86" s="5">
        <v>45.0</v>
      </c>
      <c r="L86" s="5">
        <v>61.56</v>
      </c>
      <c r="M86" s="5">
        <v>13465.06</v>
      </c>
      <c r="N86" s="5">
        <v>4.86</v>
      </c>
      <c r="O86" s="6">
        <f t="shared" si="1"/>
        <v>61.56088889</v>
      </c>
      <c r="P86" s="6" t="str">
        <f t="shared" si="2"/>
        <v>Post-Shift</v>
      </c>
      <c r="Q86" s="3">
        <f t="shared" si="3"/>
        <v>33</v>
      </c>
    </row>
    <row r="87">
      <c r="A87" s="4" t="s">
        <v>95</v>
      </c>
      <c r="B87" s="2" t="s">
        <v>38</v>
      </c>
      <c r="C87" s="2" t="s">
        <v>19</v>
      </c>
      <c r="D87" s="2" t="s">
        <v>45</v>
      </c>
      <c r="E87" s="2" t="s">
        <v>58</v>
      </c>
      <c r="F87" s="5">
        <v>46846.0</v>
      </c>
      <c r="G87" s="5">
        <v>983.0</v>
      </c>
      <c r="H87" s="5">
        <v>0.021</v>
      </c>
      <c r="I87" s="5">
        <v>0.72</v>
      </c>
      <c r="J87" s="5">
        <v>707.76</v>
      </c>
      <c r="K87" s="5">
        <v>11.0</v>
      </c>
      <c r="L87" s="5">
        <v>64.34</v>
      </c>
      <c r="M87" s="5">
        <v>2501.87</v>
      </c>
      <c r="N87" s="5">
        <v>3.53</v>
      </c>
      <c r="O87" s="6">
        <f t="shared" si="1"/>
        <v>64.34181818</v>
      </c>
      <c r="P87" s="6" t="str">
        <f t="shared" si="2"/>
        <v>Post-Shift</v>
      </c>
      <c r="Q87" s="3">
        <f t="shared" si="3"/>
        <v>39</v>
      </c>
    </row>
    <row r="88">
      <c r="A88" s="4" t="s">
        <v>96</v>
      </c>
      <c r="B88" s="2" t="s">
        <v>23</v>
      </c>
      <c r="C88" s="2" t="s">
        <v>19</v>
      </c>
      <c r="D88" s="2" t="s">
        <v>20</v>
      </c>
      <c r="E88" s="2" t="s">
        <v>33</v>
      </c>
      <c r="F88" s="5">
        <v>104986.0</v>
      </c>
      <c r="G88" s="5">
        <v>6131.0</v>
      </c>
      <c r="H88" s="5">
        <v>0.0584</v>
      </c>
      <c r="I88" s="5">
        <v>0.36</v>
      </c>
      <c r="J88" s="5">
        <v>2207.16</v>
      </c>
      <c r="K88" s="5">
        <v>219.0</v>
      </c>
      <c r="L88" s="5">
        <v>10.08</v>
      </c>
      <c r="M88" s="5">
        <v>57679.5</v>
      </c>
      <c r="N88" s="5">
        <v>26.13</v>
      </c>
      <c r="O88" s="6">
        <f t="shared" si="1"/>
        <v>10.07835616</v>
      </c>
      <c r="P88" s="6" t="str">
        <f t="shared" si="2"/>
        <v>Post-Shift</v>
      </c>
      <c r="Q88" s="3">
        <f t="shared" si="3"/>
        <v>38</v>
      </c>
    </row>
    <row r="89">
      <c r="A89" s="4" t="s">
        <v>65</v>
      </c>
      <c r="B89" s="2" t="s">
        <v>38</v>
      </c>
      <c r="C89" s="2" t="s">
        <v>31</v>
      </c>
      <c r="D89" s="2" t="s">
        <v>24</v>
      </c>
      <c r="E89" s="2" t="s">
        <v>56</v>
      </c>
      <c r="F89" s="5">
        <v>172516.0</v>
      </c>
      <c r="G89" s="5">
        <v>6314.0</v>
      </c>
      <c r="H89" s="5">
        <v>0.0366</v>
      </c>
      <c r="I89" s="5">
        <v>0.72</v>
      </c>
      <c r="J89" s="5">
        <v>4546.08</v>
      </c>
      <c r="K89" s="5">
        <v>335.0</v>
      </c>
      <c r="L89" s="5">
        <v>13.57</v>
      </c>
      <c r="M89" s="5">
        <v>82096.8</v>
      </c>
      <c r="N89" s="5">
        <v>18.06</v>
      </c>
      <c r="O89" s="6">
        <f t="shared" si="1"/>
        <v>13.57038806</v>
      </c>
      <c r="P89" s="6" t="str">
        <f t="shared" si="2"/>
        <v>Post-Shift</v>
      </c>
      <c r="Q89" s="3">
        <f t="shared" si="3"/>
        <v>21</v>
      </c>
    </row>
    <row r="90">
      <c r="A90" s="4" t="s">
        <v>97</v>
      </c>
      <c r="B90" s="2" t="s">
        <v>38</v>
      </c>
      <c r="C90" s="2" t="s">
        <v>41</v>
      </c>
      <c r="D90" s="2" t="s">
        <v>45</v>
      </c>
      <c r="E90" s="2" t="s">
        <v>56</v>
      </c>
      <c r="F90" s="5">
        <v>187099.0</v>
      </c>
      <c r="G90" s="5">
        <v>2469.0</v>
      </c>
      <c r="H90" s="5">
        <v>0.0132</v>
      </c>
      <c r="I90" s="5">
        <v>0.83</v>
      </c>
      <c r="J90" s="5">
        <v>2049.27</v>
      </c>
      <c r="K90" s="5">
        <v>103.0</v>
      </c>
      <c r="L90" s="5">
        <v>19.9</v>
      </c>
      <c r="M90" s="5">
        <v>3413.17</v>
      </c>
      <c r="N90" s="5">
        <v>1.67</v>
      </c>
      <c r="O90" s="6">
        <f t="shared" si="1"/>
        <v>19.89582524</v>
      </c>
      <c r="P90" s="6" t="str">
        <f t="shared" si="2"/>
        <v>Post-Shift</v>
      </c>
      <c r="Q90" s="3">
        <f t="shared" si="3"/>
        <v>34</v>
      </c>
    </row>
    <row r="91">
      <c r="A91" s="4">
        <v>45386.0</v>
      </c>
      <c r="B91" s="2" t="s">
        <v>18</v>
      </c>
      <c r="C91" s="2" t="s">
        <v>31</v>
      </c>
      <c r="D91" s="2" t="s">
        <v>32</v>
      </c>
      <c r="E91" s="2" t="s">
        <v>56</v>
      </c>
      <c r="F91" s="5">
        <v>111661.0</v>
      </c>
      <c r="G91" s="5">
        <v>3930.0</v>
      </c>
      <c r="H91" s="5">
        <v>0.0352</v>
      </c>
      <c r="I91" s="5">
        <v>0.84</v>
      </c>
      <c r="J91" s="5">
        <v>3301.2</v>
      </c>
      <c r="K91" s="5">
        <v>310.0</v>
      </c>
      <c r="L91" s="5">
        <v>10.65</v>
      </c>
      <c r="M91" s="5">
        <v>21226.88</v>
      </c>
      <c r="N91" s="5">
        <v>6.43</v>
      </c>
      <c r="O91" s="6">
        <f t="shared" si="1"/>
        <v>10.64903226</v>
      </c>
      <c r="P91" s="6" t="str">
        <f t="shared" si="2"/>
        <v>Baseline</v>
      </c>
      <c r="Q91" s="3">
        <f t="shared" si="3"/>
        <v>14</v>
      </c>
    </row>
    <row r="92">
      <c r="A92" s="4">
        <v>45541.0</v>
      </c>
      <c r="B92" s="2" t="s">
        <v>38</v>
      </c>
      <c r="C92" s="2" t="s">
        <v>41</v>
      </c>
      <c r="D92" s="2" t="s">
        <v>24</v>
      </c>
      <c r="E92" s="2" t="s">
        <v>33</v>
      </c>
      <c r="F92" s="5">
        <v>79441.0</v>
      </c>
      <c r="G92" s="5">
        <v>3082.0</v>
      </c>
      <c r="H92" s="5">
        <v>0.0388</v>
      </c>
      <c r="I92" s="5">
        <v>0.53</v>
      </c>
      <c r="J92" s="5">
        <v>1633.46</v>
      </c>
      <c r="K92" s="5">
        <v>100.0</v>
      </c>
      <c r="L92" s="5">
        <v>16.33</v>
      </c>
      <c r="M92" s="5">
        <v>29391.59</v>
      </c>
      <c r="N92" s="5">
        <v>17.99</v>
      </c>
      <c r="O92" s="6">
        <f t="shared" si="1"/>
        <v>16.3346</v>
      </c>
      <c r="P92" s="6" t="str">
        <f t="shared" si="2"/>
        <v>Post-Shift</v>
      </c>
      <c r="Q92" s="3">
        <f t="shared" si="3"/>
        <v>24</v>
      </c>
    </row>
    <row r="93">
      <c r="A93" s="4" t="s">
        <v>98</v>
      </c>
      <c r="B93" s="2" t="s">
        <v>18</v>
      </c>
      <c r="C93" s="2" t="s">
        <v>41</v>
      </c>
      <c r="D93" s="2" t="s">
        <v>32</v>
      </c>
      <c r="E93" s="2" t="s">
        <v>58</v>
      </c>
      <c r="F93" s="5">
        <v>14078.0</v>
      </c>
      <c r="G93" s="5">
        <v>763.0</v>
      </c>
      <c r="H93" s="5">
        <v>0.0542</v>
      </c>
      <c r="I93" s="5">
        <v>2.26</v>
      </c>
      <c r="J93" s="5">
        <v>1724.38</v>
      </c>
      <c r="K93" s="5">
        <v>57.0</v>
      </c>
      <c r="L93" s="5">
        <v>30.25</v>
      </c>
      <c r="M93" s="5">
        <v>16289.72</v>
      </c>
      <c r="N93" s="5">
        <v>9.45</v>
      </c>
      <c r="O93" s="6">
        <f t="shared" si="1"/>
        <v>30.2522807</v>
      </c>
      <c r="P93" s="6" t="str">
        <f t="shared" si="2"/>
        <v>Post-Shift</v>
      </c>
      <c r="Q93" s="3">
        <f t="shared" si="3"/>
        <v>16</v>
      </c>
    </row>
    <row r="94">
      <c r="A94" s="4">
        <v>45474.0</v>
      </c>
      <c r="B94" s="2" t="s">
        <v>38</v>
      </c>
      <c r="C94" s="2" t="s">
        <v>31</v>
      </c>
      <c r="D94" s="2" t="s">
        <v>20</v>
      </c>
      <c r="E94" s="2" t="s">
        <v>58</v>
      </c>
      <c r="F94" s="5">
        <v>182235.0</v>
      </c>
      <c r="G94" s="5">
        <v>5047.0</v>
      </c>
      <c r="H94" s="5">
        <v>0.0277</v>
      </c>
      <c r="I94" s="5">
        <v>0.74</v>
      </c>
      <c r="J94" s="5">
        <v>3734.78</v>
      </c>
      <c r="K94" s="5">
        <v>260.0</v>
      </c>
      <c r="L94" s="5">
        <v>14.36</v>
      </c>
      <c r="M94" s="5">
        <v>53450.65</v>
      </c>
      <c r="N94" s="5">
        <v>14.31</v>
      </c>
      <c r="O94" s="6">
        <f t="shared" si="1"/>
        <v>14.36453846</v>
      </c>
      <c r="P94" s="6" t="str">
        <f t="shared" si="2"/>
        <v>Post-Shift</v>
      </c>
      <c r="Q94" s="3">
        <f t="shared" si="3"/>
        <v>2</v>
      </c>
    </row>
    <row r="95">
      <c r="A95" s="4" t="s">
        <v>99</v>
      </c>
      <c r="B95" s="2" t="s">
        <v>38</v>
      </c>
      <c r="C95" s="2" t="s">
        <v>27</v>
      </c>
      <c r="D95" s="2" t="s">
        <v>32</v>
      </c>
      <c r="E95" s="2" t="s">
        <v>36</v>
      </c>
      <c r="F95" s="5">
        <v>128629.0</v>
      </c>
      <c r="G95" s="5">
        <v>2109.0</v>
      </c>
      <c r="H95" s="5">
        <v>0.0164</v>
      </c>
      <c r="I95" s="5">
        <v>1.29</v>
      </c>
      <c r="J95" s="5">
        <v>2720.61</v>
      </c>
      <c r="K95" s="5">
        <v>168.0</v>
      </c>
      <c r="L95" s="5">
        <v>16.19</v>
      </c>
      <c r="M95" s="5">
        <v>49256.62</v>
      </c>
      <c r="N95" s="5">
        <v>18.1</v>
      </c>
      <c r="O95" s="6">
        <f t="shared" si="1"/>
        <v>16.19410714</v>
      </c>
      <c r="P95" s="6" t="str">
        <f t="shared" si="2"/>
        <v>Post-Shift</v>
      </c>
      <c r="Q95" s="3">
        <f t="shared" si="3"/>
        <v>8</v>
      </c>
    </row>
    <row r="96">
      <c r="A96" s="4">
        <v>45326.0</v>
      </c>
      <c r="B96" s="2" t="s">
        <v>38</v>
      </c>
      <c r="C96" s="2" t="s">
        <v>41</v>
      </c>
      <c r="D96" s="2" t="s">
        <v>20</v>
      </c>
      <c r="E96" s="2" t="s">
        <v>36</v>
      </c>
      <c r="F96" s="5">
        <v>21309.0</v>
      </c>
      <c r="G96" s="5">
        <v>432.0</v>
      </c>
      <c r="H96" s="5">
        <v>0.0203</v>
      </c>
      <c r="I96" s="5">
        <v>1.66</v>
      </c>
      <c r="J96" s="5">
        <v>717.12</v>
      </c>
      <c r="K96" s="5">
        <v>15.0</v>
      </c>
      <c r="L96" s="5">
        <v>47.81</v>
      </c>
      <c r="M96" s="5">
        <v>4449.98</v>
      </c>
      <c r="N96" s="5">
        <v>6.21</v>
      </c>
      <c r="O96" s="6">
        <f t="shared" si="1"/>
        <v>47.808</v>
      </c>
      <c r="P96" s="6" t="str">
        <f t="shared" si="2"/>
        <v>Baseline</v>
      </c>
      <c r="Q96" s="3">
        <f t="shared" si="3"/>
        <v>14</v>
      </c>
    </row>
    <row r="97">
      <c r="A97" s="4">
        <v>45452.0</v>
      </c>
      <c r="B97" s="2" t="s">
        <v>18</v>
      </c>
      <c r="C97" s="2" t="s">
        <v>19</v>
      </c>
      <c r="D97" s="2" t="s">
        <v>20</v>
      </c>
      <c r="E97" s="2" t="s">
        <v>30</v>
      </c>
      <c r="F97" s="5">
        <v>167932.0</v>
      </c>
      <c r="G97" s="5">
        <v>6717.0</v>
      </c>
      <c r="H97" s="5">
        <v>0.04</v>
      </c>
      <c r="I97" s="5">
        <v>2.46</v>
      </c>
      <c r="J97" s="5">
        <v>16523.82</v>
      </c>
      <c r="K97" s="5">
        <v>247.0</v>
      </c>
      <c r="L97" s="5">
        <v>66.9</v>
      </c>
      <c r="M97" s="5">
        <v>38475.06</v>
      </c>
      <c r="N97" s="5">
        <v>2.33</v>
      </c>
      <c r="O97" s="6">
        <f t="shared" si="1"/>
        <v>66.89805668</v>
      </c>
      <c r="P97" s="6" t="str">
        <f t="shared" si="2"/>
        <v>Baseline</v>
      </c>
      <c r="Q97" s="3">
        <f t="shared" si="3"/>
        <v>36</v>
      </c>
    </row>
    <row r="98">
      <c r="A98" s="4">
        <v>45505.0</v>
      </c>
      <c r="B98" s="2" t="s">
        <v>23</v>
      </c>
      <c r="C98" s="2" t="s">
        <v>19</v>
      </c>
      <c r="D98" s="2" t="s">
        <v>20</v>
      </c>
      <c r="E98" s="2" t="s">
        <v>25</v>
      </c>
      <c r="F98" s="5">
        <v>162795.0</v>
      </c>
      <c r="G98" s="5">
        <v>8107.0</v>
      </c>
      <c r="H98" s="5">
        <v>0.0498</v>
      </c>
      <c r="I98" s="5">
        <v>0.96</v>
      </c>
      <c r="J98" s="5">
        <v>7782.72</v>
      </c>
      <c r="K98" s="5">
        <v>575.0</v>
      </c>
      <c r="L98" s="5">
        <v>13.54</v>
      </c>
      <c r="M98" s="5">
        <v>86383.64</v>
      </c>
      <c r="N98" s="5">
        <v>11.1</v>
      </c>
      <c r="O98" s="6">
        <f t="shared" si="1"/>
        <v>13.53516522</v>
      </c>
      <c r="P98" s="6" t="str">
        <f t="shared" si="2"/>
        <v>Post-Shift</v>
      </c>
      <c r="Q98" s="3">
        <f t="shared" si="3"/>
        <v>2</v>
      </c>
    </row>
    <row r="99">
      <c r="A99" s="4" t="s">
        <v>100</v>
      </c>
      <c r="B99" s="2" t="s">
        <v>38</v>
      </c>
      <c r="C99" s="2" t="s">
        <v>19</v>
      </c>
      <c r="D99" s="2" t="s">
        <v>24</v>
      </c>
      <c r="E99" s="2" t="s">
        <v>25</v>
      </c>
      <c r="F99" s="5">
        <v>50893.0</v>
      </c>
      <c r="G99" s="5">
        <v>1124.0</v>
      </c>
      <c r="H99" s="5">
        <v>0.0221</v>
      </c>
      <c r="I99" s="5">
        <v>1.41</v>
      </c>
      <c r="J99" s="5">
        <v>1584.84</v>
      </c>
      <c r="K99" s="5">
        <v>29.0</v>
      </c>
      <c r="L99" s="5">
        <v>54.65</v>
      </c>
      <c r="M99" s="5">
        <v>2707.5</v>
      </c>
      <c r="N99" s="5">
        <v>1.71</v>
      </c>
      <c r="O99" s="6">
        <f t="shared" si="1"/>
        <v>54.64965517</v>
      </c>
      <c r="P99" s="6" t="str">
        <f t="shared" si="2"/>
        <v>Post-Shift</v>
      </c>
      <c r="Q99" s="3">
        <f t="shared" si="3"/>
        <v>34</v>
      </c>
    </row>
    <row r="100">
      <c r="A100" s="4" t="s">
        <v>101</v>
      </c>
      <c r="B100" s="2" t="s">
        <v>23</v>
      </c>
      <c r="C100" s="2" t="s">
        <v>41</v>
      </c>
      <c r="D100" s="2" t="s">
        <v>32</v>
      </c>
      <c r="E100" s="2" t="s">
        <v>21</v>
      </c>
      <c r="F100" s="5">
        <v>81619.0</v>
      </c>
      <c r="G100" s="5">
        <v>3623.0</v>
      </c>
      <c r="H100" s="5">
        <v>0.0444</v>
      </c>
      <c r="I100" s="5">
        <v>0.47</v>
      </c>
      <c r="J100" s="5">
        <v>1702.81</v>
      </c>
      <c r="K100" s="5">
        <v>222.0</v>
      </c>
      <c r="L100" s="5">
        <v>7.67</v>
      </c>
      <c r="M100" s="5">
        <v>46448.44</v>
      </c>
      <c r="N100" s="5">
        <v>27.28</v>
      </c>
      <c r="O100" s="6">
        <f t="shared" si="1"/>
        <v>7.670315315</v>
      </c>
      <c r="P100" s="6" t="str">
        <f t="shared" si="2"/>
        <v>Post-Shift</v>
      </c>
      <c r="Q100" s="3">
        <f t="shared" si="3"/>
        <v>39</v>
      </c>
    </row>
    <row r="101">
      <c r="A101" s="4" t="s">
        <v>102</v>
      </c>
      <c r="B101" s="2" t="s">
        <v>38</v>
      </c>
      <c r="C101" s="2" t="s">
        <v>19</v>
      </c>
      <c r="D101" s="2" t="s">
        <v>24</v>
      </c>
      <c r="E101" s="2" t="s">
        <v>33</v>
      </c>
      <c r="F101" s="5">
        <v>154381.0</v>
      </c>
      <c r="G101" s="5">
        <v>1698.0</v>
      </c>
      <c r="H101" s="5">
        <v>0.011</v>
      </c>
      <c r="I101" s="5">
        <v>1.85</v>
      </c>
      <c r="J101" s="5">
        <v>3141.3</v>
      </c>
      <c r="K101" s="5">
        <v>70.0</v>
      </c>
      <c r="L101" s="5">
        <v>44.88</v>
      </c>
      <c r="M101" s="5">
        <v>19750.24</v>
      </c>
      <c r="N101" s="5">
        <v>6.29</v>
      </c>
      <c r="O101" s="6">
        <f t="shared" si="1"/>
        <v>44.87571429</v>
      </c>
      <c r="P101" s="6" t="str">
        <f t="shared" si="2"/>
        <v>Post-Shift</v>
      </c>
      <c r="Q101" s="3">
        <f t="shared" si="3"/>
        <v>30</v>
      </c>
    </row>
    <row r="102">
      <c r="A102" s="4">
        <v>45627.0</v>
      </c>
      <c r="B102" s="2" t="s">
        <v>18</v>
      </c>
      <c r="C102" s="2" t="s">
        <v>19</v>
      </c>
      <c r="D102" s="2" t="s">
        <v>20</v>
      </c>
      <c r="E102" s="2" t="s">
        <v>56</v>
      </c>
      <c r="F102" s="5">
        <v>124273.0</v>
      </c>
      <c r="G102" s="5">
        <v>3603.0</v>
      </c>
      <c r="H102" s="5">
        <v>0.029</v>
      </c>
      <c r="I102" s="5">
        <v>1.55</v>
      </c>
      <c r="J102" s="5">
        <v>5584.65</v>
      </c>
      <c r="K102" s="5">
        <v>167.0</v>
      </c>
      <c r="L102" s="5">
        <v>33.44</v>
      </c>
      <c r="M102" s="5">
        <v>20460.25</v>
      </c>
      <c r="N102" s="5">
        <v>3.66</v>
      </c>
      <c r="O102" s="6">
        <f t="shared" si="1"/>
        <v>33.44101796</v>
      </c>
      <c r="P102" s="6" t="str">
        <f t="shared" si="2"/>
        <v>Post-Shift</v>
      </c>
      <c r="Q102" s="3">
        <f t="shared" si="3"/>
        <v>2</v>
      </c>
    </row>
    <row r="103">
      <c r="A103" s="4">
        <v>45303.0</v>
      </c>
      <c r="B103" s="2" t="s">
        <v>38</v>
      </c>
      <c r="C103" s="2" t="s">
        <v>27</v>
      </c>
      <c r="D103" s="2" t="s">
        <v>29</v>
      </c>
      <c r="E103" s="2" t="s">
        <v>33</v>
      </c>
      <c r="F103" s="5">
        <v>6969.0</v>
      </c>
      <c r="G103" s="5">
        <v>176.0</v>
      </c>
      <c r="H103" s="5">
        <v>0.0253</v>
      </c>
      <c r="I103" s="5">
        <v>1.08</v>
      </c>
      <c r="J103" s="5">
        <v>190.08</v>
      </c>
      <c r="K103" s="5">
        <v>10.0</v>
      </c>
      <c r="L103" s="5">
        <v>19.01</v>
      </c>
      <c r="M103" s="5">
        <v>2562.91</v>
      </c>
      <c r="N103" s="5">
        <v>13.48</v>
      </c>
      <c r="O103" s="6">
        <f t="shared" si="1"/>
        <v>19.008</v>
      </c>
      <c r="P103" s="6" t="str">
        <f t="shared" si="2"/>
        <v>Baseline</v>
      </c>
      <c r="Q103" s="3">
        <f t="shared" si="3"/>
        <v>49</v>
      </c>
    </row>
    <row r="104">
      <c r="A104" s="4" t="s">
        <v>65</v>
      </c>
      <c r="B104" s="2" t="s">
        <v>23</v>
      </c>
      <c r="C104" s="2" t="s">
        <v>41</v>
      </c>
      <c r="D104" s="2" t="s">
        <v>32</v>
      </c>
      <c r="E104" s="2" t="s">
        <v>25</v>
      </c>
      <c r="F104" s="5">
        <v>29089.0</v>
      </c>
      <c r="G104" s="5">
        <v>1076.0</v>
      </c>
      <c r="H104" s="5">
        <v>0.037</v>
      </c>
      <c r="I104" s="5">
        <v>0.65</v>
      </c>
      <c r="J104" s="5">
        <v>699.4</v>
      </c>
      <c r="K104" s="5">
        <v>40.0</v>
      </c>
      <c r="L104" s="5">
        <v>17.48</v>
      </c>
      <c r="M104" s="5">
        <v>8233.32</v>
      </c>
      <c r="N104" s="5">
        <v>11.77</v>
      </c>
      <c r="O104" s="6">
        <f t="shared" si="1"/>
        <v>17.485</v>
      </c>
      <c r="P104" s="6" t="str">
        <f t="shared" si="2"/>
        <v>Post-Shift</v>
      </c>
      <c r="Q104" s="3">
        <f t="shared" si="3"/>
        <v>21</v>
      </c>
    </row>
    <row r="105">
      <c r="A105" s="4">
        <v>45572.0</v>
      </c>
      <c r="B105" s="2" t="s">
        <v>18</v>
      </c>
      <c r="C105" s="2" t="s">
        <v>31</v>
      </c>
      <c r="D105" s="2" t="s">
        <v>32</v>
      </c>
      <c r="E105" s="2" t="s">
        <v>25</v>
      </c>
      <c r="F105" s="5">
        <v>10704.0</v>
      </c>
      <c r="G105" s="5">
        <v>489.0</v>
      </c>
      <c r="H105" s="5">
        <v>0.0457</v>
      </c>
      <c r="I105" s="5">
        <v>1.71</v>
      </c>
      <c r="J105" s="5">
        <v>836.19</v>
      </c>
      <c r="K105" s="5">
        <v>36.0</v>
      </c>
      <c r="L105" s="5">
        <v>23.23</v>
      </c>
      <c r="M105" s="5">
        <v>5339.04</v>
      </c>
      <c r="N105" s="5">
        <v>6.38</v>
      </c>
      <c r="O105" s="6">
        <f t="shared" si="1"/>
        <v>23.2275</v>
      </c>
      <c r="P105" s="6" t="str">
        <f t="shared" si="2"/>
        <v>Post-Shift</v>
      </c>
      <c r="Q105" s="3">
        <f t="shared" si="3"/>
        <v>28</v>
      </c>
    </row>
    <row r="106">
      <c r="A106" s="4">
        <v>45394.0</v>
      </c>
      <c r="B106" s="2" t="s">
        <v>23</v>
      </c>
      <c r="C106" s="2" t="s">
        <v>19</v>
      </c>
      <c r="D106" s="2" t="s">
        <v>45</v>
      </c>
      <c r="E106" s="2" t="s">
        <v>58</v>
      </c>
      <c r="F106" s="5">
        <v>22772.0</v>
      </c>
      <c r="G106" s="5">
        <v>1045.0</v>
      </c>
      <c r="H106" s="5">
        <v>0.0459</v>
      </c>
      <c r="I106" s="5">
        <v>0.95</v>
      </c>
      <c r="J106" s="5">
        <v>992.75</v>
      </c>
      <c r="K106" s="5">
        <v>38.0</v>
      </c>
      <c r="L106" s="5">
        <v>26.12</v>
      </c>
      <c r="M106" s="5">
        <v>5743.6</v>
      </c>
      <c r="N106" s="5">
        <v>5.79</v>
      </c>
      <c r="O106" s="6">
        <f t="shared" si="1"/>
        <v>26.125</v>
      </c>
      <c r="P106" s="6" t="str">
        <f t="shared" si="2"/>
        <v>Baseline</v>
      </c>
      <c r="Q106" s="3">
        <f t="shared" si="3"/>
        <v>49</v>
      </c>
    </row>
    <row r="107">
      <c r="A107" s="4">
        <v>45600.0</v>
      </c>
      <c r="B107" s="2" t="s">
        <v>18</v>
      </c>
      <c r="C107" s="2" t="s">
        <v>19</v>
      </c>
      <c r="D107" s="2" t="s">
        <v>20</v>
      </c>
      <c r="E107" s="2" t="s">
        <v>33</v>
      </c>
      <c r="F107" s="5">
        <v>68449.0</v>
      </c>
      <c r="G107" s="5">
        <v>3285.0</v>
      </c>
      <c r="H107" s="5">
        <v>0.048</v>
      </c>
      <c r="I107" s="5">
        <v>2.38</v>
      </c>
      <c r="J107" s="5">
        <v>7818.3</v>
      </c>
      <c r="K107" s="5">
        <v>243.0</v>
      </c>
      <c r="L107" s="5">
        <v>32.17</v>
      </c>
      <c r="M107" s="5">
        <v>60681.21</v>
      </c>
      <c r="N107" s="5">
        <v>7.76</v>
      </c>
      <c r="O107" s="6">
        <f t="shared" si="1"/>
        <v>32.17407407</v>
      </c>
      <c r="P107" s="6" t="str">
        <f t="shared" si="2"/>
        <v>Post-Shift</v>
      </c>
      <c r="Q107" s="3">
        <f t="shared" si="3"/>
        <v>15</v>
      </c>
    </row>
    <row r="108">
      <c r="A108" s="4" t="s">
        <v>103</v>
      </c>
      <c r="B108" s="2" t="s">
        <v>18</v>
      </c>
      <c r="C108" s="2" t="s">
        <v>19</v>
      </c>
      <c r="D108" s="2" t="s">
        <v>32</v>
      </c>
      <c r="E108" s="2" t="s">
        <v>21</v>
      </c>
      <c r="F108" s="5">
        <v>51819.0</v>
      </c>
      <c r="G108" s="5">
        <v>2497.0</v>
      </c>
      <c r="H108" s="5">
        <v>0.0482</v>
      </c>
      <c r="I108" s="5">
        <v>2.88</v>
      </c>
      <c r="J108" s="5">
        <v>7191.36</v>
      </c>
      <c r="K108" s="5">
        <v>138.0</v>
      </c>
      <c r="L108" s="5">
        <v>52.11</v>
      </c>
      <c r="M108" s="5">
        <v>37600.62</v>
      </c>
      <c r="N108" s="5">
        <v>5.23</v>
      </c>
      <c r="O108" s="6">
        <f t="shared" si="1"/>
        <v>52.11130435</v>
      </c>
      <c r="P108" s="6" t="str">
        <f t="shared" si="2"/>
        <v>Post-Shift</v>
      </c>
      <c r="Q108" s="3">
        <f t="shared" si="3"/>
        <v>43</v>
      </c>
    </row>
    <row r="109">
      <c r="A109" s="4" t="s">
        <v>104</v>
      </c>
      <c r="B109" s="2" t="s">
        <v>18</v>
      </c>
      <c r="C109" s="2" t="s">
        <v>27</v>
      </c>
      <c r="D109" s="2" t="s">
        <v>20</v>
      </c>
      <c r="E109" s="2" t="s">
        <v>58</v>
      </c>
      <c r="F109" s="5">
        <v>173722.0</v>
      </c>
      <c r="G109" s="5">
        <v>3821.0</v>
      </c>
      <c r="H109" s="5">
        <v>0.022</v>
      </c>
      <c r="I109" s="5">
        <v>1.54</v>
      </c>
      <c r="J109" s="5">
        <v>5884.34</v>
      </c>
      <c r="K109" s="5">
        <v>201.0</v>
      </c>
      <c r="L109" s="5">
        <v>29.28</v>
      </c>
      <c r="M109" s="5">
        <v>44895.5</v>
      </c>
      <c r="N109" s="5">
        <v>7.63</v>
      </c>
      <c r="O109" s="6">
        <f t="shared" si="1"/>
        <v>29.27532338</v>
      </c>
      <c r="P109" s="6" t="str">
        <f t="shared" si="2"/>
        <v>Post-Shift</v>
      </c>
      <c r="Q109" s="3">
        <f t="shared" si="3"/>
        <v>47</v>
      </c>
    </row>
    <row r="110">
      <c r="A110" s="4" t="s">
        <v>105</v>
      </c>
      <c r="B110" s="2" t="s">
        <v>18</v>
      </c>
      <c r="C110" s="2" t="s">
        <v>31</v>
      </c>
      <c r="D110" s="2" t="s">
        <v>32</v>
      </c>
      <c r="E110" s="2" t="s">
        <v>30</v>
      </c>
      <c r="F110" s="5">
        <v>119014.0</v>
      </c>
      <c r="G110" s="5">
        <v>5938.0</v>
      </c>
      <c r="H110" s="5">
        <v>0.0499</v>
      </c>
      <c r="I110" s="5">
        <v>2.88</v>
      </c>
      <c r="J110" s="5">
        <v>17101.44</v>
      </c>
      <c r="K110" s="5">
        <v>95.0</v>
      </c>
      <c r="L110" s="5">
        <v>180.02</v>
      </c>
      <c r="M110" s="5">
        <v>23773.95</v>
      </c>
      <c r="N110" s="5">
        <v>1.39</v>
      </c>
      <c r="O110" s="6">
        <f t="shared" si="1"/>
        <v>180.0151579</v>
      </c>
      <c r="P110" s="6" t="str">
        <f t="shared" si="2"/>
        <v>Post-Shift</v>
      </c>
      <c r="Q110" s="3">
        <f t="shared" si="3"/>
        <v>51</v>
      </c>
    </row>
    <row r="111">
      <c r="A111" s="4" t="s">
        <v>106</v>
      </c>
      <c r="B111" s="2" t="s">
        <v>18</v>
      </c>
      <c r="C111" s="2" t="s">
        <v>19</v>
      </c>
      <c r="D111" s="2" t="s">
        <v>32</v>
      </c>
      <c r="E111" s="2" t="s">
        <v>58</v>
      </c>
      <c r="F111" s="5">
        <v>159741.0</v>
      </c>
      <c r="G111" s="5">
        <v>6868.0</v>
      </c>
      <c r="H111" s="5">
        <v>0.043</v>
      </c>
      <c r="I111" s="5">
        <v>1.37</v>
      </c>
      <c r="J111" s="5">
        <v>9409.16</v>
      </c>
      <c r="K111" s="5">
        <v>336.0</v>
      </c>
      <c r="L111" s="5">
        <v>28.0</v>
      </c>
      <c r="M111" s="5">
        <v>33272.11</v>
      </c>
      <c r="N111" s="5">
        <v>3.54</v>
      </c>
      <c r="O111" s="6">
        <f t="shared" si="1"/>
        <v>28.00345238</v>
      </c>
      <c r="P111" s="6" t="str">
        <f t="shared" si="2"/>
        <v>Post-Shift</v>
      </c>
      <c r="Q111" s="3">
        <f t="shared" si="3"/>
        <v>21</v>
      </c>
    </row>
    <row r="112">
      <c r="A112" s="4" t="s">
        <v>49</v>
      </c>
      <c r="B112" s="2" t="s">
        <v>18</v>
      </c>
      <c r="C112" s="2" t="s">
        <v>31</v>
      </c>
      <c r="D112" s="2" t="s">
        <v>20</v>
      </c>
      <c r="E112" s="2" t="s">
        <v>33</v>
      </c>
      <c r="F112" s="5">
        <v>167982.0</v>
      </c>
      <c r="G112" s="5">
        <v>7693.0</v>
      </c>
      <c r="H112" s="5">
        <v>0.0458</v>
      </c>
      <c r="I112" s="5">
        <v>2.64</v>
      </c>
      <c r="J112" s="5">
        <v>20309.52</v>
      </c>
      <c r="K112" s="5">
        <v>193.0</v>
      </c>
      <c r="L112" s="5">
        <v>105.23</v>
      </c>
      <c r="M112" s="5">
        <v>10777.69</v>
      </c>
      <c r="N112" s="5">
        <v>0.53</v>
      </c>
      <c r="O112" s="6">
        <f t="shared" si="1"/>
        <v>105.2306736</v>
      </c>
      <c r="P112" s="6" t="str">
        <f t="shared" si="2"/>
        <v>Post-Shift</v>
      </c>
      <c r="Q112" s="3">
        <f t="shared" si="3"/>
        <v>9</v>
      </c>
    </row>
    <row r="113">
      <c r="A113" s="4">
        <v>45510.0</v>
      </c>
      <c r="B113" s="2" t="s">
        <v>18</v>
      </c>
      <c r="C113" s="2" t="s">
        <v>27</v>
      </c>
      <c r="D113" s="2" t="s">
        <v>20</v>
      </c>
      <c r="E113" s="2" t="s">
        <v>33</v>
      </c>
      <c r="F113" s="5">
        <v>96658.0</v>
      </c>
      <c r="G113" s="5">
        <v>2822.0</v>
      </c>
      <c r="H113" s="5">
        <v>0.0292</v>
      </c>
      <c r="I113" s="5">
        <v>3.37</v>
      </c>
      <c r="J113" s="5">
        <v>9510.14</v>
      </c>
      <c r="K113" s="5">
        <v>112.0</v>
      </c>
      <c r="L113" s="5">
        <v>84.91</v>
      </c>
      <c r="M113" s="5">
        <v>25060.16</v>
      </c>
      <c r="N113" s="5">
        <v>2.64</v>
      </c>
      <c r="O113" s="6">
        <f t="shared" si="1"/>
        <v>84.91196429</v>
      </c>
      <c r="P113" s="6" t="str">
        <f t="shared" si="2"/>
        <v>Post-Shift</v>
      </c>
      <c r="Q113" s="3">
        <f t="shared" si="3"/>
        <v>23</v>
      </c>
    </row>
    <row r="114">
      <c r="A114" s="4" t="s">
        <v>107</v>
      </c>
      <c r="B114" s="2" t="s">
        <v>38</v>
      </c>
      <c r="C114" s="2" t="s">
        <v>27</v>
      </c>
      <c r="D114" s="2" t="s">
        <v>24</v>
      </c>
      <c r="E114" s="2" t="s">
        <v>56</v>
      </c>
      <c r="F114" s="5">
        <v>43467.0</v>
      </c>
      <c r="G114" s="5">
        <v>991.0</v>
      </c>
      <c r="H114" s="5">
        <v>0.0228</v>
      </c>
      <c r="I114" s="5">
        <v>1.9</v>
      </c>
      <c r="J114" s="5">
        <v>1882.9</v>
      </c>
      <c r="K114" s="5">
        <v>25.0</v>
      </c>
      <c r="L114" s="5">
        <v>75.32</v>
      </c>
      <c r="M114" s="5">
        <v>3146.23</v>
      </c>
      <c r="N114" s="5">
        <v>1.67</v>
      </c>
      <c r="O114" s="6">
        <f t="shared" si="1"/>
        <v>75.316</v>
      </c>
      <c r="P114" s="6" t="str">
        <f t="shared" si="2"/>
        <v>Post-Shift</v>
      </c>
      <c r="Q114" s="3">
        <f t="shared" si="3"/>
        <v>3</v>
      </c>
    </row>
    <row r="115">
      <c r="A115" s="4">
        <v>45413.0</v>
      </c>
      <c r="B115" s="2" t="s">
        <v>18</v>
      </c>
      <c r="C115" s="2" t="s">
        <v>19</v>
      </c>
      <c r="D115" s="2" t="s">
        <v>24</v>
      </c>
      <c r="E115" s="2" t="s">
        <v>25</v>
      </c>
      <c r="F115" s="5">
        <v>41378.0</v>
      </c>
      <c r="G115" s="5">
        <v>2023.0</v>
      </c>
      <c r="H115" s="5">
        <v>0.0489</v>
      </c>
      <c r="I115" s="5">
        <v>1.23</v>
      </c>
      <c r="J115" s="5">
        <v>2488.29</v>
      </c>
      <c r="K115" s="5">
        <v>73.0</v>
      </c>
      <c r="L115" s="5">
        <v>34.09</v>
      </c>
      <c r="M115" s="5">
        <v>9343.63</v>
      </c>
      <c r="N115" s="5">
        <v>3.76</v>
      </c>
      <c r="O115" s="6">
        <f t="shared" si="1"/>
        <v>34.08616438</v>
      </c>
      <c r="P115" s="6" t="str">
        <f t="shared" si="2"/>
        <v>Baseline</v>
      </c>
      <c r="Q115" s="3">
        <f t="shared" si="3"/>
        <v>1</v>
      </c>
    </row>
    <row r="116">
      <c r="A116" s="4" t="s">
        <v>103</v>
      </c>
      <c r="B116" s="2" t="s">
        <v>23</v>
      </c>
      <c r="C116" s="2" t="s">
        <v>27</v>
      </c>
      <c r="D116" s="2" t="s">
        <v>24</v>
      </c>
      <c r="E116" s="2" t="s">
        <v>56</v>
      </c>
      <c r="F116" s="5">
        <v>100673.0</v>
      </c>
      <c r="G116" s="5">
        <v>5718.0</v>
      </c>
      <c r="H116" s="5">
        <v>0.0568</v>
      </c>
      <c r="I116" s="5">
        <v>1.05</v>
      </c>
      <c r="J116" s="5">
        <v>6003.9</v>
      </c>
      <c r="K116" s="5">
        <v>196.0</v>
      </c>
      <c r="L116" s="5">
        <v>30.63</v>
      </c>
      <c r="M116" s="5">
        <v>41067.13</v>
      </c>
      <c r="N116" s="5">
        <v>6.84</v>
      </c>
      <c r="O116" s="6">
        <f t="shared" si="1"/>
        <v>30.63214286</v>
      </c>
      <c r="P116" s="6" t="str">
        <f t="shared" si="2"/>
        <v>Post-Shift</v>
      </c>
      <c r="Q116" s="3">
        <f t="shared" si="3"/>
        <v>43</v>
      </c>
    </row>
    <row r="117">
      <c r="A117" s="4" t="s">
        <v>108</v>
      </c>
      <c r="B117" s="2" t="s">
        <v>23</v>
      </c>
      <c r="C117" s="2" t="s">
        <v>31</v>
      </c>
      <c r="D117" s="2" t="s">
        <v>29</v>
      </c>
      <c r="E117" s="2" t="s">
        <v>58</v>
      </c>
      <c r="F117" s="5">
        <v>191994.0</v>
      </c>
      <c r="G117" s="5">
        <v>14898.0</v>
      </c>
      <c r="H117" s="5">
        <v>0.0776</v>
      </c>
      <c r="I117" s="5">
        <v>1.08</v>
      </c>
      <c r="J117" s="5">
        <v>16089.84</v>
      </c>
      <c r="K117" s="5">
        <v>936.0</v>
      </c>
      <c r="L117" s="5">
        <v>17.19</v>
      </c>
      <c r="M117" s="5">
        <v>60355.75</v>
      </c>
      <c r="N117" s="5">
        <v>3.75</v>
      </c>
      <c r="O117" s="6">
        <f t="shared" si="1"/>
        <v>17.19</v>
      </c>
      <c r="P117" s="6" t="str">
        <f t="shared" si="2"/>
        <v>Post-Shift</v>
      </c>
      <c r="Q117" s="3">
        <f t="shared" si="3"/>
        <v>50</v>
      </c>
    </row>
    <row r="118">
      <c r="A118" s="4" t="s">
        <v>109</v>
      </c>
      <c r="B118" s="2" t="s">
        <v>23</v>
      </c>
      <c r="C118" s="2" t="s">
        <v>41</v>
      </c>
      <c r="D118" s="2" t="s">
        <v>24</v>
      </c>
      <c r="E118" s="2" t="s">
        <v>25</v>
      </c>
      <c r="F118" s="5">
        <v>152235.0</v>
      </c>
      <c r="G118" s="5">
        <v>6104.0</v>
      </c>
      <c r="H118" s="5">
        <v>0.0401</v>
      </c>
      <c r="I118" s="5">
        <v>0.73</v>
      </c>
      <c r="J118" s="5">
        <v>4455.92</v>
      </c>
      <c r="K118" s="5">
        <v>252.0</v>
      </c>
      <c r="L118" s="5">
        <v>17.68</v>
      </c>
      <c r="M118" s="5">
        <v>48424.44</v>
      </c>
      <c r="N118" s="5">
        <v>10.87</v>
      </c>
      <c r="O118" s="6">
        <f t="shared" si="1"/>
        <v>17.68222222</v>
      </c>
      <c r="P118" s="6" t="str">
        <f t="shared" si="2"/>
        <v>Post-Shift</v>
      </c>
      <c r="Q118" s="3">
        <f t="shared" si="3"/>
        <v>21</v>
      </c>
    </row>
    <row r="119">
      <c r="A119" s="4">
        <v>45485.0</v>
      </c>
      <c r="B119" s="2" t="s">
        <v>38</v>
      </c>
      <c r="C119" s="2" t="s">
        <v>27</v>
      </c>
      <c r="D119" s="2" t="s">
        <v>20</v>
      </c>
      <c r="E119" s="2" t="s">
        <v>58</v>
      </c>
      <c r="F119" s="5">
        <v>66929.0</v>
      </c>
      <c r="G119" s="5">
        <v>1539.0</v>
      </c>
      <c r="H119" s="5">
        <v>0.023</v>
      </c>
      <c r="I119" s="5">
        <v>1.21</v>
      </c>
      <c r="J119" s="5">
        <v>1862.19</v>
      </c>
      <c r="K119" s="5">
        <v>38.0</v>
      </c>
      <c r="L119" s="5">
        <v>49.01</v>
      </c>
      <c r="M119" s="5">
        <v>9540.22</v>
      </c>
      <c r="N119" s="5">
        <v>5.12</v>
      </c>
      <c r="O119" s="6">
        <f t="shared" si="1"/>
        <v>49.005</v>
      </c>
      <c r="P119" s="6" t="str">
        <f t="shared" si="2"/>
        <v>Post-Shift</v>
      </c>
      <c r="Q119" s="3">
        <f t="shared" si="3"/>
        <v>49</v>
      </c>
    </row>
    <row r="120">
      <c r="A120" s="4">
        <v>45540.0</v>
      </c>
      <c r="B120" s="2" t="s">
        <v>18</v>
      </c>
      <c r="C120" s="2" t="s">
        <v>27</v>
      </c>
      <c r="D120" s="2" t="s">
        <v>32</v>
      </c>
      <c r="E120" s="2" t="s">
        <v>36</v>
      </c>
      <c r="F120" s="5">
        <v>188202.0</v>
      </c>
      <c r="G120" s="5">
        <v>7189.0</v>
      </c>
      <c r="H120" s="5">
        <v>0.0382</v>
      </c>
      <c r="I120" s="5">
        <v>1.15</v>
      </c>
      <c r="J120" s="5">
        <v>8267.35</v>
      </c>
      <c r="K120" s="5">
        <v>376.0</v>
      </c>
      <c r="L120" s="5">
        <v>21.99</v>
      </c>
      <c r="M120" s="5">
        <v>88923.49</v>
      </c>
      <c r="N120" s="5">
        <v>10.76</v>
      </c>
      <c r="O120" s="6">
        <f t="shared" si="1"/>
        <v>21.98763298</v>
      </c>
      <c r="P120" s="6" t="str">
        <f t="shared" si="2"/>
        <v>Post-Shift</v>
      </c>
      <c r="Q120" s="3">
        <f t="shared" si="3"/>
        <v>19</v>
      </c>
    </row>
    <row r="121">
      <c r="A121" s="4" t="s">
        <v>110</v>
      </c>
      <c r="B121" s="2" t="s">
        <v>18</v>
      </c>
      <c r="C121" s="2" t="s">
        <v>27</v>
      </c>
      <c r="D121" s="2" t="s">
        <v>20</v>
      </c>
      <c r="E121" s="2" t="s">
        <v>30</v>
      </c>
      <c r="F121" s="5">
        <v>184316.0</v>
      </c>
      <c r="G121" s="5">
        <v>4091.0</v>
      </c>
      <c r="H121" s="5">
        <v>0.0222</v>
      </c>
      <c r="I121" s="5">
        <v>1.04</v>
      </c>
      <c r="J121" s="5">
        <v>4254.64</v>
      </c>
      <c r="K121" s="5">
        <v>309.0</v>
      </c>
      <c r="L121" s="5">
        <v>13.77</v>
      </c>
      <c r="M121" s="5">
        <v>82363.46</v>
      </c>
      <c r="N121" s="5">
        <v>19.36</v>
      </c>
      <c r="O121" s="6">
        <f t="shared" si="1"/>
        <v>13.76906149</v>
      </c>
      <c r="P121" s="6" t="str">
        <f t="shared" si="2"/>
        <v>Post-Shift</v>
      </c>
      <c r="Q121" s="3">
        <f t="shared" si="3"/>
        <v>4</v>
      </c>
    </row>
    <row r="122">
      <c r="A122" s="4">
        <v>45574.0</v>
      </c>
      <c r="B122" s="2" t="s">
        <v>18</v>
      </c>
      <c r="C122" s="2" t="s">
        <v>27</v>
      </c>
      <c r="D122" s="2" t="s">
        <v>29</v>
      </c>
      <c r="E122" s="2" t="s">
        <v>36</v>
      </c>
      <c r="F122" s="5">
        <v>65545.0</v>
      </c>
      <c r="G122" s="5">
        <v>3355.0</v>
      </c>
      <c r="H122" s="5">
        <v>0.0512</v>
      </c>
      <c r="I122" s="5">
        <v>1.77</v>
      </c>
      <c r="J122" s="5">
        <v>5938.35</v>
      </c>
      <c r="K122" s="5">
        <v>196.0</v>
      </c>
      <c r="L122" s="5">
        <v>30.3</v>
      </c>
      <c r="M122" s="5">
        <v>57936.29</v>
      </c>
      <c r="N122" s="5">
        <v>9.76</v>
      </c>
      <c r="O122" s="6">
        <f t="shared" si="1"/>
        <v>30.29770408</v>
      </c>
      <c r="P122" s="6" t="str">
        <f t="shared" si="2"/>
        <v>Post-Shift</v>
      </c>
      <c r="Q122" s="3">
        <f t="shared" si="3"/>
        <v>37</v>
      </c>
    </row>
    <row r="123">
      <c r="A123" s="4">
        <v>45388.0</v>
      </c>
      <c r="B123" s="2" t="s">
        <v>18</v>
      </c>
      <c r="C123" s="2" t="s">
        <v>27</v>
      </c>
      <c r="D123" s="2" t="s">
        <v>29</v>
      </c>
      <c r="E123" s="2" t="s">
        <v>30</v>
      </c>
      <c r="F123" s="5">
        <v>33141.0</v>
      </c>
      <c r="G123" s="5">
        <v>798.0</v>
      </c>
      <c r="H123" s="5">
        <v>0.0241</v>
      </c>
      <c r="I123" s="5">
        <v>3.29</v>
      </c>
      <c r="J123" s="5">
        <v>2625.42</v>
      </c>
      <c r="K123" s="5">
        <v>42.0</v>
      </c>
      <c r="L123" s="5">
        <v>62.51</v>
      </c>
      <c r="M123" s="5">
        <v>7236.65</v>
      </c>
      <c r="N123" s="5">
        <v>2.76</v>
      </c>
      <c r="O123" s="6">
        <f t="shared" si="1"/>
        <v>62.51</v>
      </c>
      <c r="P123" s="6" t="str">
        <f t="shared" si="2"/>
        <v>Baseline</v>
      </c>
      <c r="Q123" s="3">
        <f t="shared" si="3"/>
        <v>23</v>
      </c>
    </row>
    <row r="124">
      <c r="A124" s="4">
        <v>45542.0</v>
      </c>
      <c r="B124" s="2" t="s">
        <v>38</v>
      </c>
      <c r="C124" s="2" t="s">
        <v>27</v>
      </c>
      <c r="D124" s="2" t="s">
        <v>29</v>
      </c>
      <c r="E124" s="2" t="s">
        <v>33</v>
      </c>
      <c r="F124" s="5">
        <v>76229.0</v>
      </c>
      <c r="G124" s="5">
        <v>1562.0</v>
      </c>
      <c r="H124" s="5">
        <v>0.0205</v>
      </c>
      <c r="I124" s="5">
        <v>1.01</v>
      </c>
      <c r="J124" s="5">
        <v>1577.62</v>
      </c>
      <c r="K124" s="5">
        <v>30.0</v>
      </c>
      <c r="L124" s="5">
        <v>52.59</v>
      </c>
      <c r="M124" s="5">
        <v>4290.5</v>
      </c>
      <c r="N124" s="5">
        <v>2.72</v>
      </c>
      <c r="O124" s="6">
        <f t="shared" si="1"/>
        <v>52.58733333</v>
      </c>
      <c r="P124" s="6" t="str">
        <f t="shared" si="2"/>
        <v>Post-Shift</v>
      </c>
      <c r="Q124" s="3">
        <f t="shared" si="3"/>
        <v>28</v>
      </c>
    </row>
    <row r="125">
      <c r="A125" s="4">
        <v>45546.0</v>
      </c>
      <c r="B125" s="2" t="s">
        <v>23</v>
      </c>
      <c r="C125" s="2" t="s">
        <v>19</v>
      </c>
      <c r="D125" s="2" t="s">
        <v>32</v>
      </c>
      <c r="E125" s="2" t="s">
        <v>58</v>
      </c>
      <c r="F125" s="5">
        <v>141614.0</v>
      </c>
      <c r="G125" s="5">
        <v>10677.0</v>
      </c>
      <c r="H125" s="5">
        <v>0.0754</v>
      </c>
      <c r="I125" s="5">
        <v>0.35</v>
      </c>
      <c r="J125" s="5">
        <v>3736.95</v>
      </c>
      <c r="K125" s="5">
        <v>305.0</v>
      </c>
      <c r="L125" s="5">
        <v>12.25</v>
      </c>
      <c r="M125" s="5">
        <v>62355.52</v>
      </c>
      <c r="N125" s="5">
        <v>16.69</v>
      </c>
      <c r="O125" s="6">
        <f t="shared" si="1"/>
        <v>12.25229508</v>
      </c>
      <c r="P125" s="6" t="str">
        <f t="shared" si="2"/>
        <v>Post-Shift</v>
      </c>
      <c r="Q125" s="3">
        <f t="shared" si="3"/>
        <v>45</v>
      </c>
    </row>
    <row r="126">
      <c r="A126" s="4" t="s">
        <v>94</v>
      </c>
      <c r="B126" s="2" t="s">
        <v>38</v>
      </c>
      <c r="C126" s="2" t="s">
        <v>31</v>
      </c>
      <c r="D126" s="2" t="s">
        <v>29</v>
      </c>
      <c r="E126" s="2" t="s">
        <v>25</v>
      </c>
      <c r="F126" s="5">
        <v>161193.0</v>
      </c>
      <c r="G126" s="5">
        <v>4916.0</v>
      </c>
      <c r="H126" s="5">
        <v>0.0305</v>
      </c>
      <c r="I126" s="5">
        <v>1.37</v>
      </c>
      <c r="J126" s="5">
        <v>6734.92</v>
      </c>
      <c r="K126" s="5">
        <v>377.0</v>
      </c>
      <c r="L126" s="5">
        <v>17.86</v>
      </c>
      <c r="M126" s="5">
        <v>91408.9</v>
      </c>
      <c r="N126" s="5">
        <v>13.57</v>
      </c>
      <c r="O126" s="6">
        <f t="shared" si="1"/>
        <v>17.86450928</v>
      </c>
      <c r="P126" s="6" t="str">
        <f t="shared" si="2"/>
        <v>Post-Shift</v>
      </c>
      <c r="Q126" s="3">
        <f t="shared" si="3"/>
        <v>29</v>
      </c>
    </row>
    <row r="127">
      <c r="A127" s="4" t="s">
        <v>111</v>
      </c>
      <c r="B127" s="2" t="s">
        <v>18</v>
      </c>
      <c r="C127" s="2" t="s">
        <v>19</v>
      </c>
      <c r="D127" s="2" t="s">
        <v>32</v>
      </c>
      <c r="E127" s="2" t="s">
        <v>33</v>
      </c>
      <c r="F127" s="5">
        <v>142244.0</v>
      </c>
      <c r="G127" s="5">
        <v>4935.0</v>
      </c>
      <c r="H127" s="5">
        <v>0.0347</v>
      </c>
      <c r="I127" s="5">
        <v>2.98</v>
      </c>
      <c r="J127" s="5">
        <v>14706.3</v>
      </c>
      <c r="K127" s="5">
        <v>127.0</v>
      </c>
      <c r="L127" s="5">
        <v>115.8</v>
      </c>
      <c r="M127" s="5">
        <v>34307.21</v>
      </c>
      <c r="N127" s="5">
        <v>2.33</v>
      </c>
      <c r="O127" s="6">
        <f t="shared" si="1"/>
        <v>115.7976378</v>
      </c>
      <c r="P127" s="6" t="str">
        <f t="shared" si="2"/>
        <v>Post-Shift</v>
      </c>
      <c r="Q127" s="3">
        <f t="shared" si="3"/>
        <v>7</v>
      </c>
    </row>
    <row r="128">
      <c r="A128" s="4" t="s">
        <v>112</v>
      </c>
      <c r="B128" s="2" t="s">
        <v>38</v>
      </c>
      <c r="C128" s="2" t="s">
        <v>19</v>
      </c>
      <c r="D128" s="2" t="s">
        <v>20</v>
      </c>
      <c r="E128" s="2" t="s">
        <v>21</v>
      </c>
      <c r="F128" s="5">
        <v>178063.0</v>
      </c>
      <c r="G128" s="5">
        <v>1851.0</v>
      </c>
      <c r="H128" s="5">
        <v>0.0104</v>
      </c>
      <c r="I128" s="5">
        <v>0.45</v>
      </c>
      <c r="J128" s="5">
        <v>832.95</v>
      </c>
      <c r="K128" s="5">
        <v>64.0</v>
      </c>
      <c r="L128" s="5">
        <v>13.01</v>
      </c>
      <c r="M128" s="5">
        <v>7044.13</v>
      </c>
      <c r="N128" s="5">
        <v>8.46</v>
      </c>
      <c r="O128" s="6">
        <f t="shared" si="1"/>
        <v>13.01484375</v>
      </c>
      <c r="P128" s="6" t="str">
        <f t="shared" si="2"/>
        <v>Post-Shift</v>
      </c>
      <c r="Q128" s="3">
        <f t="shared" si="3"/>
        <v>13</v>
      </c>
    </row>
    <row r="129">
      <c r="A129" s="4" t="s">
        <v>113</v>
      </c>
      <c r="B129" s="2" t="s">
        <v>18</v>
      </c>
      <c r="C129" s="2" t="s">
        <v>27</v>
      </c>
      <c r="D129" s="2" t="s">
        <v>20</v>
      </c>
      <c r="E129" s="2" t="s">
        <v>58</v>
      </c>
      <c r="F129" s="5">
        <v>193978.0</v>
      </c>
      <c r="G129" s="5">
        <v>5780.0</v>
      </c>
      <c r="H129" s="5">
        <v>0.0298</v>
      </c>
      <c r="I129" s="5">
        <v>1.73</v>
      </c>
      <c r="J129" s="5">
        <v>9999.4</v>
      </c>
      <c r="K129" s="5">
        <v>177.0</v>
      </c>
      <c r="L129" s="5">
        <v>56.49</v>
      </c>
      <c r="M129" s="5">
        <v>42071.17</v>
      </c>
      <c r="N129" s="5">
        <v>4.21</v>
      </c>
      <c r="O129" s="6">
        <f t="shared" si="1"/>
        <v>56.49378531</v>
      </c>
      <c r="P129" s="6" t="str">
        <f t="shared" si="2"/>
        <v>Post-Shift</v>
      </c>
      <c r="Q129" s="3">
        <f t="shared" si="3"/>
        <v>5</v>
      </c>
    </row>
    <row r="130">
      <c r="A130" s="4" t="s">
        <v>114</v>
      </c>
      <c r="B130" s="2" t="s">
        <v>38</v>
      </c>
      <c r="C130" s="2" t="s">
        <v>41</v>
      </c>
      <c r="D130" s="2" t="s">
        <v>32</v>
      </c>
      <c r="E130" s="2" t="s">
        <v>36</v>
      </c>
      <c r="F130" s="5">
        <v>187051.0</v>
      </c>
      <c r="G130" s="5">
        <v>6284.0</v>
      </c>
      <c r="H130" s="5">
        <v>0.0336</v>
      </c>
      <c r="I130" s="5">
        <v>2.01</v>
      </c>
      <c r="J130" s="5">
        <v>12630.84</v>
      </c>
      <c r="K130" s="5">
        <v>493.0</v>
      </c>
      <c r="L130" s="5">
        <v>25.62</v>
      </c>
      <c r="M130" s="5">
        <v>94906.46</v>
      </c>
      <c r="N130" s="5">
        <v>7.51</v>
      </c>
      <c r="O130" s="6">
        <f t="shared" si="1"/>
        <v>25.62036511</v>
      </c>
      <c r="P130" s="6" t="str">
        <f t="shared" si="2"/>
        <v>Post-Shift</v>
      </c>
      <c r="Q130" s="3">
        <f t="shared" si="3"/>
        <v>8</v>
      </c>
    </row>
    <row r="131">
      <c r="A131" s="4">
        <v>45597.0</v>
      </c>
      <c r="B131" s="2" t="s">
        <v>38</v>
      </c>
      <c r="C131" s="2" t="s">
        <v>27</v>
      </c>
      <c r="D131" s="2" t="s">
        <v>24</v>
      </c>
      <c r="E131" s="2" t="s">
        <v>25</v>
      </c>
      <c r="F131" s="5">
        <v>152977.0</v>
      </c>
      <c r="G131" s="5">
        <v>5491.0</v>
      </c>
      <c r="H131" s="5">
        <v>0.0359</v>
      </c>
      <c r="I131" s="5">
        <v>1.35</v>
      </c>
      <c r="J131" s="5">
        <v>7412.85</v>
      </c>
      <c r="K131" s="5">
        <v>147.0</v>
      </c>
      <c r="L131" s="5">
        <v>50.43</v>
      </c>
      <c r="M131" s="5">
        <v>9232.39</v>
      </c>
      <c r="N131" s="5">
        <v>1.25</v>
      </c>
      <c r="O131" s="6">
        <f t="shared" si="1"/>
        <v>50.42755102</v>
      </c>
      <c r="P131" s="6" t="str">
        <f t="shared" si="2"/>
        <v>Post-Shift</v>
      </c>
      <c r="Q131" s="3">
        <f t="shared" si="3"/>
        <v>2</v>
      </c>
    </row>
    <row r="132">
      <c r="A132" s="4">
        <v>45296.0</v>
      </c>
      <c r="B132" s="2" t="s">
        <v>18</v>
      </c>
      <c r="C132" s="2" t="s">
        <v>41</v>
      </c>
      <c r="D132" s="2" t="s">
        <v>45</v>
      </c>
      <c r="E132" s="2" t="s">
        <v>21</v>
      </c>
      <c r="F132" s="5">
        <v>129447.0</v>
      </c>
      <c r="G132" s="5">
        <v>4310.0</v>
      </c>
      <c r="H132" s="5">
        <v>0.0333</v>
      </c>
      <c r="I132" s="5">
        <v>2.7</v>
      </c>
      <c r="J132" s="5">
        <v>11637.0</v>
      </c>
      <c r="K132" s="5">
        <v>211.0</v>
      </c>
      <c r="L132" s="5">
        <v>55.15</v>
      </c>
      <c r="M132" s="5">
        <v>16618.47</v>
      </c>
      <c r="N132" s="5">
        <v>1.43</v>
      </c>
      <c r="O132" s="6">
        <f t="shared" si="1"/>
        <v>55.15165877</v>
      </c>
      <c r="P132" s="6" t="str">
        <f t="shared" si="2"/>
        <v>Baseline</v>
      </c>
      <c r="Q132" s="3">
        <f t="shared" si="3"/>
        <v>18</v>
      </c>
    </row>
    <row r="133">
      <c r="A133" s="4" t="s">
        <v>22</v>
      </c>
      <c r="B133" s="2" t="s">
        <v>18</v>
      </c>
      <c r="C133" s="2" t="s">
        <v>31</v>
      </c>
      <c r="D133" s="2" t="s">
        <v>20</v>
      </c>
      <c r="E133" s="2" t="s">
        <v>30</v>
      </c>
      <c r="F133" s="5">
        <v>28387.0</v>
      </c>
      <c r="G133" s="5">
        <v>672.0</v>
      </c>
      <c r="H133" s="5">
        <v>0.0237</v>
      </c>
      <c r="I133" s="5">
        <v>3.32</v>
      </c>
      <c r="J133" s="5">
        <v>2231.04</v>
      </c>
      <c r="K133" s="5">
        <v>41.0</v>
      </c>
      <c r="L133" s="5">
        <v>54.42</v>
      </c>
      <c r="M133" s="5">
        <v>7232.57</v>
      </c>
      <c r="N133" s="5">
        <v>3.24</v>
      </c>
      <c r="O133" s="6">
        <f t="shared" si="1"/>
        <v>54.41560976</v>
      </c>
      <c r="P133" s="6" t="str">
        <f t="shared" si="2"/>
        <v>Post-Shift</v>
      </c>
      <c r="Q133" s="3">
        <f t="shared" si="3"/>
        <v>4</v>
      </c>
    </row>
    <row r="134">
      <c r="A134" s="4" t="s">
        <v>70</v>
      </c>
      <c r="B134" s="2" t="s">
        <v>38</v>
      </c>
      <c r="C134" s="2" t="s">
        <v>31</v>
      </c>
      <c r="D134" s="2" t="s">
        <v>20</v>
      </c>
      <c r="E134" s="2" t="s">
        <v>58</v>
      </c>
      <c r="F134" s="5">
        <v>88986.0</v>
      </c>
      <c r="G134" s="5">
        <v>1308.0</v>
      </c>
      <c r="H134" s="5">
        <v>0.0147</v>
      </c>
      <c r="I134" s="5">
        <v>0.75</v>
      </c>
      <c r="J134" s="5">
        <v>981.0</v>
      </c>
      <c r="K134" s="5">
        <v>80.0</v>
      </c>
      <c r="L134" s="5">
        <v>12.26</v>
      </c>
      <c r="M134" s="5">
        <v>21439.34</v>
      </c>
      <c r="N134" s="5">
        <v>21.85</v>
      </c>
      <c r="O134" s="6">
        <f t="shared" si="1"/>
        <v>12.2625</v>
      </c>
      <c r="P134" s="6" t="str">
        <f t="shared" si="2"/>
        <v>Post-Shift</v>
      </c>
      <c r="Q134" s="3">
        <f t="shared" si="3"/>
        <v>17</v>
      </c>
    </row>
    <row r="135">
      <c r="A135" s="4">
        <v>45566.0</v>
      </c>
      <c r="B135" s="2" t="s">
        <v>18</v>
      </c>
      <c r="C135" s="2" t="s">
        <v>27</v>
      </c>
      <c r="D135" s="2" t="s">
        <v>32</v>
      </c>
      <c r="E135" s="2" t="s">
        <v>25</v>
      </c>
      <c r="F135" s="5">
        <v>170268.0</v>
      </c>
      <c r="G135" s="5">
        <v>7917.0</v>
      </c>
      <c r="H135" s="5">
        <v>0.0465</v>
      </c>
      <c r="I135" s="5">
        <v>3.14</v>
      </c>
      <c r="J135" s="5">
        <v>24859.38</v>
      </c>
      <c r="K135" s="5">
        <v>98.0</v>
      </c>
      <c r="L135" s="5">
        <v>253.67</v>
      </c>
      <c r="M135" s="5">
        <v>22672.12</v>
      </c>
      <c r="N135" s="5">
        <v>0.91</v>
      </c>
      <c r="O135" s="6">
        <f t="shared" si="1"/>
        <v>253.6671429</v>
      </c>
      <c r="P135" s="6" t="str">
        <f t="shared" si="2"/>
        <v>Post-Shift</v>
      </c>
      <c r="Q135" s="3">
        <f t="shared" si="3"/>
        <v>2</v>
      </c>
    </row>
    <row r="136">
      <c r="A136" s="4" t="s">
        <v>115</v>
      </c>
      <c r="B136" s="2" t="s">
        <v>18</v>
      </c>
      <c r="C136" s="2" t="s">
        <v>41</v>
      </c>
      <c r="D136" s="2" t="s">
        <v>29</v>
      </c>
      <c r="E136" s="2" t="s">
        <v>30</v>
      </c>
      <c r="F136" s="5">
        <v>122322.0</v>
      </c>
      <c r="G136" s="5">
        <v>6152.0</v>
      </c>
      <c r="H136" s="5">
        <v>0.0503</v>
      </c>
      <c r="I136" s="5">
        <v>1.23</v>
      </c>
      <c r="J136" s="5">
        <v>7566.96</v>
      </c>
      <c r="K136" s="5">
        <v>155.0</v>
      </c>
      <c r="L136" s="5">
        <v>48.82</v>
      </c>
      <c r="M136" s="5">
        <v>10417.89</v>
      </c>
      <c r="N136" s="5">
        <v>1.38</v>
      </c>
      <c r="O136" s="6">
        <f t="shared" si="1"/>
        <v>48.81909677</v>
      </c>
      <c r="P136" s="6" t="str">
        <f t="shared" si="2"/>
        <v>Post-Shift</v>
      </c>
      <c r="Q136" s="3">
        <f t="shared" si="3"/>
        <v>3</v>
      </c>
    </row>
    <row r="137">
      <c r="A137" s="4">
        <v>45475.0</v>
      </c>
      <c r="B137" s="2" t="s">
        <v>38</v>
      </c>
      <c r="C137" s="2" t="s">
        <v>41</v>
      </c>
      <c r="D137" s="2" t="s">
        <v>29</v>
      </c>
      <c r="E137" s="2" t="s">
        <v>25</v>
      </c>
      <c r="F137" s="5">
        <v>69429.0</v>
      </c>
      <c r="G137" s="5">
        <v>2430.0</v>
      </c>
      <c r="H137" s="5">
        <v>0.035</v>
      </c>
      <c r="I137" s="5">
        <v>1.59</v>
      </c>
      <c r="J137" s="5">
        <v>3863.7</v>
      </c>
      <c r="K137" s="5">
        <v>119.0</v>
      </c>
      <c r="L137" s="5">
        <v>32.47</v>
      </c>
      <c r="M137" s="5">
        <v>21584.01</v>
      </c>
      <c r="N137" s="5">
        <v>5.59</v>
      </c>
      <c r="O137" s="6">
        <f t="shared" si="1"/>
        <v>32.46806723</v>
      </c>
      <c r="P137" s="6" t="str">
        <f t="shared" si="2"/>
        <v>Post-Shift</v>
      </c>
      <c r="Q137" s="3">
        <f t="shared" si="3"/>
        <v>6</v>
      </c>
    </row>
    <row r="138">
      <c r="A138" s="4">
        <v>45479.0</v>
      </c>
      <c r="B138" s="2" t="s">
        <v>38</v>
      </c>
      <c r="C138" s="2" t="s">
        <v>41</v>
      </c>
      <c r="D138" s="2" t="s">
        <v>32</v>
      </c>
      <c r="E138" s="2" t="s">
        <v>36</v>
      </c>
      <c r="F138" s="5">
        <v>196675.0</v>
      </c>
      <c r="G138" s="5">
        <v>4031.0</v>
      </c>
      <c r="H138" s="5">
        <v>0.0205</v>
      </c>
      <c r="I138" s="5">
        <v>1.97</v>
      </c>
      <c r="J138" s="5">
        <v>7941.07</v>
      </c>
      <c r="K138" s="5">
        <v>186.0</v>
      </c>
      <c r="L138" s="5">
        <v>42.69</v>
      </c>
      <c r="M138" s="5">
        <v>27686.79</v>
      </c>
      <c r="N138" s="5">
        <v>3.49</v>
      </c>
      <c r="O138" s="6">
        <f t="shared" si="1"/>
        <v>42.69392473</v>
      </c>
      <c r="P138" s="6" t="str">
        <f t="shared" si="2"/>
        <v>Post-Shift</v>
      </c>
      <c r="Q138" s="3">
        <f t="shared" si="3"/>
        <v>23</v>
      </c>
    </row>
    <row r="139">
      <c r="A139" s="4" t="s">
        <v>116</v>
      </c>
      <c r="B139" s="2" t="s">
        <v>18</v>
      </c>
      <c r="C139" s="2" t="s">
        <v>27</v>
      </c>
      <c r="D139" s="2" t="s">
        <v>45</v>
      </c>
      <c r="E139" s="2" t="s">
        <v>58</v>
      </c>
      <c r="F139" s="5">
        <v>104134.0</v>
      </c>
      <c r="G139" s="5">
        <v>3603.0</v>
      </c>
      <c r="H139" s="5">
        <v>0.0346</v>
      </c>
      <c r="I139" s="5">
        <v>3.46</v>
      </c>
      <c r="J139" s="5">
        <v>12466.38</v>
      </c>
      <c r="K139" s="5">
        <v>234.0</v>
      </c>
      <c r="L139" s="5">
        <v>53.28</v>
      </c>
      <c r="M139" s="5">
        <v>14496.48</v>
      </c>
      <c r="N139" s="5">
        <v>1.16</v>
      </c>
      <c r="O139" s="6">
        <f t="shared" si="1"/>
        <v>53.27512821</v>
      </c>
      <c r="P139" s="6" t="str">
        <f t="shared" si="2"/>
        <v>Post-Shift</v>
      </c>
      <c r="Q139" s="3">
        <f t="shared" si="3"/>
        <v>21</v>
      </c>
    </row>
    <row r="140">
      <c r="A140" s="4" t="s">
        <v>117</v>
      </c>
      <c r="B140" s="2" t="s">
        <v>38</v>
      </c>
      <c r="C140" s="2" t="s">
        <v>41</v>
      </c>
      <c r="D140" s="2" t="s">
        <v>24</v>
      </c>
      <c r="E140" s="2" t="s">
        <v>36</v>
      </c>
      <c r="F140" s="5">
        <v>150544.0</v>
      </c>
      <c r="G140" s="5">
        <v>2890.0</v>
      </c>
      <c r="H140" s="5">
        <v>0.0192</v>
      </c>
      <c r="I140" s="5">
        <v>1.7</v>
      </c>
      <c r="J140" s="5">
        <v>4913.0</v>
      </c>
      <c r="K140" s="5">
        <v>170.0</v>
      </c>
      <c r="L140" s="5">
        <v>28.9</v>
      </c>
      <c r="M140" s="5">
        <v>47769.42</v>
      </c>
      <c r="N140" s="5">
        <v>9.72</v>
      </c>
      <c r="O140" s="6">
        <f t="shared" si="1"/>
        <v>28.9</v>
      </c>
      <c r="P140" s="6" t="str">
        <f t="shared" si="2"/>
        <v>Post-Shift</v>
      </c>
      <c r="Q140" s="3">
        <f t="shared" si="3"/>
        <v>52</v>
      </c>
    </row>
    <row r="141">
      <c r="A141" s="4" t="s">
        <v>118</v>
      </c>
      <c r="B141" s="2" t="s">
        <v>23</v>
      </c>
      <c r="C141" s="2" t="s">
        <v>27</v>
      </c>
      <c r="D141" s="2" t="s">
        <v>32</v>
      </c>
      <c r="E141" s="2" t="s">
        <v>36</v>
      </c>
      <c r="F141" s="5">
        <v>75553.0</v>
      </c>
      <c r="G141" s="5">
        <v>3331.0</v>
      </c>
      <c r="H141" s="5">
        <v>0.0441</v>
      </c>
      <c r="I141" s="5">
        <v>0.44</v>
      </c>
      <c r="J141" s="5">
        <v>1465.64</v>
      </c>
      <c r="K141" s="5">
        <v>203.0</v>
      </c>
      <c r="L141" s="5">
        <v>7.22</v>
      </c>
      <c r="M141" s="5">
        <v>33301.04</v>
      </c>
      <c r="N141" s="5">
        <v>22.72</v>
      </c>
      <c r="O141" s="6">
        <f t="shared" si="1"/>
        <v>7.219901478</v>
      </c>
      <c r="P141" s="6" t="str">
        <f t="shared" si="2"/>
        <v>Post-Shift</v>
      </c>
      <c r="Q141" s="3">
        <f t="shared" si="3"/>
        <v>44</v>
      </c>
    </row>
    <row r="142">
      <c r="A142" s="4" t="s">
        <v>119</v>
      </c>
      <c r="B142" s="2" t="s">
        <v>38</v>
      </c>
      <c r="C142" s="2" t="s">
        <v>19</v>
      </c>
      <c r="D142" s="2" t="s">
        <v>24</v>
      </c>
      <c r="E142" s="2" t="s">
        <v>56</v>
      </c>
      <c r="F142" s="5">
        <v>149565.0</v>
      </c>
      <c r="G142" s="5">
        <v>2437.0</v>
      </c>
      <c r="H142" s="5">
        <v>0.0163</v>
      </c>
      <c r="I142" s="5">
        <v>0.37</v>
      </c>
      <c r="J142" s="5">
        <v>901.69</v>
      </c>
      <c r="K142" s="5">
        <v>30.0</v>
      </c>
      <c r="L142" s="5">
        <v>30.06</v>
      </c>
      <c r="M142" s="5">
        <v>3133.33</v>
      </c>
      <c r="N142" s="5">
        <v>3.47</v>
      </c>
      <c r="O142" s="6">
        <f t="shared" si="1"/>
        <v>30.05633333</v>
      </c>
      <c r="P142" s="6" t="str">
        <f t="shared" si="2"/>
        <v>Post-Shift</v>
      </c>
      <c r="Q142" s="3">
        <f t="shared" si="3"/>
        <v>43</v>
      </c>
    </row>
    <row r="143">
      <c r="A143" s="4" t="s">
        <v>98</v>
      </c>
      <c r="B143" s="2" t="s">
        <v>18</v>
      </c>
      <c r="C143" s="2" t="s">
        <v>41</v>
      </c>
      <c r="D143" s="2" t="s">
        <v>32</v>
      </c>
      <c r="E143" s="2" t="s">
        <v>56</v>
      </c>
      <c r="F143" s="5">
        <v>12896.0</v>
      </c>
      <c r="G143" s="5">
        <v>535.0</v>
      </c>
      <c r="H143" s="5">
        <v>0.0415</v>
      </c>
      <c r="I143" s="5">
        <v>0.98</v>
      </c>
      <c r="J143" s="5">
        <v>524.3</v>
      </c>
      <c r="K143" s="5">
        <v>20.0</v>
      </c>
      <c r="L143" s="5">
        <v>26.21</v>
      </c>
      <c r="M143" s="5">
        <v>2475.65</v>
      </c>
      <c r="N143" s="5">
        <v>4.72</v>
      </c>
      <c r="O143" s="6">
        <f t="shared" si="1"/>
        <v>26.215</v>
      </c>
      <c r="P143" s="6" t="str">
        <f t="shared" si="2"/>
        <v>Post-Shift</v>
      </c>
      <c r="Q143" s="3">
        <f t="shared" si="3"/>
        <v>16</v>
      </c>
    </row>
    <row r="144">
      <c r="A144" s="4" t="s">
        <v>120</v>
      </c>
      <c r="B144" s="2" t="s">
        <v>23</v>
      </c>
      <c r="C144" s="2" t="s">
        <v>41</v>
      </c>
      <c r="D144" s="2" t="s">
        <v>20</v>
      </c>
      <c r="E144" s="2" t="s">
        <v>33</v>
      </c>
      <c r="F144" s="5">
        <v>70428.0</v>
      </c>
      <c r="G144" s="5">
        <v>3310.0</v>
      </c>
      <c r="H144" s="5">
        <v>0.047</v>
      </c>
      <c r="I144" s="5">
        <v>1.17</v>
      </c>
      <c r="J144" s="5">
        <v>3872.7</v>
      </c>
      <c r="K144" s="5">
        <v>164.0</v>
      </c>
      <c r="L144" s="5">
        <v>23.61</v>
      </c>
      <c r="M144" s="5">
        <v>25462.93</v>
      </c>
      <c r="N144" s="5">
        <v>6.57</v>
      </c>
      <c r="O144" s="6">
        <f t="shared" si="1"/>
        <v>23.61402439</v>
      </c>
      <c r="P144" s="6" t="str">
        <f t="shared" si="2"/>
        <v>Post-Shift</v>
      </c>
      <c r="Q144" s="3">
        <f t="shared" si="3"/>
        <v>21</v>
      </c>
    </row>
    <row r="145">
      <c r="A145" s="4">
        <v>45541.0</v>
      </c>
      <c r="B145" s="2" t="s">
        <v>23</v>
      </c>
      <c r="C145" s="2" t="s">
        <v>31</v>
      </c>
      <c r="D145" s="2" t="s">
        <v>24</v>
      </c>
      <c r="E145" s="2" t="s">
        <v>30</v>
      </c>
      <c r="F145" s="5">
        <v>12345.0</v>
      </c>
      <c r="G145" s="5">
        <v>456.0</v>
      </c>
      <c r="H145" s="5">
        <v>0.037</v>
      </c>
      <c r="I145" s="5">
        <v>0.62</v>
      </c>
      <c r="J145" s="5">
        <v>282.72</v>
      </c>
      <c r="K145" s="5">
        <v>21.0</v>
      </c>
      <c r="L145" s="5">
        <v>13.46</v>
      </c>
      <c r="M145" s="5">
        <v>5118.94</v>
      </c>
      <c r="N145" s="5">
        <v>18.11</v>
      </c>
      <c r="O145" s="6">
        <f t="shared" si="1"/>
        <v>13.46285714</v>
      </c>
      <c r="P145" s="6" t="str">
        <f t="shared" si="2"/>
        <v>Post-Shift</v>
      </c>
      <c r="Q145" s="3">
        <f t="shared" si="3"/>
        <v>24</v>
      </c>
    </row>
    <row r="146">
      <c r="A146" s="4" t="s">
        <v>121</v>
      </c>
      <c r="B146" s="2" t="s">
        <v>38</v>
      </c>
      <c r="C146" s="2" t="s">
        <v>41</v>
      </c>
      <c r="D146" s="2" t="s">
        <v>32</v>
      </c>
      <c r="E146" s="2" t="s">
        <v>30</v>
      </c>
      <c r="F146" s="5">
        <v>18140.0</v>
      </c>
      <c r="G146" s="5">
        <v>455.0</v>
      </c>
      <c r="H146" s="5">
        <v>0.0251</v>
      </c>
      <c r="I146" s="5">
        <v>1.15</v>
      </c>
      <c r="J146" s="5">
        <v>523.25</v>
      </c>
      <c r="K146" s="5">
        <v>29.0</v>
      </c>
      <c r="L146" s="5">
        <v>18.04</v>
      </c>
      <c r="M146" s="5">
        <v>1746.46</v>
      </c>
      <c r="N146" s="5">
        <v>3.34</v>
      </c>
      <c r="O146" s="6">
        <f t="shared" si="1"/>
        <v>18.04310345</v>
      </c>
      <c r="P146" s="6" t="str">
        <f t="shared" si="2"/>
        <v>Post-Shift</v>
      </c>
      <c r="Q146" s="3">
        <f t="shared" si="3"/>
        <v>48</v>
      </c>
    </row>
    <row r="147">
      <c r="A147" s="4" t="s">
        <v>114</v>
      </c>
      <c r="B147" s="2" t="s">
        <v>18</v>
      </c>
      <c r="C147" s="2" t="s">
        <v>27</v>
      </c>
      <c r="D147" s="2" t="s">
        <v>20</v>
      </c>
      <c r="E147" s="2" t="s">
        <v>58</v>
      </c>
      <c r="F147" s="5">
        <v>42823.0</v>
      </c>
      <c r="G147" s="5">
        <v>1588.0</v>
      </c>
      <c r="H147" s="5">
        <v>0.0371</v>
      </c>
      <c r="I147" s="5">
        <v>2.97</v>
      </c>
      <c r="J147" s="5">
        <v>4716.36</v>
      </c>
      <c r="K147" s="5">
        <v>33.0</v>
      </c>
      <c r="L147" s="5">
        <v>142.92</v>
      </c>
      <c r="M147" s="5">
        <v>3266.45</v>
      </c>
      <c r="N147" s="5">
        <v>0.69</v>
      </c>
      <c r="O147" s="6">
        <f t="shared" si="1"/>
        <v>142.92</v>
      </c>
      <c r="P147" s="6" t="str">
        <f t="shared" si="2"/>
        <v>Post-Shift</v>
      </c>
      <c r="Q147" s="3">
        <f t="shared" si="3"/>
        <v>8</v>
      </c>
    </row>
    <row r="148">
      <c r="A148" s="4" t="s">
        <v>122</v>
      </c>
      <c r="B148" s="2" t="s">
        <v>23</v>
      </c>
      <c r="C148" s="2" t="s">
        <v>31</v>
      </c>
      <c r="D148" s="2" t="s">
        <v>32</v>
      </c>
      <c r="E148" s="2" t="s">
        <v>33</v>
      </c>
      <c r="F148" s="5">
        <v>34118.0</v>
      </c>
      <c r="G148" s="5">
        <v>1470.0</v>
      </c>
      <c r="H148" s="5">
        <v>0.0431</v>
      </c>
      <c r="I148" s="5">
        <v>0.85</v>
      </c>
      <c r="J148" s="5">
        <v>1249.5</v>
      </c>
      <c r="K148" s="5">
        <v>55.0</v>
      </c>
      <c r="L148" s="5">
        <v>22.72</v>
      </c>
      <c r="M148" s="5">
        <v>3037.11</v>
      </c>
      <c r="N148" s="5">
        <v>2.43</v>
      </c>
      <c r="O148" s="6">
        <f t="shared" si="1"/>
        <v>22.71818182</v>
      </c>
      <c r="P148" s="6" t="str">
        <f t="shared" si="2"/>
        <v>Post-Shift</v>
      </c>
      <c r="Q148" s="3">
        <f t="shared" si="3"/>
        <v>4</v>
      </c>
    </row>
    <row r="149">
      <c r="A149" s="4">
        <v>45505.0</v>
      </c>
      <c r="B149" s="2" t="s">
        <v>38</v>
      </c>
      <c r="C149" s="2" t="s">
        <v>27</v>
      </c>
      <c r="D149" s="2" t="s">
        <v>24</v>
      </c>
      <c r="E149" s="2" t="s">
        <v>25</v>
      </c>
      <c r="F149" s="5">
        <v>127775.0</v>
      </c>
      <c r="G149" s="5">
        <v>3871.0</v>
      </c>
      <c r="H149" s="5">
        <v>0.0303</v>
      </c>
      <c r="I149" s="5">
        <v>0.76</v>
      </c>
      <c r="J149" s="5">
        <v>2941.96</v>
      </c>
      <c r="K149" s="5">
        <v>159.0</v>
      </c>
      <c r="L149" s="5">
        <v>18.5</v>
      </c>
      <c r="M149" s="5">
        <v>28717.22</v>
      </c>
      <c r="N149" s="5">
        <v>9.76</v>
      </c>
      <c r="O149" s="6">
        <f t="shared" si="1"/>
        <v>18.50289308</v>
      </c>
      <c r="P149" s="6" t="str">
        <f t="shared" si="2"/>
        <v>Post-Shift</v>
      </c>
      <c r="Q149" s="3">
        <f t="shared" si="3"/>
        <v>2</v>
      </c>
    </row>
    <row r="150">
      <c r="A150" s="4" t="s">
        <v>123</v>
      </c>
      <c r="B150" s="2" t="s">
        <v>18</v>
      </c>
      <c r="C150" s="2" t="s">
        <v>31</v>
      </c>
      <c r="D150" s="2" t="s">
        <v>20</v>
      </c>
      <c r="E150" s="2" t="s">
        <v>21</v>
      </c>
      <c r="F150" s="5">
        <v>136354.0</v>
      </c>
      <c r="G150" s="5">
        <v>3736.0</v>
      </c>
      <c r="H150" s="5">
        <v>0.0274</v>
      </c>
      <c r="I150" s="5">
        <v>1.16</v>
      </c>
      <c r="J150" s="5">
        <v>4333.76</v>
      </c>
      <c r="K150" s="5">
        <v>152.0</v>
      </c>
      <c r="L150" s="5">
        <v>28.51</v>
      </c>
      <c r="M150" s="5">
        <v>29811.83</v>
      </c>
      <c r="N150" s="5">
        <v>6.88</v>
      </c>
      <c r="O150" s="6">
        <f t="shared" si="1"/>
        <v>28.51157895</v>
      </c>
      <c r="P150" s="6" t="str">
        <f t="shared" si="2"/>
        <v>Post-Shift</v>
      </c>
      <c r="Q150" s="3">
        <f t="shared" si="3"/>
        <v>38</v>
      </c>
    </row>
    <row r="151">
      <c r="A151" s="4" t="s">
        <v>118</v>
      </c>
      <c r="B151" s="2" t="s">
        <v>18</v>
      </c>
      <c r="C151" s="2" t="s">
        <v>31</v>
      </c>
      <c r="D151" s="2" t="s">
        <v>45</v>
      </c>
      <c r="E151" s="2" t="s">
        <v>33</v>
      </c>
      <c r="F151" s="5">
        <v>115454.0</v>
      </c>
      <c r="G151" s="5">
        <v>7227.0</v>
      </c>
      <c r="H151" s="5">
        <v>0.0626</v>
      </c>
      <c r="I151" s="5">
        <v>2.46</v>
      </c>
      <c r="J151" s="5">
        <v>17778.42</v>
      </c>
      <c r="K151" s="5">
        <v>154.0</v>
      </c>
      <c r="L151" s="5">
        <v>115.44</v>
      </c>
      <c r="M151" s="5">
        <v>5144.22</v>
      </c>
      <c r="N151" s="5">
        <v>0.29</v>
      </c>
      <c r="O151" s="6">
        <f t="shared" si="1"/>
        <v>115.4442857</v>
      </c>
      <c r="P151" s="6" t="str">
        <f t="shared" si="2"/>
        <v>Post-Shift</v>
      </c>
      <c r="Q151" s="3">
        <f t="shared" si="3"/>
        <v>44</v>
      </c>
    </row>
    <row r="152">
      <c r="A152" s="4">
        <v>45328.0</v>
      </c>
      <c r="B152" s="2" t="s">
        <v>38</v>
      </c>
      <c r="C152" s="2" t="s">
        <v>19</v>
      </c>
      <c r="D152" s="2" t="s">
        <v>24</v>
      </c>
      <c r="E152" s="2" t="s">
        <v>30</v>
      </c>
      <c r="F152" s="5">
        <v>37994.0</v>
      </c>
      <c r="G152" s="5">
        <v>1379.0</v>
      </c>
      <c r="H152" s="5">
        <v>0.0363</v>
      </c>
      <c r="I152" s="5">
        <v>1.06</v>
      </c>
      <c r="J152" s="5">
        <v>1461.74</v>
      </c>
      <c r="K152" s="5">
        <v>58.0</v>
      </c>
      <c r="L152" s="5">
        <v>25.2</v>
      </c>
      <c r="M152" s="5">
        <v>7343.12</v>
      </c>
      <c r="N152" s="5">
        <v>5.02</v>
      </c>
      <c r="O152" s="6">
        <f t="shared" si="1"/>
        <v>25.20241379</v>
      </c>
      <c r="P152" s="6" t="str">
        <f t="shared" si="2"/>
        <v>Baseline</v>
      </c>
      <c r="Q152" s="3">
        <f t="shared" si="3"/>
        <v>23</v>
      </c>
    </row>
    <row r="153">
      <c r="A153" s="4">
        <v>45636.0</v>
      </c>
      <c r="B153" s="2" t="s">
        <v>38</v>
      </c>
      <c r="C153" s="2" t="s">
        <v>27</v>
      </c>
      <c r="D153" s="2" t="s">
        <v>24</v>
      </c>
      <c r="E153" s="2" t="s">
        <v>33</v>
      </c>
      <c r="F153" s="5">
        <v>74615.0</v>
      </c>
      <c r="G153" s="5">
        <v>2327.0</v>
      </c>
      <c r="H153" s="5">
        <v>0.0312</v>
      </c>
      <c r="I153" s="5">
        <v>1.1</v>
      </c>
      <c r="J153" s="5">
        <v>2559.7</v>
      </c>
      <c r="K153" s="5">
        <v>129.0</v>
      </c>
      <c r="L153" s="5">
        <v>19.84</v>
      </c>
      <c r="M153" s="5">
        <v>25496.94</v>
      </c>
      <c r="N153" s="5">
        <v>9.96</v>
      </c>
      <c r="O153" s="6">
        <f t="shared" si="1"/>
        <v>19.84263566</v>
      </c>
      <c r="P153" s="6" t="str">
        <f t="shared" si="2"/>
        <v>Post-Shift</v>
      </c>
      <c r="Q153" s="3">
        <f t="shared" si="3"/>
        <v>41</v>
      </c>
    </row>
    <row r="154">
      <c r="A154" s="4" t="s">
        <v>105</v>
      </c>
      <c r="B154" s="2" t="s">
        <v>18</v>
      </c>
      <c r="C154" s="2" t="s">
        <v>19</v>
      </c>
      <c r="D154" s="2" t="s">
        <v>24</v>
      </c>
      <c r="E154" s="2" t="s">
        <v>36</v>
      </c>
      <c r="F154" s="5">
        <v>176790.0</v>
      </c>
      <c r="G154" s="5">
        <v>4490.0</v>
      </c>
      <c r="H154" s="5">
        <v>0.0254</v>
      </c>
      <c r="I154" s="5">
        <v>1.49</v>
      </c>
      <c r="J154" s="5">
        <v>6690.1</v>
      </c>
      <c r="K154" s="5">
        <v>250.0</v>
      </c>
      <c r="L154" s="5">
        <v>26.76</v>
      </c>
      <c r="M154" s="5">
        <v>74442.63</v>
      </c>
      <c r="N154" s="5">
        <v>11.13</v>
      </c>
      <c r="O154" s="6">
        <f t="shared" si="1"/>
        <v>26.7604</v>
      </c>
      <c r="P154" s="6" t="str">
        <f t="shared" si="2"/>
        <v>Post-Shift</v>
      </c>
      <c r="Q154" s="3">
        <f t="shared" si="3"/>
        <v>51</v>
      </c>
    </row>
    <row r="155">
      <c r="A155" s="4" t="s">
        <v>124</v>
      </c>
      <c r="B155" s="2" t="s">
        <v>18</v>
      </c>
      <c r="C155" s="2" t="s">
        <v>31</v>
      </c>
      <c r="D155" s="2" t="s">
        <v>20</v>
      </c>
      <c r="E155" s="2" t="s">
        <v>33</v>
      </c>
      <c r="F155" s="5">
        <v>60077.0</v>
      </c>
      <c r="G155" s="5">
        <v>1994.0</v>
      </c>
      <c r="H155" s="5">
        <v>0.0332</v>
      </c>
      <c r="I155" s="5">
        <v>3.11</v>
      </c>
      <c r="J155" s="5">
        <v>6201.34</v>
      </c>
      <c r="K155" s="5">
        <v>28.0</v>
      </c>
      <c r="L155" s="5">
        <v>221.48</v>
      </c>
      <c r="M155" s="5">
        <v>7635.29</v>
      </c>
      <c r="N155" s="5">
        <v>1.23</v>
      </c>
      <c r="O155" s="6">
        <f t="shared" si="1"/>
        <v>221.4764286</v>
      </c>
      <c r="P155" s="6" t="str">
        <f t="shared" si="2"/>
        <v>Post-Shift</v>
      </c>
      <c r="Q155" s="3">
        <f t="shared" si="3"/>
        <v>44</v>
      </c>
    </row>
    <row r="156">
      <c r="A156" s="4" t="s">
        <v>125</v>
      </c>
      <c r="B156" s="2" t="s">
        <v>38</v>
      </c>
      <c r="C156" s="2" t="s">
        <v>41</v>
      </c>
      <c r="D156" s="2" t="s">
        <v>20</v>
      </c>
      <c r="E156" s="2" t="s">
        <v>36</v>
      </c>
      <c r="F156" s="5">
        <v>151295.0</v>
      </c>
      <c r="G156" s="5">
        <v>2163.0</v>
      </c>
      <c r="H156" s="5">
        <v>0.0143</v>
      </c>
      <c r="I156" s="5">
        <v>1.58</v>
      </c>
      <c r="J156" s="5">
        <v>3417.54</v>
      </c>
      <c r="K156" s="5">
        <v>85.0</v>
      </c>
      <c r="L156" s="5">
        <v>40.21</v>
      </c>
      <c r="M156" s="5">
        <v>3173.67</v>
      </c>
      <c r="N156" s="5">
        <v>0.93</v>
      </c>
      <c r="O156" s="6">
        <f t="shared" si="1"/>
        <v>40.20635294</v>
      </c>
      <c r="P156" s="6" t="str">
        <f t="shared" si="2"/>
        <v>Post-Shift</v>
      </c>
      <c r="Q156" s="3">
        <f t="shared" si="3"/>
        <v>14</v>
      </c>
    </row>
    <row r="157">
      <c r="A157" s="4" t="s">
        <v>126</v>
      </c>
      <c r="B157" s="2" t="s">
        <v>23</v>
      </c>
      <c r="C157" s="2" t="s">
        <v>41</v>
      </c>
      <c r="D157" s="2" t="s">
        <v>45</v>
      </c>
      <c r="E157" s="2" t="s">
        <v>36</v>
      </c>
      <c r="F157" s="5">
        <v>20282.0</v>
      </c>
      <c r="G157" s="5">
        <v>1740.0</v>
      </c>
      <c r="H157" s="5">
        <v>0.0858</v>
      </c>
      <c r="I157" s="5">
        <v>1.25</v>
      </c>
      <c r="J157" s="5">
        <v>2175.0</v>
      </c>
      <c r="K157" s="5">
        <v>94.0</v>
      </c>
      <c r="L157" s="5">
        <v>23.14</v>
      </c>
      <c r="M157" s="5">
        <v>14237.0</v>
      </c>
      <c r="N157" s="5">
        <v>6.55</v>
      </c>
      <c r="O157" s="6">
        <f t="shared" si="1"/>
        <v>23.13829787</v>
      </c>
      <c r="P157" s="6" t="str">
        <f t="shared" si="2"/>
        <v>Post-Shift</v>
      </c>
      <c r="Q157" s="3">
        <f t="shared" si="3"/>
        <v>16</v>
      </c>
    </row>
    <row r="158">
      <c r="A158" s="4">
        <v>45636.0</v>
      </c>
      <c r="B158" s="2" t="s">
        <v>18</v>
      </c>
      <c r="C158" s="2" t="s">
        <v>19</v>
      </c>
      <c r="D158" s="2" t="s">
        <v>29</v>
      </c>
      <c r="E158" s="2" t="s">
        <v>33</v>
      </c>
      <c r="F158" s="5">
        <v>185488.0</v>
      </c>
      <c r="G158" s="5">
        <v>3950.0</v>
      </c>
      <c r="H158" s="5">
        <v>0.0213</v>
      </c>
      <c r="I158" s="5">
        <v>1.39</v>
      </c>
      <c r="J158" s="5">
        <v>5490.5</v>
      </c>
      <c r="K158" s="5">
        <v>289.0</v>
      </c>
      <c r="L158" s="5">
        <v>19.0</v>
      </c>
      <c r="M158" s="5">
        <v>75172.15</v>
      </c>
      <c r="N158" s="5">
        <v>13.69</v>
      </c>
      <c r="O158" s="6">
        <f t="shared" si="1"/>
        <v>18.9982699</v>
      </c>
      <c r="P158" s="6" t="str">
        <f t="shared" si="2"/>
        <v>Post-Shift</v>
      </c>
      <c r="Q158" s="3">
        <f t="shared" si="3"/>
        <v>41</v>
      </c>
    </row>
    <row r="159">
      <c r="A159" s="4">
        <v>45605.0</v>
      </c>
      <c r="B159" s="2" t="s">
        <v>38</v>
      </c>
      <c r="C159" s="2" t="s">
        <v>41</v>
      </c>
      <c r="D159" s="2" t="s">
        <v>45</v>
      </c>
      <c r="E159" s="2" t="s">
        <v>58</v>
      </c>
      <c r="F159" s="5">
        <v>28567.0</v>
      </c>
      <c r="G159" s="5">
        <v>999.0</v>
      </c>
      <c r="H159" s="5">
        <v>0.035</v>
      </c>
      <c r="I159" s="5">
        <v>1.69</v>
      </c>
      <c r="J159" s="5">
        <v>1688.31</v>
      </c>
      <c r="K159" s="5">
        <v>68.0</v>
      </c>
      <c r="L159" s="5">
        <v>24.83</v>
      </c>
      <c r="M159" s="5">
        <v>13037.25</v>
      </c>
      <c r="N159" s="5">
        <v>7.72</v>
      </c>
      <c r="O159" s="6">
        <f t="shared" si="1"/>
        <v>24.82808824</v>
      </c>
      <c r="P159" s="6" t="str">
        <f t="shared" si="2"/>
        <v>Post-Shift</v>
      </c>
      <c r="Q159" s="3">
        <f t="shared" si="3"/>
        <v>37</v>
      </c>
    </row>
    <row r="160">
      <c r="A160" s="4" t="s">
        <v>104</v>
      </c>
      <c r="B160" s="2" t="s">
        <v>18</v>
      </c>
      <c r="C160" s="2" t="s">
        <v>19</v>
      </c>
      <c r="D160" s="2" t="s">
        <v>45</v>
      </c>
      <c r="E160" s="2" t="s">
        <v>21</v>
      </c>
      <c r="F160" s="5">
        <v>96170.0</v>
      </c>
      <c r="G160" s="5">
        <v>5145.0</v>
      </c>
      <c r="H160" s="5">
        <v>0.0535</v>
      </c>
      <c r="I160" s="5">
        <v>2.12</v>
      </c>
      <c r="J160" s="5">
        <v>10907.4</v>
      </c>
      <c r="K160" s="5">
        <v>268.0</v>
      </c>
      <c r="L160" s="5">
        <v>40.7</v>
      </c>
      <c r="M160" s="5">
        <v>72622.99</v>
      </c>
      <c r="N160" s="5">
        <v>6.66</v>
      </c>
      <c r="O160" s="6">
        <f t="shared" si="1"/>
        <v>40.69925373</v>
      </c>
      <c r="P160" s="6" t="str">
        <f t="shared" si="2"/>
        <v>Post-Shift</v>
      </c>
      <c r="Q160" s="3">
        <f t="shared" si="3"/>
        <v>47</v>
      </c>
    </row>
    <row r="161">
      <c r="A161" s="4">
        <v>45475.0</v>
      </c>
      <c r="B161" s="2" t="s">
        <v>38</v>
      </c>
      <c r="C161" s="2" t="s">
        <v>31</v>
      </c>
      <c r="D161" s="2" t="s">
        <v>29</v>
      </c>
      <c r="E161" s="2" t="s">
        <v>36</v>
      </c>
      <c r="F161" s="5">
        <v>101019.0</v>
      </c>
      <c r="G161" s="5">
        <v>2515.0</v>
      </c>
      <c r="H161" s="5">
        <v>0.0249</v>
      </c>
      <c r="I161" s="5">
        <v>1.69</v>
      </c>
      <c r="J161" s="5">
        <v>4250.35</v>
      </c>
      <c r="K161" s="5">
        <v>72.0</v>
      </c>
      <c r="L161" s="5">
        <v>59.03</v>
      </c>
      <c r="M161" s="5">
        <v>11353.12</v>
      </c>
      <c r="N161" s="5">
        <v>2.67</v>
      </c>
      <c r="O161" s="6">
        <f t="shared" si="1"/>
        <v>59.03263889</v>
      </c>
      <c r="P161" s="6" t="str">
        <f t="shared" si="2"/>
        <v>Post-Shift</v>
      </c>
      <c r="Q161" s="3">
        <f t="shared" si="3"/>
        <v>6</v>
      </c>
    </row>
    <row r="162">
      <c r="A162" s="4">
        <v>45294.0</v>
      </c>
      <c r="B162" s="2" t="s">
        <v>23</v>
      </c>
      <c r="C162" s="2" t="s">
        <v>31</v>
      </c>
      <c r="D162" s="2" t="s">
        <v>45</v>
      </c>
      <c r="E162" s="2" t="s">
        <v>25</v>
      </c>
      <c r="F162" s="5">
        <v>91795.0</v>
      </c>
      <c r="G162" s="5">
        <v>3800.0</v>
      </c>
      <c r="H162" s="5">
        <v>0.0414</v>
      </c>
      <c r="I162" s="5">
        <v>1.22</v>
      </c>
      <c r="J162" s="5">
        <v>4636.0</v>
      </c>
      <c r="K162" s="5">
        <v>157.0</v>
      </c>
      <c r="L162" s="5">
        <v>29.53</v>
      </c>
      <c r="M162" s="5">
        <v>24815.09</v>
      </c>
      <c r="N162" s="5">
        <v>5.35</v>
      </c>
      <c r="O162" s="6">
        <f t="shared" si="1"/>
        <v>29.52866242</v>
      </c>
      <c r="P162" s="6" t="str">
        <f t="shared" si="2"/>
        <v>Baseline</v>
      </c>
      <c r="Q162" s="3">
        <f t="shared" si="3"/>
        <v>9</v>
      </c>
    </row>
    <row r="163">
      <c r="A163" s="4">
        <v>45511.0</v>
      </c>
      <c r="B163" s="2" t="s">
        <v>38</v>
      </c>
      <c r="C163" s="2" t="s">
        <v>19</v>
      </c>
      <c r="D163" s="2" t="s">
        <v>45</v>
      </c>
      <c r="E163" s="2" t="s">
        <v>56</v>
      </c>
      <c r="F163" s="5">
        <v>22543.0</v>
      </c>
      <c r="G163" s="5">
        <v>333.0</v>
      </c>
      <c r="H163" s="5">
        <v>0.0148</v>
      </c>
      <c r="I163" s="5">
        <v>1.49</v>
      </c>
      <c r="J163" s="5">
        <v>496.17</v>
      </c>
      <c r="K163" s="5">
        <v>12.0</v>
      </c>
      <c r="L163" s="5">
        <v>41.35</v>
      </c>
      <c r="M163" s="5">
        <v>642.18</v>
      </c>
      <c r="N163" s="5">
        <v>1.29</v>
      </c>
      <c r="O163" s="6">
        <f t="shared" si="1"/>
        <v>41.3475</v>
      </c>
      <c r="P163" s="6" t="str">
        <f t="shared" si="2"/>
        <v>Post-Shift</v>
      </c>
      <c r="Q163" s="3">
        <f t="shared" si="3"/>
        <v>28</v>
      </c>
    </row>
    <row r="164">
      <c r="A164" s="4" t="s">
        <v>89</v>
      </c>
      <c r="B164" s="2" t="s">
        <v>38</v>
      </c>
      <c r="C164" s="2" t="s">
        <v>31</v>
      </c>
      <c r="D164" s="2" t="s">
        <v>29</v>
      </c>
      <c r="E164" s="2" t="s">
        <v>36</v>
      </c>
      <c r="F164" s="5">
        <v>119598.0</v>
      </c>
      <c r="G164" s="5">
        <v>1064.0</v>
      </c>
      <c r="H164" s="5">
        <v>0.0089</v>
      </c>
      <c r="I164" s="5">
        <v>2.0</v>
      </c>
      <c r="J164" s="5">
        <v>2128.0</v>
      </c>
      <c r="K164" s="5">
        <v>64.0</v>
      </c>
      <c r="L164" s="5">
        <v>33.25</v>
      </c>
      <c r="M164" s="5">
        <v>17165.43</v>
      </c>
      <c r="N164" s="5">
        <v>8.07</v>
      </c>
      <c r="O164" s="6">
        <f t="shared" si="1"/>
        <v>33.25</v>
      </c>
      <c r="P164" s="6" t="str">
        <f t="shared" si="2"/>
        <v>Post-Shift</v>
      </c>
      <c r="Q164" s="3">
        <f t="shared" si="3"/>
        <v>9</v>
      </c>
    </row>
    <row r="165">
      <c r="A165" s="4" t="s">
        <v>127</v>
      </c>
      <c r="B165" s="2" t="s">
        <v>38</v>
      </c>
      <c r="C165" s="2" t="s">
        <v>19</v>
      </c>
      <c r="D165" s="2" t="s">
        <v>24</v>
      </c>
      <c r="E165" s="2" t="s">
        <v>21</v>
      </c>
      <c r="F165" s="5">
        <v>158504.0</v>
      </c>
      <c r="G165" s="5">
        <v>4897.0</v>
      </c>
      <c r="H165" s="5">
        <v>0.0309</v>
      </c>
      <c r="I165" s="5">
        <v>0.43</v>
      </c>
      <c r="J165" s="5">
        <v>2105.71</v>
      </c>
      <c r="K165" s="5">
        <v>255.0</v>
      </c>
      <c r="L165" s="5">
        <v>8.26</v>
      </c>
      <c r="M165" s="5">
        <v>54921.72</v>
      </c>
      <c r="N165" s="5">
        <v>26.08</v>
      </c>
      <c r="O165" s="6">
        <f t="shared" si="1"/>
        <v>8.257686275</v>
      </c>
      <c r="P165" s="6" t="str">
        <f t="shared" si="2"/>
        <v>Post-Shift</v>
      </c>
      <c r="Q165" s="3">
        <f t="shared" si="3"/>
        <v>35</v>
      </c>
    </row>
    <row r="166">
      <c r="A166" s="4" t="s">
        <v>128</v>
      </c>
      <c r="B166" s="2" t="s">
        <v>18</v>
      </c>
      <c r="C166" s="2" t="s">
        <v>41</v>
      </c>
      <c r="D166" s="2" t="s">
        <v>45</v>
      </c>
      <c r="E166" s="2" t="s">
        <v>58</v>
      </c>
      <c r="F166" s="5">
        <v>39542.0</v>
      </c>
      <c r="G166" s="5">
        <v>1209.0</v>
      </c>
      <c r="H166" s="5">
        <v>0.0306</v>
      </c>
      <c r="I166" s="5">
        <v>1.85</v>
      </c>
      <c r="J166" s="5">
        <v>2236.65</v>
      </c>
      <c r="K166" s="5">
        <v>42.0</v>
      </c>
      <c r="L166" s="5">
        <v>53.25</v>
      </c>
      <c r="M166" s="5">
        <v>7992.11</v>
      </c>
      <c r="N166" s="5">
        <v>3.57</v>
      </c>
      <c r="O166" s="6">
        <f t="shared" si="1"/>
        <v>53.25357143</v>
      </c>
      <c r="P166" s="6" t="str">
        <f t="shared" si="2"/>
        <v>Post-Shift</v>
      </c>
      <c r="Q166" s="3">
        <f t="shared" si="3"/>
        <v>12</v>
      </c>
    </row>
    <row r="167">
      <c r="A167" s="4" t="s">
        <v>129</v>
      </c>
      <c r="B167" s="2" t="s">
        <v>18</v>
      </c>
      <c r="C167" s="2" t="s">
        <v>41</v>
      </c>
      <c r="D167" s="2" t="s">
        <v>20</v>
      </c>
      <c r="E167" s="2" t="s">
        <v>56</v>
      </c>
      <c r="F167" s="5">
        <v>110848.0</v>
      </c>
      <c r="G167" s="5">
        <v>3181.0</v>
      </c>
      <c r="H167" s="5">
        <v>0.0287</v>
      </c>
      <c r="I167" s="5">
        <v>2.45</v>
      </c>
      <c r="J167" s="5">
        <v>7793.45</v>
      </c>
      <c r="K167" s="5">
        <v>186.0</v>
      </c>
      <c r="L167" s="5">
        <v>41.9</v>
      </c>
      <c r="M167" s="5">
        <v>32321.78</v>
      </c>
      <c r="N167" s="5">
        <v>4.15</v>
      </c>
      <c r="O167" s="6">
        <f t="shared" si="1"/>
        <v>41.90026882</v>
      </c>
      <c r="P167" s="6" t="str">
        <f t="shared" si="2"/>
        <v>Post-Shift</v>
      </c>
      <c r="Q167" s="3">
        <f t="shared" si="3"/>
        <v>29</v>
      </c>
    </row>
    <row r="168">
      <c r="A168" s="4" t="s">
        <v>130</v>
      </c>
      <c r="B168" s="2" t="s">
        <v>38</v>
      </c>
      <c r="C168" s="2" t="s">
        <v>27</v>
      </c>
      <c r="D168" s="2" t="s">
        <v>29</v>
      </c>
      <c r="E168" s="2" t="s">
        <v>58</v>
      </c>
      <c r="F168" s="5">
        <v>79964.0</v>
      </c>
      <c r="G168" s="5">
        <v>1487.0</v>
      </c>
      <c r="H168" s="5">
        <v>0.0186</v>
      </c>
      <c r="I168" s="5">
        <v>1.07</v>
      </c>
      <c r="J168" s="5">
        <v>1591.09</v>
      </c>
      <c r="K168" s="5">
        <v>22.0</v>
      </c>
      <c r="L168" s="5">
        <v>72.32</v>
      </c>
      <c r="M168" s="5">
        <v>3882.65</v>
      </c>
      <c r="N168" s="5">
        <v>2.44</v>
      </c>
      <c r="O168" s="6">
        <f t="shared" si="1"/>
        <v>72.32227273</v>
      </c>
      <c r="P168" s="6" t="str">
        <f t="shared" si="2"/>
        <v>Post-Shift</v>
      </c>
      <c r="Q168" s="3">
        <f t="shared" si="3"/>
        <v>52</v>
      </c>
    </row>
    <row r="169">
      <c r="A169" s="4" t="s">
        <v>131</v>
      </c>
      <c r="B169" s="2" t="s">
        <v>23</v>
      </c>
      <c r="C169" s="2" t="s">
        <v>41</v>
      </c>
      <c r="D169" s="2" t="s">
        <v>24</v>
      </c>
      <c r="E169" s="2" t="s">
        <v>33</v>
      </c>
      <c r="F169" s="5">
        <v>105127.0</v>
      </c>
      <c r="G169" s="5">
        <v>7747.0</v>
      </c>
      <c r="H169" s="5">
        <v>0.0737</v>
      </c>
      <c r="I169" s="5">
        <v>0.88</v>
      </c>
      <c r="J169" s="5">
        <v>6817.36</v>
      </c>
      <c r="K169" s="5">
        <v>460.0</v>
      </c>
      <c r="L169" s="5">
        <v>14.82</v>
      </c>
      <c r="M169" s="5">
        <v>99299.9</v>
      </c>
      <c r="N169" s="5">
        <v>14.57</v>
      </c>
      <c r="O169" s="6">
        <f t="shared" si="1"/>
        <v>14.82034783</v>
      </c>
      <c r="P169" s="6" t="str">
        <f t="shared" si="2"/>
        <v>Post-Shift</v>
      </c>
      <c r="Q169" s="3">
        <f t="shared" si="3"/>
        <v>51</v>
      </c>
    </row>
    <row r="170">
      <c r="A170" s="4">
        <v>45474.0</v>
      </c>
      <c r="B170" s="2" t="s">
        <v>18</v>
      </c>
      <c r="C170" s="2" t="s">
        <v>31</v>
      </c>
      <c r="D170" s="2" t="s">
        <v>24</v>
      </c>
      <c r="E170" s="2" t="s">
        <v>21</v>
      </c>
      <c r="F170" s="5">
        <v>73803.0</v>
      </c>
      <c r="G170" s="5">
        <v>1505.0</v>
      </c>
      <c r="H170" s="5">
        <v>0.0204</v>
      </c>
      <c r="I170" s="5">
        <v>2.12</v>
      </c>
      <c r="J170" s="5">
        <v>3190.6</v>
      </c>
      <c r="K170" s="5">
        <v>98.0</v>
      </c>
      <c r="L170" s="5">
        <v>32.56</v>
      </c>
      <c r="M170" s="5">
        <v>18709.86</v>
      </c>
      <c r="N170" s="5">
        <v>5.86</v>
      </c>
      <c r="O170" s="6">
        <f t="shared" si="1"/>
        <v>32.55714286</v>
      </c>
      <c r="P170" s="6" t="str">
        <f t="shared" si="2"/>
        <v>Post-Shift</v>
      </c>
      <c r="Q170" s="3">
        <f t="shared" si="3"/>
        <v>2</v>
      </c>
    </row>
    <row r="171">
      <c r="A171" s="4" t="s">
        <v>91</v>
      </c>
      <c r="B171" s="2" t="s">
        <v>18</v>
      </c>
      <c r="C171" s="2" t="s">
        <v>31</v>
      </c>
      <c r="D171" s="2" t="s">
        <v>29</v>
      </c>
      <c r="E171" s="2" t="s">
        <v>25</v>
      </c>
      <c r="F171" s="5">
        <v>96575.0</v>
      </c>
      <c r="G171" s="5">
        <v>4925.0</v>
      </c>
      <c r="H171" s="5">
        <v>0.051</v>
      </c>
      <c r="I171" s="5">
        <v>2.4</v>
      </c>
      <c r="J171" s="5">
        <v>11820.0</v>
      </c>
      <c r="K171" s="5">
        <v>181.0</v>
      </c>
      <c r="L171" s="5">
        <v>65.3</v>
      </c>
      <c r="M171" s="5">
        <v>7335.74</v>
      </c>
      <c r="N171" s="5">
        <v>0.62</v>
      </c>
      <c r="O171" s="6">
        <f t="shared" si="1"/>
        <v>65.3038674</v>
      </c>
      <c r="P171" s="6" t="str">
        <f t="shared" si="2"/>
        <v>Post-Shift</v>
      </c>
      <c r="Q171" s="3">
        <f t="shared" si="3"/>
        <v>26</v>
      </c>
    </row>
    <row r="172">
      <c r="A172" s="4" t="s">
        <v>74</v>
      </c>
      <c r="B172" s="2" t="s">
        <v>18</v>
      </c>
      <c r="C172" s="2" t="s">
        <v>31</v>
      </c>
      <c r="D172" s="2" t="s">
        <v>20</v>
      </c>
      <c r="E172" s="2" t="s">
        <v>25</v>
      </c>
      <c r="F172" s="5">
        <v>162489.0</v>
      </c>
      <c r="G172" s="5">
        <v>4500.0</v>
      </c>
      <c r="H172" s="5">
        <v>0.0277</v>
      </c>
      <c r="I172" s="5">
        <v>3.03</v>
      </c>
      <c r="J172" s="5">
        <v>13635.0</v>
      </c>
      <c r="K172" s="5">
        <v>184.0</v>
      </c>
      <c r="L172" s="5">
        <v>74.1</v>
      </c>
      <c r="M172" s="5">
        <v>54944.54</v>
      </c>
      <c r="N172" s="5">
        <v>4.03</v>
      </c>
      <c r="O172" s="6">
        <f t="shared" si="1"/>
        <v>74.10326087</v>
      </c>
      <c r="P172" s="6" t="str">
        <f t="shared" si="2"/>
        <v>Post-Shift</v>
      </c>
      <c r="Q172" s="3">
        <f t="shared" si="3"/>
        <v>8</v>
      </c>
    </row>
    <row r="173">
      <c r="A173" s="4">
        <v>45417.0</v>
      </c>
      <c r="B173" s="2" t="s">
        <v>38</v>
      </c>
      <c r="C173" s="2" t="s">
        <v>19</v>
      </c>
      <c r="D173" s="2" t="s">
        <v>29</v>
      </c>
      <c r="E173" s="2" t="s">
        <v>36</v>
      </c>
      <c r="F173" s="5">
        <v>76155.0</v>
      </c>
      <c r="G173" s="5">
        <v>3548.0</v>
      </c>
      <c r="H173" s="5">
        <v>0.0466</v>
      </c>
      <c r="I173" s="5">
        <v>1.25</v>
      </c>
      <c r="J173" s="5">
        <v>4435.0</v>
      </c>
      <c r="K173" s="5">
        <v>243.0</v>
      </c>
      <c r="L173" s="5">
        <v>18.25</v>
      </c>
      <c r="M173" s="5">
        <v>30659.34</v>
      </c>
      <c r="N173" s="5">
        <v>6.91</v>
      </c>
      <c r="O173" s="6">
        <f t="shared" si="1"/>
        <v>18.25102881</v>
      </c>
      <c r="P173" s="6" t="str">
        <f t="shared" si="2"/>
        <v>Baseline</v>
      </c>
      <c r="Q173" s="3">
        <f t="shared" si="3"/>
        <v>19</v>
      </c>
    </row>
    <row r="174">
      <c r="A174" s="4">
        <v>45455.0</v>
      </c>
      <c r="B174" s="2" t="s">
        <v>23</v>
      </c>
      <c r="C174" s="2" t="s">
        <v>19</v>
      </c>
      <c r="D174" s="2" t="s">
        <v>20</v>
      </c>
      <c r="E174" s="2" t="s">
        <v>25</v>
      </c>
      <c r="F174" s="5">
        <v>180021.0</v>
      </c>
      <c r="G174" s="5">
        <v>13105.0</v>
      </c>
      <c r="H174" s="5">
        <v>0.0728</v>
      </c>
      <c r="I174" s="5">
        <v>1.61</v>
      </c>
      <c r="J174" s="5">
        <v>21099.05</v>
      </c>
      <c r="K174" s="5">
        <v>880.0</v>
      </c>
      <c r="L174" s="5">
        <v>23.98</v>
      </c>
      <c r="M174" s="5">
        <v>75656.62</v>
      </c>
      <c r="N174" s="5">
        <v>3.59</v>
      </c>
      <c r="O174" s="6">
        <f t="shared" si="1"/>
        <v>23.97619318</v>
      </c>
      <c r="P174" s="6" t="str">
        <f t="shared" si="2"/>
        <v>Baseline</v>
      </c>
      <c r="Q174" s="3">
        <f t="shared" si="3"/>
        <v>49</v>
      </c>
    </row>
    <row r="175">
      <c r="A175" s="4" t="s">
        <v>132</v>
      </c>
      <c r="B175" s="2" t="s">
        <v>23</v>
      </c>
      <c r="C175" s="2" t="s">
        <v>27</v>
      </c>
      <c r="D175" s="2" t="s">
        <v>24</v>
      </c>
      <c r="E175" s="2" t="s">
        <v>25</v>
      </c>
      <c r="F175" s="5">
        <v>79965.0</v>
      </c>
      <c r="G175" s="5">
        <v>3070.0</v>
      </c>
      <c r="H175" s="5">
        <v>0.0384</v>
      </c>
      <c r="I175" s="5">
        <v>1.02</v>
      </c>
      <c r="J175" s="5">
        <v>3131.4</v>
      </c>
      <c r="K175" s="5">
        <v>237.0</v>
      </c>
      <c r="L175" s="5">
        <v>13.21</v>
      </c>
      <c r="M175" s="5">
        <v>65306.0</v>
      </c>
      <c r="N175" s="5">
        <v>20.86</v>
      </c>
      <c r="O175" s="6">
        <f t="shared" si="1"/>
        <v>13.21265823</v>
      </c>
      <c r="P175" s="6" t="str">
        <f t="shared" si="2"/>
        <v>Post-Shift</v>
      </c>
      <c r="Q175" s="3">
        <f t="shared" si="3"/>
        <v>15</v>
      </c>
    </row>
    <row r="176">
      <c r="A176" s="4" t="s">
        <v>81</v>
      </c>
      <c r="B176" s="2" t="s">
        <v>38</v>
      </c>
      <c r="C176" s="2" t="s">
        <v>19</v>
      </c>
      <c r="D176" s="2" t="s">
        <v>24</v>
      </c>
      <c r="E176" s="2" t="s">
        <v>56</v>
      </c>
      <c r="F176" s="5">
        <v>49789.0</v>
      </c>
      <c r="G176" s="5">
        <v>622.0</v>
      </c>
      <c r="H176" s="5">
        <v>0.0125</v>
      </c>
      <c r="I176" s="5">
        <v>2.08</v>
      </c>
      <c r="J176" s="5">
        <v>1293.76</v>
      </c>
      <c r="K176" s="5">
        <v>48.0</v>
      </c>
      <c r="L176" s="5">
        <v>26.95</v>
      </c>
      <c r="M176" s="5">
        <v>7704.96</v>
      </c>
      <c r="N176" s="5">
        <v>5.96</v>
      </c>
      <c r="O176" s="6">
        <f t="shared" si="1"/>
        <v>26.95333333</v>
      </c>
      <c r="P176" s="6" t="str">
        <f t="shared" si="2"/>
        <v>Post-Shift</v>
      </c>
      <c r="Q176" s="3">
        <f t="shared" si="3"/>
        <v>22</v>
      </c>
    </row>
    <row r="177">
      <c r="A177" s="4">
        <v>45600.0</v>
      </c>
      <c r="B177" s="2" t="s">
        <v>23</v>
      </c>
      <c r="C177" s="2" t="s">
        <v>27</v>
      </c>
      <c r="D177" s="2" t="s">
        <v>32</v>
      </c>
      <c r="E177" s="2" t="s">
        <v>33</v>
      </c>
      <c r="F177" s="5">
        <v>195026.0</v>
      </c>
      <c r="G177" s="5">
        <v>9653.0</v>
      </c>
      <c r="H177" s="5">
        <v>0.0495</v>
      </c>
      <c r="I177" s="5">
        <v>1.83</v>
      </c>
      <c r="J177" s="5">
        <v>17664.99</v>
      </c>
      <c r="K177" s="5">
        <v>371.0</v>
      </c>
      <c r="L177" s="5">
        <v>47.61</v>
      </c>
      <c r="M177" s="5">
        <v>94022.57</v>
      </c>
      <c r="N177" s="5">
        <v>5.32</v>
      </c>
      <c r="O177" s="6">
        <f t="shared" si="1"/>
        <v>47.6145283</v>
      </c>
      <c r="P177" s="6" t="str">
        <f t="shared" si="2"/>
        <v>Post-Shift</v>
      </c>
      <c r="Q177" s="3">
        <f t="shared" si="3"/>
        <v>15</v>
      </c>
    </row>
    <row r="178">
      <c r="A178" s="4" t="s">
        <v>111</v>
      </c>
      <c r="B178" s="2" t="s">
        <v>23</v>
      </c>
      <c r="C178" s="2" t="s">
        <v>31</v>
      </c>
      <c r="D178" s="2" t="s">
        <v>29</v>
      </c>
      <c r="E178" s="2" t="s">
        <v>36</v>
      </c>
      <c r="F178" s="5">
        <v>130438.0</v>
      </c>
      <c r="G178" s="5">
        <v>7721.0</v>
      </c>
      <c r="H178" s="5">
        <v>0.0592</v>
      </c>
      <c r="I178" s="5">
        <v>1.6</v>
      </c>
      <c r="J178" s="5">
        <v>12353.6</v>
      </c>
      <c r="K178" s="5">
        <v>353.0</v>
      </c>
      <c r="L178" s="5">
        <v>35.0</v>
      </c>
      <c r="M178" s="5">
        <v>70310.53</v>
      </c>
      <c r="N178" s="5">
        <v>5.69</v>
      </c>
      <c r="O178" s="6">
        <f t="shared" si="1"/>
        <v>34.99603399</v>
      </c>
      <c r="P178" s="6" t="str">
        <f t="shared" si="2"/>
        <v>Post-Shift</v>
      </c>
      <c r="Q178" s="3">
        <f t="shared" si="3"/>
        <v>7</v>
      </c>
    </row>
    <row r="179">
      <c r="A179" s="4" t="s">
        <v>57</v>
      </c>
      <c r="B179" s="2" t="s">
        <v>23</v>
      </c>
      <c r="C179" s="2" t="s">
        <v>31</v>
      </c>
      <c r="D179" s="2" t="s">
        <v>32</v>
      </c>
      <c r="E179" s="2" t="s">
        <v>56</v>
      </c>
      <c r="F179" s="5">
        <v>141917.0</v>
      </c>
      <c r="G179" s="5">
        <v>4796.0</v>
      </c>
      <c r="H179" s="5">
        <v>0.0338</v>
      </c>
      <c r="I179" s="5">
        <v>0.66</v>
      </c>
      <c r="J179" s="5">
        <v>3165.36</v>
      </c>
      <c r="K179" s="5">
        <v>369.0</v>
      </c>
      <c r="L179" s="5">
        <v>8.58</v>
      </c>
      <c r="M179" s="5">
        <v>11953.05</v>
      </c>
      <c r="N179" s="5">
        <v>3.78</v>
      </c>
      <c r="O179" s="6">
        <f t="shared" si="1"/>
        <v>8.578211382</v>
      </c>
      <c r="P179" s="6" t="str">
        <f t="shared" si="2"/>
        <v>Post-Shift</v>
      </c>
      <c r="Q179" s="3">
        <f t="shared" si="3"/>
        <v>50</v>
      </c>
    </row>
    <row r="180">
      <c r="A180" s="4" t="s">
        <v>133</v>
      </c>
      <c r="B180" s="2" t="s">
        <v>23</v>
      </c>
      <c r="C180" s="2" t="s">
        <v>31</v>
      </c>
      <c r="D180" s="2" t="s">
        <v>32</v>
      </c>
      <c r="E180" s="2" t="s">
        <v>30</v>
      </c>
      <c r="F180" s="5">
        <v>146958.0</v>
      </c>
      <c r="G180" s="5">
        <v>7494.0</v>
      </c>
      <c r="H180" s="5">
        <v>0.051</v>
      </c>
      <c r="I180" s="5">
        <v>1.68</v>
      </c>
      <c r="J180" s="5">
        <v>12589.92</v>
      </c>
      <c r="K180" s="5">
        <v>538.0</v>
      </c>
      <c r="L180" s="5">
        <v>23.4</v>
      </c>
      <c r="M180" s="5">
        <v>117827.0</v>
      </c>
      <c r="N180" s="5">
        <v>9.36</v>
      </c>
      <c r="O180" s="6">
        <f t="shared" si="1"/>
        <v>23.40133829</v>
      </c>
      <c r="P180" s="6" t="str">
        <f t="shared" si="2"/>
        <v>Post-Shift</v>
      </c>
      <c r="Q180" s="3">
        <f t="shared" si="3"/>
        <v>47</v>
      </c>
    </row>
    <row r="181">
      <c r="A181" s="4" t="s">
        <v>134</v>
      </c>
      <c r="B181" s="2" t="s">
        <v>18</v>
      </c>
      <c r="C181" s="2" t="s">
        <v>27</v>
      </c>
      <c r="D181" s="2" t="s">
        <v>45</v>
      </c>
      <c r="E181" s="2" t="s">
        <v>25</v>
      </c>
      <c r="F181" s="5">
        <v>13605.0</v>
      </c>
      <c r="G181" s="5">
        <v>300.0</v>
      </c>
      <c r="H181" s="5">
        <v>0.0221</v>
      </c>
      <c r="I181" s="5">
        <v>2.08</v>
      </c>
      <c r="J181" s="5">
        <v>624.0</v>
      </c>
      <c r="K181" s="5">
        <v>21.0</v>
      </c>
      <c r="L181" s="5">
        <v>29.71</v>
      </c>
      <c r="M181" s="5">
        <v>4495.51</v>
      </c>
      <c r="N181" s="5">
        <v>7.2</v>
      </c>
      <c r="O181" s="6">
        <f t="shared" si="1"/>
        <v>29.71428571</v>
      </c>
      <c r="P181" s="6" t="str">
        <f t="shared" si="2"/>
        <v>Post-Shift</v>
      </c>
      <c r="Q181" s="3">
        <f t="shared" si="3"/>
        <v>38</v>
      </c>
    </row>
    <row r="182">
      <c r="A182" s="4" t="s">
        <v>61</v>
      </c>
      <c r="B182" s="2" t="s">
        <v>18</v>
      </c>
      <c r="C182" s="2" t="s">
        <v>41</v>
      </c>
      <c r="D182" s="2" t="s">
        <v>32</v>
      </c>
      <c r="E182" s="2" t="s">
        <v>33</v>
      </c>
      <c r="F182" s="5">
        <v>116041.0</v>
      </c>
      <c r="G182" s="5">
        <v>6428.0</v>
      </c>
      <c r="H182" s="5">
        <v>0.0554</v>
      </c>
      <c r="I182" s="5">
        <v>1.75</v>
      </c>
      <c r="J182" s="5">
        <v>11249.0</v>
      </c>
      <c r="K182" s="5">
        <v>74.0</v>
      </c>
      <c r="L182" s="5">
        <v>152.01</v>
      </c>
      <c r="M182" s="5">
        <v>13873.48</v>
      </c>
      <c r="N182" s="5">
        <v>1.23</v>
      </c>
      <c r="O182" s="6">
        <f t="shared" si="1"/>
        <v>152.0135135</v>
      </c>
      <c r="P182" s="6" t="str">
        <f t="shared" si="2"/>
        <v>Post-Shift</v>
      </c>
      <c r="Q182" s="3">
        <f t="shared" si="3"/>
        <v>21</v>
      </c>
    </row>
    <row r="183">
      <c r="A183" s="4" t="s">
        <v>135</v>
      </c>
      <c r="B183" s="2" t="s">
        <v>23</v>
      </c>
      <c r="C183" s="2" t="s">
        <v>19</v>
      </c>
      <c r="D183" s="2" t="s">
        <v>45</v>
      </c>
      <c r="E183" s="2" t="s">
        <v>56</v>
      </c>
      <c r="F183" s="5">
        <v>170396.0</v>
      </c>
      <c r="G183" s="5">
        <v>10138.0</v>
      </c>
      <c r="H183" s="5">
        <v>0.0595</v>
      </c>
      <c r="I183" s="5">
        <v>1.08</v>
      </c>
      <c r="J183" s="5">
        <v>10949.04</v>
      </c>
      <c r="K183" s="5">
        <v>494.0</v>
      </c>
      <c r="L183" s="5">
        <v>22.16</v>
      </c>
      <c r="M183" s="5">
        <v>99795.18</v>
      </c>
      <c r="N183" s="5">
        <v>9.11</v>
      </c>
      <c r="O183" s="6">
        <f t="shared" si="1"/>
        <v>22.16404858</v>
      </c>
      <c r="P183" s="6" t="str">
        <f t="shared" si="2"/>
        <v>Post-Shift</v>
      </c>
      <c r="Q183" s="3">
        <f t="shared" si="3"/>
        <v>39</v>
      </c>
    </row>
    <row r="184">
      <c r="A184" s="4" t="s">
        <v>34</v>
      </c>
      <c r="B184" s="2" t="s">
        <v>38</v>
      </c>
      <c r="C184" s="2" t="s">
        <v>41</v>
      </c>
      <c r="D184" s="2" t="s">
        <v>24</v>
      </c>
      <c r="E184" s="2" t="s">
        <v>56</v>
      </c>
      <c r="F184" s="5">
        <v>19743.0</v>
      </c>
      <c r="G184" s="5">
        <v>619.0</v>
      </c>
      <c r="H184" s="5">
        <v>0.0314</v>
      </c>
      <c r="I184" s="5">
        <v>1.25</v>
      </c>
      <c r="J184" s="5">
        <v>773.75</v>
      </c>
      <c r="K184" s="5">
        <v>41.0</v>
      </c>
      <c r="L184" s="5">
        <v>18.87</v>
      </c>
      <c r="M184" s="5">
        <v>9219.46</v>
      </c>
      <c r="N184" s="5">
        <v>11.92</v>
      </c>
      <c r="O184" s="6">
        <f t="shared" si="1"/>
        <v>18.87195122</v>
      </c>
      <c r="P184" s="6" t="str">
        <f t="shared" si="2"/>
        <v>Post-Shift</v>
      </c>
      <c r="Q184" s="3">
        <f t="shared" si="3"/>
        <v>8</v>
      </c>
    </row>
    <row r="185">
      <c r="A185" s="4" t="s">
        <v>136</v>
      </c>
      <c r="B185" s="2" t="s">
        <v>18</v>
      </c>
      <c r="C185" s="2" t="s">
        <v>19</v>
      </c>
      <c r="D185" s="2" t="s">
        <v>45</v>
      </c>
      <c r="E185" s="2" t="s">
        <v>58</v>
      </c>
      <c r="F185" s="5">
        <v>94081.0</v>
      </c>
      <c r="G185" s="5">
        <v>5588.0</v>
      </c>
      <c r="H185" s="5">
        <v>0.0594</v>
      </c>
      <c r="I185" s="5">
        <v>2.69</v>
      </c>
      <c r="J185" s="5">
        <v>15031.72</v>
      </c>
      <c r="K185" s="5">
        <v>88.0</v>
      </c>
      <c r="L185" s="5">
        <v>170.81</v>
      </c>
      <c r="M185" s="5">
        <v>24757.88</v>
      </c>
      <c r="N185" s="5">
        <v>1.65</v>
      </c>
      <c r="O185" s="6">
        <f t="shared" si="1"/>
        <v>170.815</v>
      </c>
      <c r="P185" s="6" t="str">
        <f t="shared" si="2"/>
        <v>Post-Shift</v>
      </c>
      <c r="Q185" s="3">
        <f t="shared" si="3"/>
        <v>35</v>
      </c>
    </row>
    <row r="186">
      <c r="A186" s="4">
        <v>45571.0</v>
      </c>
      <c r="B186" s="2" t="s">
        <v>23</v>
      </c>
      <c r="C186" s="2" t="s">
        <v>27</v>
      </c>
      <c r="D186" s="2" t="s">
        <v>20</v>
      </c>
      <c r="E186" s="2" t="s">
        <v>30</v>
      </c>
      <c r="F186" s="5">
        <v>141643.0</v>
      </c>
      <c r="G186" s="5">
        <v>8526.0</v>
      </c>
      <c r="H186" s="5">
        <v>0.0602</v>
      </c>
      <c r="I186" s="5">
        <v>0.46</v>
      </c>
      <c r="J186" s="5">
        <v>3921.96</v>
      </c>
      <c r="K186" s="5">
        <v>379.0</v>
      </c>
      <c r="L186" s="5">
        <v>10.35</v>
      </c>
      <c r="M186" s="5">
        <v>51038.1</v>
      </c>
      <c r="N186" s="5">
        <v>13.01</v>
      </c>
      <c r="O186" s="6">
        <f t="shared" si="1"/>
        <v>10.34817942</v>
      </c>
      <c r="P186" s="6" t="str">
        <f t="shared" si="2"/>
        <v>Post-Shift</v>
      </c>
      <c r="Q186" s="3">
        <f t="shared" si="3"/>
        <v>24</v>
      </c>
    </row>
    <row r="187">
      <c r="A187" s="4" t="s">
        <v>137</v>
      </c>
      <c r="B187" s="2" t="s">
        <v>38</v>
      </c>
      <c r="C187" s="2" t="s">
        <v>31</v>
      </c>
      <c r="D187" s="2" t="s">
        <v>32</v>
      </c>
      <c r="E187" s="2" t="s">
        <v>58</v>
      </c>
      <c r="F187" s="5">
        <v>90716.0</v>
      </c>
      <c r="G187" s="5">
        <v>3002.0</v>
      </c>
      <c r="H187" s="5">
        <v>0.0331</v>
      </c>
      <c r="I187" s="5">
        <v>1.47</v>
      </c>
      <c r="J187" s="5">
        <v>4412.94</v>
      </c>
      <c r="K187" s="5">
        <v>194.0</v>
      </c>
      <c r="L187" s="5">
        <v>22.75</v>
      </c>
      <c r="M187" s="5">
        <v>39560.54</v>
      </c>
      <c r="N187" s="5">
        <v>8.96</v>
      </c>
      <c r="O187" s="6">
        <f t="shared" si="1"/>
        <v>22.7471134</v>
      </c>
      <c r="P187" s="6" t="str">
        <f t="shared" si="2"/>
        <v>Post-Shift</v>
      </c>
      <c r="Q187" s="3">
        <f t="shared" si="3"/>
        <v>4</v>
      </c>
    </row>
    <row r="188">
      <c r="A188" s="4" t="s">
        <v>138</v>
      </c>
      <c r="B188" s="2" t="s">
        <v>18</v>
      </c>
      <c r="C188" s="2" t="s">
        <v>19</v>
      </c>
      <c r="D188" s="2" t="s">
        <v>24</v>
      </c>
      <c r="E188" s="2" t="s">
        <v>30</v>
      </c>
      <c r="F188" s="5">
        <v>72055.0</v>
      </c>
      <c r="G188" s="5">
        <v>1678.0</v>
      </c>
      <c r="H188" s="5">
        <v>0.0233</v>
      </c>
      <c r="I188" s="5">
        <v>3.17</v>
      </c>
      <c r="J188" s="5">
        <v>5319.26</v>
      </c>
      <c r="K188" s="5">
        <v>41.0</v>
      </c>
      <c r="L188" s="5">
        <v>129.74</v>
      </c>
      <c r="M188" s="5">
        <v>8506.9</v>
      </c>
      <c r="N188" s="5">
        <v>1.6</v>
      </c>
      <c r="O188" s="6">
        <f t="shared" si="1"/>
        <v>129.7380488</v>
      </c>
      <c r="P188" s="6" t="str">
        <f t="shared" si="2"/>
        <v>Post-Shift</v>
      </c>
      <c r="Q188" s="3">
        <f t="shared" si="3"/>
        <v>51</v>
      </c>
    </row>
    <row r="189">
      <c r="A189" s="4" t="s">
        <v>139</v>
      </c>
      <c r="B189" s="2" t="s">
        <v>38</v>
      </c>
      <c r="C189" s="2" t="s">
        <v>31</v>
      </c>
      <c r="D189" s="2" t="s">
        <v>45</v>
      </c>
      <c r="E189" s="2" t="s">
        <v>33</v>
      </c>
      <c r="F189" s="5">
        <v>112692.0</v>
      </c>
      <c r="G189" s="5">
        <v>2096.0</v>
      </c>
      <c r="H189" s="5">
        <v>0.0186</v>
      </c>
      <c r="I189" s="5">
        <v>2.27</v>
      </c>
      <c r="J189" s="5">
        <v>4757.92</v>
      </c>
      <c r="K189" s="5">
        <v>89.0</v>
      </c>
      <c r="L189" s="5">
        <v>53.46</v>
      </c>
      <c r="M189" s="5">
        <v>16587.58</v>
      </c>
      <c r="N189" s="5">
        <v>3.49</v>
      </c>
      <c r="O189" s="6">
        <f t="shared" si="1"/>
        <v>53.45977528</v>
      </c>
      <c r="P189" s="6" t="str">
        <f t="shared" si="2"/>
        <v>Post-Shift</v>
      </c>
      <c r="Q189" s="3">
        <f t="shared" si="3"/>
        <v>16</v>
      </c>
    </row>
    <row r="190">
      <c r="A190" s="4">
        <v>45515.0</v>
      </c>
      <c r="B190" s="2" t="s">
        <v>18</v>
      </c>
      <c r="C190" s="2" t="s">
        <v>27</v>
      </c>
      <c r="D190" s="2" t="s">
        <v>20</v>
      </c>
      <c r="E190" s="2" t="s">
        <v>21</v>
      </c>
      <c r="F190" s="5">
        <v>31672.0</v>
      </c>
      <c r="G190" s="5">
        <v>877.0</v>
      </c>
      <c r="H190" s="5">
        <v>0.0277</v>
      </c>
      <c r="I190" s="5">
        <v>0.72</v>
      </c>
      <c r="J190" s="5">
        <v>631.44</v>
      </c>
      <c r="K190" s="5">
        <v>16.0</v>
      </c>
      <c r="L190" s="5">
        <v>39.47</v>
      </c>
      <c r="M190" s="5">
        <v>2266.94</v>
      </c>
      <c r="N190" s="5">
        <v>3.59</v>
      </c>
      <c r="O190" s="6">
        <f t="shared" si="1"/>
        <v>39.465</v>
      </c>
      <c r="P190" s="6" t="str">
        <f t="shared" si="2"/>
        <v>Post-Shift</v>
      </c>
      <c r="Q190" s="3">
        <f t="shared" si="3"/>
        <v>45</v>
      </c>
    </row>
    <row r="191">
      <c r="A191" s="4" t="s">
        <v>76</v>
      </c>
      <c r="B191" s="2" t="s">
        <v>38</v>
      </c>
      <c r="C191" s="2" t="s">
        <v>27</v>
      </c>
      <c r="D191" s="2" t="s">
        <v>45</v>
      </c>
      <c r="E191" s="2" t="s">
        <v>33</v>
      </c>
      <c r="F191" s="5">
        <v>59131.0</v>
      </c>
      <c r="G191" s="5">
        <v>1425.0</v>
      </c>
      <c r="H191" s="5">
        <v>0.0241</v>
      </c>
      <c r="I191" s="5">
        <v>1.04</v>
      </c>
      <c r="J191" s="5">
        <v>1482.0</v>
      </c>
      <c r="K191" s="5">
        <v>66.0</v>
      </c>
      <c r="L191" s="5">
        <v>22.45</v>
      </c>
      <c r="M191" s="5">
        <v>19372.57</v>
      </c>
      <c r="N191" s="5">
        <v>13.07</v>
      </c>
      <c r="O191" s="6">
        <f t="shared" si="1"/>
        <v>22.45454545</v>
      </c>
      <c r="P191" s="6" t="str">
        <f t="shared" si="2"/>
        <v>Post-Shift</v>
      </c>
      <c r="Q191" s="3">
        <f t="shared" si="3"/>
        <v>27</v>
      </c>
    </row>
    <row r="192">
      <c r="A192" s="4" t="s">
        <v>77</v>
      </c>
      <c r="B192" s="2" t="s">
        <v>18</v>
      </c>
      <c r="C192" s="2" t="s">
        <v>19</v>
      </c>
      <c r="D192" s="2" t="s">
        <v>32</v>
      </c>
      <c r="E192" s="2" t="s">
        <v>36</v>
      </c>
      <c r="F192" s="5">
        <v>119397.0</v>
      </c>
      <c r="G192" s="5">
        <v>3868.0</v>
      </c>
      <c r="H192" s="5">
        <v>0.0324</v>
      </c>
      <c r="I192" s="5">
        <v>1.8</v>
      </c>
      <c r="J192" s="5">
        <v>6962.4</v>
      </c>
      <c r="K192" s="5">
        <v>193.0</v>
      </c>
      <c r="L192" s="5">
        <v>36.07</v>
      </c>
      <c r="M192" s="5">
        <v>35393.3</v>
      </c>
      <c r="N192" s="5">
        <v>5.08</v>
      </c>
      <c r="O192" s="6">
        <f t="shared" si="1"/>
        <v>36.0746114</v>
      </c>
      <c r="P192" s="6" t="str">
        <f t="shared" si="2"/>
        <v>Post-Shift</v>
      </c>
      <c r="Q192" s="3">
        <f t="shared" si="3"/>
        <v>26</v>
      </c>
    </row>
    <row r="193">
      <c r="A193" s="4">
        <v>45333.0</v>
      </c>
      <c r="B193" s="2" t="s">
        <v>38</v>
      </c>
      <c r="C193" s="2" t="s">
        <v>19</v>
      </c>
      <c r="D193" s="2" t="s">
        <v>24</v>
      </c>
      <c r="E193" s="2" t="s">
        <v>58</v>
      </c>
      <c r="F193" s="5">
        <v>157008.0</v>
      </c>
      <c r="G193" s="5">
        <v>5024.0</v>
      </c>
      <c r="H193" s="5">
        <v>0.032</v>
      </c>
      <c r="I193" s="5">
        <v>0.72</v>
      </c>
      <c r="J193" s="5">
        <v>3617.28</v>
      </c>
      <c r="K193" s="5">
        <v>379.0</v>
      </c>
      <c r="L193" s="5">
        <v>9.54</v>
      </c>
      <c r="M193" s="5">
        <v>73104.85</v>
      </c>
      <c r="N193" s="5">
        <v>20.21</v>
      </c>
      <c r="O193" s="6">
        <f t="shared" si="1"/>
        <v>9.544274406</v>
      </c>
      <c r="P193" s="6" t="str">
        <f t="shared" si="2"/>
        <v>Baseline</v>
      </c>
      <c r="Q193" s="3">
        <f t="shared" si="3"/>
        <v>44</v>
      </c>
    </row>
    <row r="194">
      <c r="A194" s="4">
        <v>45383.0</v>
      </c>
      <c r="B194" s="2" t="s">
        <v>38</v>
      </c>
      <c r="C194" s="2" t="s">
        <v>31</v>
      </c>
      <c r="D194" s="2" t="s">
        <v>24</v>
      </c>
      <c r="E194" s="2" t="s">
        <v>25</v>
      </c>
      <c r="F194" s="5">
        <v>117217.0</v>
      </c>
      <c r="G194" s="5">
        <v>2133.0</v>
      </c>
      <c r="H194" s="5">
        <v>0.0182</v>
      </c>
      <c r="I194" s="5">
        <v>1.29</v>
      </c>
      <c r="J194" s="5">
        <v>2751.57</v>
      </c>
      <c r="K194" s="5">
        <v>129.0</v>
      </c>
      <c r="L194" s="5">
        <v>21.33</v>
      </c>
      <c r="M194" s="5">
        <v>25455.36</v>
      </c>
      <c r="N194" s="5">
        <v>9.25</v>
      </c>
      <c r="O194" s="6">
        <f t="shared" si="1"/>
        <v>21.33</v>
      </c>
      <c r="P194" s="6" t="str">
        <f t="shared" si="2"/>
        <v>Baseline</v>
      </c>
      <c r="Q194" s="3">
        <f t="shared" si="3"/>
        <v>1</v>
      </c>
    </row>
    <row r="195">
      <c r="A195" s="4" t="s">
        <v>140</v>
      </c>
      <c r="B195" s="2" t="s">
        <v>23</v>
      </c>
      <c r="C195" s="2" t="s">
        <v>19</v>
      </c>
      <c r="D195" s="2" t="s">
        <v>32</v>
      </c>
      <c r="E195" s="2" t="s">
        <v>36</v>
      </c>
      <c r="F195" s="5">
        <v>111956.0</v>
      </c>
      <c r="G195" s="5">
        <v>5911.0</v>
      </c>
      <c r="H195" s="5">
        <v>0.0528</v>
      </c>
      <c r="I195" s="5">
        <v>1.57</v>
      </c>
      <c r="J195" s="5">
        <v>9280.27</v>
      </c>
      <c r="K195" s="5">
        <v>253.0</v>
      </c>
      <c r="L195" s="5">
        <v>36.68</v>
      </c>
      <c r="M195" s="5">
        <v>68395.54</v>
      </c>
      <c r="N195" s="5">
        <v>7.37</v>
      </c>
      <c r="O195" s="6">
        <f t="shared" si="1"/>
        <v>36.68090909</v>
      </c>
      <c r="P195" s="6" t="str">
        <f t="shared" si="2"/>
        <v>Post-Shift</v>
      </c>
      <c r="Q195" s="3">
        <f t="shared" si="3"/>
        <v>44</v>
      </c>
    </row>
    <row r="196">
      <c r="A196" s="4">
        <v>45413.0</v>
      </c>
      <c r="B196" s="2" t="s">
        <v>38</v>
      </c>
      <c r="C196" s="2" t="s">
        <v>41</v>
      </c>
      <c r="D196" s="2" t="s">
        <v>32</v>
      </c>
      <c r="E196" s="2" t="s">
        <v>30</v>
      </c>
      <c r="F196" s="5">
        <v>10939.0</v>
      </c>
      <c r="G196" s="5">
        <v>113.0</v>
      </c>
      <c r="H196" s="5">
        <v>0.0104</v>
      </c>
      <c r="I196" s="5">
        <v>1.18</v>
      </c>
      <c r="J196" s="5">
        <v>133.34</v>
      </c>
      <c r="K196" s="5">
        <v>6.0</v>
      </c>
      <c r="L196" s="5">
        <v>22.22</v>
      </c>
      <c r="M196" s="5">
        <v>1684.43</v>
      </c>
      <c r="N196" s="5">
        <v>12.63</v>
      </c>
      <c r="O196" s="6">
        <f t="shared" si="1"/>
        <v>22.22333333</v>
      </c>
      <c r="P196" s="6" t="str">
        <f t="shared" si="2"/>
        <v>Baseline</v>
      </c>
      <c r="Q196" s="3">
        <f t="shared" si="3"/>
        <v>1</v>
      </c>
    </row>
    <row r="197">
      <c r="A197" s="4">
        <v>45573.0</v>
      </c>
      <c r="B197" s="2" t="s">
        <v>23</v>
      </c>
      <c r="C197" s="2" t="s">
        <v>41</v>
      </c>
      <c r="D197" s="2" t="s">
        <v>32</v>
      </c>
      <c r="E197" s="2" t="s">
        <v>56</v>
      </c>
      <c r="F197" s="5">
        <v>72293.0</v>
      </c>
      <c r="G197" s="5">
        <v>4532.0</v>
      </c>
      <c r="H197" s="5">
        <v>0.0627</v>
      </c>
      <c r="I197" s="5">
        <v>1.81</v>
      </c>
      <c r="J197" s="5">
        <v>8202.92</v>
      </c>
      <c r="K197" s="5">
        <v>169.0</v>
      </c>
      <c r="L197" s="5">
        <v>48.54</v>
      </c>
      <c r="M197" s="5">
        <v>35145.36</v>
      </c>
      <c r="N197" s="5">
        <v>4.28</v>
      </c>
      <c r="O197" s="6">
        <f t="shared" si="1"/>
        <v>48.53798817</v>
      </c>
      <c r="P197" s="6" t="str">
        <f t="shared" si="2"/>
        <v>Post-Shift</v>
      </c>
      <c r="Q197" s="3">
        <f t="shared" si="3"/>
        <v>32</v>
      </c>
    </row>
    <row r="198">
      <c r="A198" s="4" t="s">
        <v>111</v>
      </c>
      <c r="B198" s="2" t="s">
        <v>18</v>
      </c>
      <c r="C198" s="2" t="s">
        <v>31</v>
      </c>
      <c r="D198" s="2" t="s">
        <v>20</v>
      </c>
      <c r="E198" s="2" t="s">
        <v>33</v>
      </c>
      <c r="F198" s="5">
        <v>78402.0</v>
      </c>
      <c r="G198" s="5">
        <v>4531.0</v>
      </c>
      <c r="H198" s="5">
        <v>0.0578</v>
      </c>
      <c r="I198" s="5">
        <v>2.75</v>
      </c>
      <c r="J198" s="5">
        <v>12460.25</v>
      </c>
      <c r="K198" s="5">
        <v>105.0</v>
      </c>
      <c r="L198" s="5">
        <v>118.67</v>
      </c>
      <c r="M198" s="5">
        <v>25620.07</v>
      </c>
      <c r="N198" s="5">
        <v>2.06</v>
      </c>
      <c r="O198" s="6">
        <f t="shared" si="1"/>
        <v>118.6690476</v>
      </c>
      <c r="P198" s="6" t="str">
        <f t="shared" si="2"/>
        <v>Post-Shift</v>
      </c>
      <c r="Q198" s="3">
        <f t="shared" si="3"/>
        <v>7</v>
      </c>
    </row>
    <row r="199">
      <c r="A199" s="4" t="s">
        <v>141</v>
      </c>
      <c r="B199" s="2" t="s">
        <v>23</v>
      </c>
      <c r="C199" s="2" t="s">
        <v>41</v>
      </c>
      <c r="D199" s="2" t="s">
        <v>45</v>
      </c>
      <c r="E199" s="2" t="s">
        <v>36</v>
      </c>
      <c r="F199" s="5">
        <v>160892.0</v>
      </c>
      <c r="G199" s="5">
        <v>9122.0</v>
      </c>
      <c r="H199" s="5">
        <v>0.0567</v>
      </c>
      <c r="I199" s="5">
        <v>0.64</v>
      </c>
      <c r="J199" s="5">
        <v>5838.08</v>
      </c>
      <c r="K199" s="5">
        <v>590.0</v>
      </c>
      <c r="L199" s="5">
        <v>9.9</v>
      </c>
      <c r="M199" s="5">
        <v>170654.7</v>
      </c>
      <c r="N199" s="5">
        <v>29.23</v>
      </c>
      <c r="O199" s="6">
        <f t="shared" si="1"/>
        <v>9.895050847</v>
      </c>
      <c r="P199" s="6" t="str">
        <f t="shared" si="2"/>
        <v>Post-Shift</v>
      </c>
      <c r="Q199" s="3">
        <f t="shared" si="3"/>
        <v>43</v>
      </c>
    </row>
    <row r="200">
      <c r="A200" s="4" t="s">
        <v>142</v>
      </c>
      <c r="B200" s="2" t="s">
        <v>23</v>
      </c>
      <c r="C200" s="2" t="s">
        <v>19</v>
      </c>
      <c r="D200" s="2" t="s">
        <v>24</v>
      </c>
      <c r="E200" s="2" t="s">
        <v>30</v>
      </c>
      <c r="F200" s="5">
        <v>154092.0</v>
      </c>
      <c r="G200" s="5">
        <v>8860.0</v>
      </c>
      <c r="H200" s="5">
        <v>0.0575</v>
      </c>
      <c r="I200" s="5">
        <v>1.17</v>
      </c>
      <c r="J200" s="5">
        <v>10366.2</v>
      </c>
      <c r="K200" s="5">
        <v>246.0</v>
      </c>
      <c r="L200" s="5">
        <v>42.14</v>
      </c>
      <c r="M200" s="5">
        <v>23706.53</v>
      </c>
      <c r="N200" s="5">
        <v>2.29</v>
      </c>
      <c r="O200" s="6">
        <f t="shared" si="1"/>
        <v>42.13902439</v>
      </c>
      <c r="P200" s="6" t="str">
        <f t="shared" si="2"/>
        <v>Post-Shift</v>
      </c>
      <c r="Q200" s="3">
        <f t="shared" si="3"/>
        <v>11</v>
      </c>
    </row>
    <row r="201">
      <c r="A201" s="4">
        <v>45566.0</v>
      </c>
      <c r="B201" s="2" t="s">
        <v>38</v>
      </c>
      <c r="C201" s="2" t="s">
        <v>31</v>
      </c>
      <c r="D201" s="2" t="s">
        <v>29</v>
      </c>
      <c r="E201" s="2" t="s">
        <v>21</v>
      </c>
      <c r="F201" s="5">
        <v>73323.0</v>
      </c>
      <c r="G201" s="5">
        <v>1928.0</v>
      </c>
      <c r="H201" s="5">
        <v>0.0263</v>
      </c>
      <c r="I201" s="5">
        <v>1.71</v>
      </c>
      <c r="J201" s="5">
        <v>3296.88</v>
      </c>
      <c r="K201" s="5">
        <v>121.0</v>
      </c>
      <c r="L201" s="5">
        <v>27.25</v>
      </c>
      <c r="M201" s="5">
        <v>33634.99</v>
      </c>
      <c r="N201" s="5">
        <v>10.2</v>
      </c>
      <c r="O201" s="6">
        <f t="shared" si="1"/>
        <v>27.24694215</v>
      </c>
      <c r="P201" s="6" t="str">
        <f t="shared" si="2"/>
        <v>Post-Shift</v>
      </c>
      <c r="Q201" s="3">
        <f t="shared" si="3"/>
        <v>2</v>
      </c>
    </row>
    <row r="202">
      <c r="A202" s="4" t="s">
        <v>143</v>
      </c>
      <c r="B202" s="2" t="s">
        <v>23</v>
      </c>
      <c r="C202" s="2" t="s">
        <v>27</v>
      </c>
      <c r="D202" s="2" t="s">
        <v>32</v>
      </c>
      <c r="E202" s="2" t="s">
        <v>56</v>
      </c>
      <c r="F202" s="5">
        <v>58521.0</v>
      </c>
      <c r="G202" s="5">
        <v>3318.0</v>
      </c>
      <c r="H202" s="5">
        <v>0.0567</v>
      </c>
      <c r="I202" s="5">
        <v>1.85</v>
      </c>
      <c r="J202" s="5">
        <v>6138.3</v>
      </c>
      <c r="K202" s="5">
        <v>39.0</v>
      </c>
      <c r="L202" s="5">
        <v>157.39</v>
      </c>
      <c r="M202" s="5">
        <v>10013.26</v>
      </c>
      <c r="N202" s="5">
        <v>1.63</v>
      </c>
      <c r="O202" s="6">
        <f t="shared" si="1"/>
        <v>157.3923077</v>
      </c>
      <c r="P202" s="6" t="str">
        <f t="shared" si="2"/>
        <v>Post-Shift</v>
      </c>
      <c r="Q202" s="3">
        <f t="shared" si="3"/>
        <v>3</v>
      </c>
    </row>
    <row r="203">
      <c r="A203" s="4">
        <v>45392.0</v>
      </c>
      <c r="B203" s="2" t="s">
        <v>23</v>
      </c>
      <c r="C203" s="2" t="s">
        <v>19</v>
      </c>
      <c r="D203" s="2" t="s">
        <v>32</v>
      </c>
      <c r="E203" s="2" t="s">
        <v>30</v>
      </c>
      <c r="F203" s="5">
        <v>48361.0</v>
      </c>
      <c r="G203" s="5">
        <v>2713.0</v>
      </c>
      <c r="H203" s="5">
        <v>0.0561</v>
      </c>
      <c r="I203" s="5">
        <v>0.87</v>
      </c>
      <c r="J203" s="5">
        <v>2360.31</v>
      </c>
      <c r="K203" s="5">
        <v>54.0</v>
      </c>
      <c r="L203" s="5">
        <v>43.71</v>
      </c>
      <c r="M203" s="5">
        <v>7890.9</v>
      </c>
      <c r="N203" s="5">
        <v>3.34</v>
      </c>
      <c r="O203" s="6">
        <f t="shared" si="1"/>
        <v>43.70944444</v>
      </c>
      <c r="P203" s="6" t="str">
        <f t="shared" si="2"/>
        <v>Baseline</v>
      </c>
      <c r="Q203" s="3">
        <f t="shared" si="3"/>
        <v>40</v>
      </c>
    </row>
    <row r="204">
      <c r="A204" s="4">
        <v>45601.0</v>
      </c>
      <c r="B204" s="2" t="s">
        <v>23</v>
      </c>
      <c r="C204" s="2" t="s">
        <v>41</v>
      </c>
      <c r="D204" s="2" t="s">
        <v>29</v>
      </c>
      <c r="E204" s="2" t="s">
        <v>21</v>
      </c>
      <c r="F204" s="5">
        <v>179870.0</v>
      </c>
      <c r="G204" s="5">
        <v>7500.0</v>
      </c>
      <c r="H204" s="5">
        <v>0.0417</v>
      </c>
      <c r="I204" s="5">
        <v>1.44</v>
      </c>
      <c r="J204" s="5">
        <v>10800.0</v>
      </c>
      <c r="K204" s="5">
        <v>112.0</v>
      </c>
      <c r="L204" s="5">
        <v>96.43</v>
      </c>
      <c r="M204" s="5">
        <v>5446.79</v>
      </c>
      <c r="N204" s="5">
        <v>0.5</v>
      </c>
      <c r="O204" s="6">
        <f t="shared" si="1"/>
        <v>96.42857143</v>
      </c>
      <c r="P204" s="6" t="str">
        <f t="shared" si="2"/>
        <v>Post-Shift</v>
      </c>
      <c r="Q204" s="3">
        <f t="shared" si="3"/>
        <v>19</v>
      </c>
    </row>
    <row r="205">
      <c r="A205" s="4">
        <v>45453.0</v>
      </c>
      <c r="B205" s="2" t="s">
        <v>23</v>
      </c>
      <c r="C205" s="2" t="s">
        <v>19</v>
      </c>
      <c r="D205" s="2" t="s">
        <v>45</v>
      </c>
      <c r="E205" s="2" t="s">
        <v>36</v>
      </c>
      <c r="F205" s="5">
        <v>114850.0</v>
      </c>
      <c r="G205" s="5">
        <v>8234.0</v>
      </c>
      <c r="H205" s="5">
        <v>0.0717</v>
      </c>
      <c r="I205" s="5">
        <v>1.63</v>
      </c>
      <c r="J205" s="5">
        <v>13421.42</v>
      </c>
      <c r="K205" s="5">
        <v>245.0</v>
      </c>
      <c r="L205" s="5">
        <v>54.78</v>
      </c>
      <c r="M205" s="5">
        <v>35478.84</v>
      </c>
      <c r="N205" s="5">
        <v>2.64</v>
      </c>
      <c r="O205" s="6">
        <f t="shared" si="1"/>
        <v>54.78130612</v>
      </c>
      <c r="P205" s="6" t="str">
        <f t="shared" si="2"/>
        <v>Baseline</v>
      </c>
      <c r="Q205" s="3">
        <f t="shared" si="3"/>
        <v>41</v>
      </c>
    </row>
    <row r="206">
      <c r="A206" s="4" t="s">
        <v>144</v>
      </c>
      <c r="B206" s="2" t="s">
        <v>18</v>
      </c>
      <c r="C206" s="2" t="s">
        <v>41</v>
      </c>
      <c r="D206" s="2" t="s">
        <v>29</v>
      </c>
      <c r="E206" s="2" t="s">
        <v>56</v>
      </c>
      <c r="F206" s="5">
        <v>54976.0</v>
      </c>
      <c r="G206" s="5">
        <v>2611.0</v>
      </c>
      <c r="H206" s="5">
        <v>0.0475</v>
      </c>
      <c r="I206" s="5">
        <v>1.32</v>
      </c>
      <c r="J206" s="5">
        <v>3446.52</v>
      </c>
      <c r="K206" s="5">
        <v>187.0</v>
      </c>
      <c r="L206" s="5">
        <v>18.43</v>
      </c>
      <c r="M206" s="5">
        <v>8230.48</v>
      </c>
      <c r="N206" s="5">
        <v>2.39</v>
      </c>
      <c r="O206" s="6">
        <f t="shared" si="1"/>
        <v>18.43058824</v>
      </c>
      <c r="P206" s="6" t="str">
        <f t="shared" si="2"/>
        <v>Post-Shift</v>
      </c>
      <c r="Q206" s="3">
        <f t="shared" si="3"/>
        <v>25</v>
      </c>
    </row>
    <row r="207">
      <c r="A207" s="4" t="s">
        <v>145</v>
      </c>
      <c r="B207" s="2" t="s">
        <v>18</v>
      </c>
      <c r="C207" s="2" t="s">
        <v>31</v>
      </c>
      <c r="D207" s="2" t="s">
        <v>20</v>
      </c>
      <c r="E207" s="2" t="s">
        <v>58</v>
      </c>
      <c r="F207" s="5">
        <v>162636.0</v>
      </c>
      <c r="G207" s="5">
        <v>9237.0</v>
      </c>
      <c r="H207" s="5">
        <v>0.0568</v>
      </c>
      <c r="I207" s="5">
        <v>1.41</v>
      </c>
      <c r="J207" s="5">
        <v>13024.17</v>
      </c>
      <c r="K207" s="5">
        <v>738.0</v>
      </c>
      <c r="L207" s="5">
        <v>17.65</v>
      </c>
      <c r="M207" s="5">
        <v>102990.0</v>
      </c>
      <c r="N207" s="5">
        <v>7.91</v>
      </c>
      <c r="O207" s="6">
        <f t="shared" si="1"/>
        <v>17.64792683</v>
      </c>
      <c r="P207" s="6" t="str">
        <f t="shared" si="2"/>
        <v>Post-Shift</v>
      </c>
      <c r="Q207" s="3">
        <f t="shared" si="3"/>
        <v>35</v>
      </c>
    </row>
    <row r="208">
      <c r="A208" s="4" t="s">
        <v>81</v>
      </c>
      <c r="B208" s="2" t="s">
        <v>18</v>
      </c>
      <c r="C208" s="2" t="s">
        <v>41</v>
      </c>
      <c r="D208" s="2" t="s">
        <v>29</v>
      </c>
      <c r="E208" s="2" t="s">
        <v>56</v>
      </c>
      <c r="F208" s="5">
        <v>23375.0</v>
      </c>
      <c r="G208" s="5">
        <v>1175.0</v>
      </c>
      <c r="H208" s="5">
        <v>0.0503</v>
      </c>
      <c r="I208" s="5">
        <v>1.42</v>
      </c>
      <c r="J208" s="5">
        <v>1668.5</v>
      </c>
      <c r="K208" s="5">
        <v>15.0</v>
      </c>
      <c r="L208" s="5">
        <v>111.23</v>
      </c>
      <c r="M208" s="5">
        <v>1524.57</v>
      </c>
      <c r="N208" s="5">
        <v>0.91</v>
      </c>
      <c r="O208" s="6">
        <f t="shared" si="1"/>
        <v>111.2333333</v>
      </c>
      <c r="P208" s="6" t="str">
        <f t="shared" si="2"/>
        <v>Post-Shift</v>
      </c>
      <c r="Q208" s="3">
        <f t="shared" si="3"/>
        <v>22</v>
      </c>
    </row>
    <row r="209">
      <c r="A209" s="4" t="s">
        <v>130</v>
      </c>
      <c r="B209" s="2" t="s">
        <v>38</v>
      </c>
      <c r="C209" s="2" t="s">
        <v>31</v>
      </c>
      <c r="D209" s="2" t="s">
        <v>45</v>
      </c>
      <c r="E209" s="2" t="s">
        <v>36</v>
      </c>
      <c r="F209" s="5">
        <v>167917.0</v>
      </c>
      <c r="G209" s="5">
        <v>6246.0</v>
      </c>
      <c r="H209" s="5">
        <v>0.0372</v>
      </c>
      <c r="I209" s="5">
        <v>0.6</v>
      </c>
      <c r="J209" s="5">
        <v>3747.6</v>
      </c>
      <c r="K209" s="5">
        <v>413.0</v>
      </c>
      <c r="L209" s="5">
        <v>9.07</v>
      </c>
      <c r="M209" s="5">
        <v>25997.62</v>
      </c>
      <c r="N209" s="5">
        <v>6.94</v>
      </c>
      <c r="O209" s="6">
        <f t="shared" si="1"/>
        <v>9.07409201</v>
      </c>
      <c r="P209" s="6" t="str">
        <f t="shared" si="2"/>
        <v>Post-Shift</v>
      </c>
      <c r="Q209" s="3">
        <f t="shared" si="3"/>
        <v>52</v>
      </c>
    </row>
    <row r="210">
      <c r="A210" s="4">
        <v>45482.0</v>
      </c>
      <c r="B210" s="2" t="s">
        <v>18</v>
      </c>
      <c r="C210" s="2" t="s">
        <v>19</v>
      </c>
      <c r="D210" s="2" t="s">
        <v>45</v>
      </c>
      <c r="E210" s="2" t="s">
        <v>30</v>
      </c>
      <c r="F210" s="5">
        <v>71216.0</v>
      </c>
      <c r="G210" s="5">
        <v>2357.0</v>
      </c>
      <c r="H210" s="5">
        <v>0.0331</v>
      </c>
      <c r="I210" s="5">
        <v>3.17</v>
      </c>
      <c r="J210" s="5">
        <v>7471.69</v>
      </c>
      <c r="K210" s="5">
        <v>179.0</v>
      </c>
      <c r="L210" s="5">
        <v>41.74</v>
      </c>
      <c r="M210" s="5">
        <v>29354.19</v>
      </c>
      <c r="N210" s="5">
        <v>3.93</v>
      </c>
      <c r="O210" s="6">
        <f t="shared" si="1"/>
        <v>41.74128492</v>
      </c>
      <c r="P210" s="6" t="str">
        <f t="shared" si="2"/>
        <v>Post-Shift</v>
      </c>
      <c r="Q210" s="3">
        <f t="shared" si="3"/>
        <v>36</v>
      </c>
    </row>
    <row r="211">
      <c r="A211" s="4">
        <v>45394.0</v>
      </c>
      <c r="B211" s="2" t="s">
        <v>18</v>
      </c>
      <c r="C211" s="2" t="s">
        <v>27</v>
      </c>
      <c r="D211" s="2" t="s">
        <v>24</v>
      </c>
      <c r="E211" s="2" t="s">
        <v>33</v>
      </c>
      <c r="F211" s="5">
        <v>29618.0</v>
      </c>
      <c r="G211" s="5">
        <v>1883.0</v>
      </c>
      <c r="H211" s="5">
        <v>0.0636</v>
      </c>
      <c r="I211" s="5">
        <v>2.17</v>
      </c>
      <c r="J211" s="5">
        <v>4086.11</v>
      </c>
      <c r="K211" s="5">
        <v>90.0</v>
      </c>
      <c r="L211" s="5">
        <v>45.4</v>
      </c>
      <c r="M211" s="5">
        <v>26198.96</v>
      </c>
      <c r="N211" s="5">
        <v>6.41</v>
      </c>
      <c r="O211" s="6">
        <f t="shared" si="1"/>
        <v>45.40122222</v>
      </c>
      <c r="P211" s="6" t="str">
        <f t="shared" si="2"/>
        <v>Baseline</v>
      </c>
      <c r="Q211" s="3">
        <f t="shared" si="3"/>
        <v>49</v>
      </c>
    </row>
    <row r="212">
      <c r="A212" s="4">
        <v>45303.0</v>
      </c>
      <c r="B212" s="2" t="s">
        <v>18</v>
      </c>
      <c r="C212" s="2" t="s">
        <v>19</v>
      </c>
      <c r="D212" s="2" t="s">
        <v>29</v>
      </c>
      <c r="E212" s="2" t="s">
        <v>36</v>
      </c>
      <c r="F212" s="5">
        <v>136461.0</v>
      </c>
      <c r="G212" s="5">
        <v>3984.0</v>
      </c>
      <c r="H212" s="5">
        <v>0.0292</v>
      </c>
      <c r="I212" s="5">
        <v>1.49</v>
      </c>
      <c r="J212" s="5">
        <v>5936.16</v>
      </c>
      <c r="K212" s="5">
        <v>214.0</v>
      </c>
      <c r="L212" s="5">
        <v>27.74</v>
      </c>
      <c r="M212" s="5">
        <v>24710.24</v>
      </c>
      <c r="N212" s="5">
        <v>4.16</v>
      </c>
      <c r="O212" s="6">
        <f t="shared" si="1"/>
        <v>27.73906542</v>
      </c>
      <c r="P212" s="6" t="str">
        <f t="shared" si="2"/>
        <v>Baseline</v>
      </c>
      <c r="Q212" s="3">
        <f t="shared" si="3"/>
        <v>49</v>
      </c>
    </row>
    <row r="213">
      <c r="A213" s="4" t="s">
        <v>146</v>
      </c>
      <c r="B213" s="2" t="s">
        <v>23</v>
      </c>
      <c r="C213" s="2" t="s">
        <v>19</v>
      </c>
      <c r="D213" s="2" t="s">
        <v>29</v>
      </c>
      <c r="E213" s="2" t="s">
        <v>58</v>
      </c>
      <c r="F213" s="5">
        <v>132426.0</v>
      </c>
      <c r="G213" s="5">
        <v>7309.0</v>
      </c>
      <c r="H213" s="5">
        <v>0.0552</v>
      </c>
      <c r="I213" s="5">
        <v>0.32</v>
      </c>
      <c r="J213" s="5">
        <v>2338.88</v>
      </c>
      <c r="K213" s="5">
        <v>171.0</v>
      </c>
      <c r="L213" s="5">
        <v>13.68</v>
      </c>
      <c r="M213" s="5">
        <v>24136.13</v>
      </c>
      <c r="N213" s="5">
        <v>10.32</v>
      </c>
      <c r="O213" s="6">
        <f t="shared" si="1"/>
        <v>13.67766082</v>
      </c>
      <c r="P213" s="6" t="str">
        <f t="shared" si="2"/>
        <v>Post-Shift</v>
      </c>
      <c r="Q213" s="3">
        <f t="shared" si="3"/>
        <v>30</v>
      </c>
    </row>
    <row r="214">
      <c r="A214" s="4" t="s">
        <v>72</v>
      </c>
      <c r="B214" s="2" t="s">
        <v>23</v>
      </c>
      <c r="C214" s="2" t="s">
        <v>19</v>
      </c>
      <c r="D214" s="2" t="s">
        <v>45</v>
      </c>
      <c r="E214" s="2" t="s">
        <v>33</v>
      </c>
      <c r="F214" s="5">
        <v>159692.0</v>
      </c>
      <c r="G214" s="5">
        <v>6882.0</v>
      </c>
      <c r="H214" s="5">
        <v>0.0431</v>
      </c>
      <c r="I214" s="5">
        <v>0.37</v>
      </c>
      <c r="J214" s="5">
        <v>2546.34</v>
      </c>
      <c r="K214" s="5">
        <v>523.0</v>
      </c>
      <c r="L214" s="5">
        <v>4.87</v>
      </c>
      <c r="M214" s="5">
        <v>106309.3</v>
      </c>
      <c r="N214" s="5">
        <v>41.75</v>
      </c>
      <c r="O214" s="6">
        <f t="shared" si="1"/>
        <v>4.868718929</v>
      </c>
      <c r="P214" s="6" t="str">
        <f t="shared" si="2"/>
        <v>Post-Shift</v>
      </c>
      <c r="Q214" s="3">
        <f t="shared" si="3"/>
        <v>48</v>
      </c>
    </row>
    <row r="215">
      <c r="A215" s="4">
        <v>45391.0</v>
      </c>
      <c r="B215" s="2" t="s">
        <v>38</v>
      </c>
      <c r="C215" s="2" t="s">
        <v>27</v>
      </c>
      <c r="D215" s="2" t="s">
        <v>20</v>
      </c>
      <c r="E215" s="2" t="s">
        <v>56</v>
      </c>
      <c r="F215" s="5">
        <v>27931.0</v>
      </c>
      <c r="G215" s="5">
        <v>608.0</v>
      </c>
      <c r="H215" s="5">
        <v>0.0218</v>
      </c>
      <c r="I215" s="5">
        <v>1.52</v>
      </c>
      <c r="J215" s="5">
        <v>924.16</v>
      </c>
      <c r="K215" s="5">
        <v>10.0</v>
      </c>
      <c r="L215" s="5">
        <v>92.42</v>
      </c>
      <c r="M215" s="5">
        <v>1389.72</v>
      </c>
      <c r="N215" s="5">
        <v>1.5</v>
      </c>
      <c r="O215" s="6">
        <f t="shared" si="1"/>
        <v>92.416</v>
      </c>
      <c r="P215" s="6" t="str">
        <f t="shared" si="2"/>
        <v>Baseline</v>
      </c>
      <c r="Q215" s="3">
        <f t="shared" si="3"/>
        <v>36</v>
      </c>
    </row>
    <row r="216">
      <c r="A216" s="4">
        <v>45451.0</v>
      </c>
      <c r="B216" s="2" t="s">
        <v>38</v>
      </c>
      <c r="C216" s="2" t="s">
        <v>41</v>
      </c>
      <c r="D216" s="2" t="s">
        <v>24</v>
      </c>
      <c r="E216" s="2" t="s">
        <v>30</v>
      </c>
      <c r="F216" s="5">
        <v>131155.0</v>
      </c>
      <c r="G216" s="5">
        <v>4052.0</v>
      </c>
      <c r="H216" s="5">
        <v>0.0309</v>
      </c>
      <c r="I216" s="5">
        <v>1.24</v>
      </c>
      <c r="J216" s="5">
        <v>5024.48</v>
      </c>
      <c r="K216" s="5">
        <v>209.0</v>
      </c>
      <c r="L216" s="5">
        <v>24.04</v>
      </c>
      <c r="M216" s="5">
        <v>15982.2</v>
      </c>
      <c r="N216" s="5">
        <v>3.18</v>
      </c>
      <c r="O216" s="6">
        <f t="shared" si="1"/>
        <v>24.04057416</v>
      </c>
      <c r="P216" s="6" t="str">
        <f t="shared" si="2"/>
        <v>Baseline</v>
      </c>
      <c r="Q216" s="3">
        <f t="shared" si="3"/>
        <v>32</v>
      </c>
    </row>
    <row r="217">
      <c r="A217" s="4" t="s">
        <v>147</v>
      </c>
      <c r="B217" s="2" t="s">
        <v>23</v>
      </c>
      <c r="C217" s="2" t="s">
        <v>31</v>
      </c>
      <c r="D217" s="2" t="s">
        <v>20</v>
      </c>
      <c r="E217" s="2" t="s">
        <v>30</v>
      </c>
      <c r="F217" s="5">
        <v>66842.0</v>
      </c>
      <c r="G217" s="5">
        <v>2339.0</v>
      </c>
      <c r="H217" s="5">
        <v>0.035</v>
      </c>
      <c r="I217" s="5">
        <v>1.4</v>
      </c>
      <c r="J217" s="5">
        <v>3274.6</v>
      </c>
      <c r="K217" s="5">
        <v>123.0</v>
      </c>
      <c r="L217" s="5">
        <v>26.62</v>
      </c>
      <c r="M217" s="5">
        <v>14081.65</v>
      </c>
      <c r="N217" s="5">
        <v>4.3</v>
      </c>
      <c r="O217" s="6">
        <f t="shared" si="1"/>
        <v>26.62276423</v>
      </c>
      <c r="P217" s="6" t="str">
        <f t="shared" si="2"/>
        <v>Post-Shift</v>
      </c>
      <c r="Q217" s="3">
        <f t="shared" si="3"/>
        <v>22</v>
      </c>
    </row>
    <row r="218">
      <c r="A218" s="4">
        <v>45415.0</v>
      </c>
      <c r="B218" s="2" t="s">
        <v>18</v>
      </c>
      <c r="C218" s="2" t="s">
        <v>31</v>
      </c>
      <c r="D218" s="2" t="s">
        <v>32</v>
      </c>
      <c r="E218" s="2" t="s">
        <v>21</v>
      </c>
      <c r="F218" s="5">
        <v>7642.0</v>
      </c>
      <c r="G218" s="5">
        <v>202.0</v>
      </c>
      <c r="H218" s="5">
        <v>0.0265</v>
      </c>
      <c r="I218" s="5">
        <v>3.38</v>
      </c>
      <c r="J218" s="5">
        <v>682.76</v>
      </c>
      <c r="K218" s="5">
        <v>11.0</v>
      </c>
      <c r="L218" s="5">
        <v>62.07</v>
      </c>
      <c r="M218" s="5">
        <v>1542.21</v>
      </c>
      <c r="N218" s="5">
        <v>2.26</v>
      </c>
      <c r="O218" s="6">
        <f t="shared" si="1"/>
        <v>62.06909091</v>
      </c>
      <c r="P218" s="6" t="str">
        <f t="shared" si="2"/>
        <v>Baseline</v>
      </c>
      <c r="Q218" s="3">
        <f t="shared" si="3"/>
        <v>10</v>
      </c>
    </row>
    <row r="219">
      <c r="A219" s="4">
        <v>45632.0</v>
      </c>
      <c r="B219" s="2" t="s">
        <v>18</v>
      </c>
      <c r="C219" s="2" t="s">
        <v>31</v>
      </c>
      <c r="D219" s="2" t="s">
        <v>45</v>
      </c>
      <c r="E219" s="2" t="s">
        <v>30</v>
      </c>
      <c r="F219" s="5">
        <v>70618.0</v>
      </c>
      <c r="G219" s="5">
        <v>3601.0</v>
      </c>
      <c r="H219" s="5">
        <v>0.051</v>
      </c>
      <c r="I219" s="5">
        <v>2.23</v>
      </c>
      <c r="J219" s="5">
        <v>8030.23</v>
      </c>
      <c r="K219" s="5">
        <v>145.0</v>
      </c>
      <c r="L219" s="5">
        <v>55.38</v>
      </c>
      <c r="M219" s="5">
        <v>7976.29</v>
      </c>
      <c r="N219" s="5">
        <v>0.99</v>
      </c>
      <c r="O219" s="6">
        <f t="shared" si="1"/>
        <v>55.38089655</v>
      </c>
      <c r="P219" s="6" t="str">
        <f t="shared" si="2"/>
        <v>Post-Shift</v>
      </c>
      <c r="Q219" s="3">
        <f t="shared" si="3"/>
        <v>24</v>
      </c>
    </row>
    <row r="220">
      <c r="A220" s="4" t="s">
        <v>95</v>
      </c>
      <c r="B220" s="2" t="s">
        <v>38</v>
      </c>
      <c r="C220" s="2" t="s">
        <v>27</v>
      </c>
      <c r="D220" s="2" t="s">
        <v>45</v>
      </c>
      <c r="E220" s="2" t="s">
        <v>33</v>
      </c>
      <c r="F220" s="5">
        <v>74212.0</v>
      </c>
      <c r="G220" s="5">
        <v>1528.0</v>
      </c>
      <c r="H220" s="5">
        <v>0.0206</v>
      </c>
      <c r="I220" s="5">
        <v>1.46</v>
      </c>
      <c r="J220" s="5">
        <v>2230.88</v>
      </c>
      <c r="K220" s="5">
        <v>85.0</v>
      </c>
      <c r="L220" s="5">
        <v>26.25</v>
      </c>
      <c r="M220" s="5">
        <v>21331.58</v>
      </c>
      <c r="N220" s="5">
        <v>9.56</v>
      </c>
      <c r="O220" s="6">
        <f t="shared" si="1"/>
        <v>26.24564706</v>
      </c>
      <c r="P220" s="6" t="str">
        <f t="shared" si="2"/>
        <v>Post-Shift</v>
      </c>
      <c r="Q220" s="3">
        <f t="shared" si="3"/>
        <v>39</v>
      </c>
    </row>
    <row r="221">
      <c r="A221" s="4">
        <v>45538.0</v>
      </c>
      <c r="B221" s="2" t="s">
        <v>18</v>
      </c>
      <c r="C221" s="2" t="s">
        <v>31</v>
      </c>
      <c r="D221" s="2" t="s">
        <v>45</v>
      </c>
      <c r="E221" s="2" t="s">
        <v>30</v>
      </c>
      <c r="F221" s="5">
        <v>10039.0</v>
      </c>
      <c r="G221" s="5">
        <v>501.0</v>
      </c>
      <c r="H221" s="5">
        <v>0.05</v>
      </c>
      <c r="I221" s="5">
        <v>2.29</v>
      </c>
      <c r="J221" s="5">
        <v>1147.29</v>
      </c>
      <c r="K221" s="5">
        <v>36.0</v>
      </c>
      <c r="L221" s="5">
        <v>31.87</v>
      </c>
      <c r="M221" s="5">
        <v>4805.52</v>
      </c>
      <c r="N221" s="5">
        <v>4.19</v>
      </c>
      <c r="O221" s="6">
        <f t="shared" si="1"/>
        <v>31.86916667</v>
      </c>
      <c r="P221" s="6" t="str">
        <f t="shared" si="2"/>
        <v>Post-Shift</v>
      </c>
      <c r="Q221" s="3">
        <f t="shared" si="3"/>
        <v>10</v>
      </c>
    </row>
    <row r="222">
      <c r="A222" s="4" t="s">
        <v>148</v>
      </c>
      <c r="B222" s="2" t="s">
        <v>38</v>
      </c>
      <c r="C222" s="2" t="s">
        <v>27</v>
      </c>
      <c r="D222" s="2" t="s">
        <v>29</v>
      </c>
      <c r="E222" s="2" t="s">
        <v>56</v>
      </c>
      <c r="F222" s="5">
        <v>102088.0</v>
      </c>
      <c r="G222" s="5">
        <v>4481.0</v>
      </c>
      <c r="H222" s="5">
        <v>0.0439</v>
      </c>
      <c r="I222" s="5">
        <v>0.73</v>
      </c>
      <c r="J222" s="5">
        <v>3271.13</v>
      </c>
      <c r="K222" s="5">
        <v>316.0</v>
      </c>
      <c r="L222" s="5">
        <v>10.35</v>
      </c>
      <c r="M222" s="5">
        <v>87569.74</v>
      </c>
      <c r="N222" s="5">
        <v>26.77</v>
      </c>
      <c r="O222" s="6">
        <f t="shared" si="1"/>
        <v>10.35167722</v>
      </c>
      <c r="P222" s="6" t="str">
        <f t="shared" si="2"/>
        <v>Post-Shift</v>
      </c>
      <c r="Q222" s="3">
        <f t="shared" si="3"/>
        <v>52</v>
      </c>
    </row>
    <row r="223">
      <c r="A223" s="4" t="s">
        <v>149</v>
      </c>
      <c r="B223" s="2" t="s">
        <v>23</v>
      </c>
      <c r="C223" s="2" t="s">
        <v>41</v>
      </c>
      <c r="D223" s="2" t="s">
        <v>20</v>
      </c>
      <c r="E223" s="2" t="s">
        <v>21</v>
      </c>
      <c r="F223" s="5">
        <v>25025.0</v>
      </c>
      <c r="G223" s="5">
        <v>1256.0</v>
      </c>
      <c r="H223" s="5">
        <v>0.0502</v>
      </c>
      <c r="I223" s="5">
        <v>0.43</v>
      </c>
      <c r="J223" s="5">
        <v>540.08</v>
      </c>
      <c r="K223" s="5">
        <v>38.0</v>
      </c>
      <c r="L223" s="5">
        <v>14.21</v>
      </c>
      <c r="M223" s="5">
        <v>5694.61</v>
      </c>
      <c r="N223" s="5">
        <v>10.54</v>
      </c>
      <c r="O223" s="6">
        <f t="shared" si="1"/>
        <v>14.21263158</v>
      </c>
      <c r="P223" s="6" t="str">
        <f t="shared" si="2"/>
        <v>Post-Shift</v>
      </c>
      <c r="Q223" s="3">
        <f t="shared" si="3"/>
        <v>37</v>
      </c>
    </row>
    <row r="224">
      <c r="A224" s="4">
        <v>45423.0</v>
      </c>
      <c r="B224" s="2" t="s">
        <v>18</v>
      </c>
      <c r="C224" s="2" t="s">
        <v>31</v>
      </c>
      <c r="D224" s="2" t="s">
        <v>29</v>
      </c>
      <c r="E224" s="2" t="s">
        <v>36</v>
      </c>
      <c r="F224" s="5">
        <v>36707.0</v>
      </c>
      <c r="G224" s="5">
        <v>943.0</v>
      </c>
      <c r="H224" s="5">
        <v>0.0257</v>
      </c>
      <c r="I224" s="5">
        <v>1.31</v>
      </c>
      <c r="J224" s="5">
        <v>1235.33</v>
      </c>
      <c r="K224" s="5">
        <v>21.0</v>
      </c>
      <c r="L224" s="5">
        <v>58.83</v>
      </c>
      <c r="M224" s="5">
        <v>4396.12</v>
      </c>
      <c r="N224" s="5">
        <v>3.56</v>
      </c>
      <c r="O224" s="6">
        <f t="shared" si="1"/>
        <v>58.8252381</v>
      </c>
      <c r="P224" s="6" t="str">
        <f t="shared" si="2"/>
        <v>Baseline</v>
      </c>
      <c r="Q224" s="3">
        <f t="shared" si="3"/>
        <v>45</v>
      </c>
    </row>
    <row r="225">
      <c r="A225" s="4" t="s">
        <v>150</v>
      </c>
      <c r="B225" s="2" t="s">
        <v>23</v>
      </c>
      <c r="C225" s="2" t="s">
        <v>19</v>
      </c>
      <c r="D225" s="2" t="s">
        <v>24</v>
      </c>
      <c r="E225" s="2" t="s">
        <v>36</v>
      </c>
      <c r="F225" s="5">
        <v>17356.0</v>
      </c>
      <c r="G225" s="5">
        <v>925.0</v>
      </c>
      <c r="H225" s="5">
        <v>0.0533</v>
      </c>
      <c r="I225" s="5">
        <v>0.46</v>
      </c>
      <c r="J225" s="5">
        <v>425.5</v>
      </c>
      <c r="K225" s="5">
        <v>62.0</v>
      </c>
      <c r="L225" s="5">
        <v>6.86</v>
      </c>
      <c r="M225" s="5">
        <v>5476.85</v>
      </c>
      <c r="N225" s="5">
        <v>12.87</v>
      </c>
      <c r="O225" s="6">
        <f t="shared" si="1"/>
        <v>6.862903226</v>
      </c>
      <c r="P225" s="6" t="str">
        <f t="shared" si="2"/>
        <v>Post-Shift</v>
      </c>
      <c r="Q225" s="3">
        <f t="shared" si="3"/>
        <v>42</v>
      </c>
    </row>
    <row r="226">
      <c r="A226" s="4" t="s">
        <v>151</v>
      </c>
      <c r="B226" s="2" t="s">
        <v>23</v>
      </c>
      <c r="C226" s="2" t="s">
        <v>19</v>
      </c>
      <c r="D226" s="2" t="s">
        <v>24</v>
      </c>
      <c r="E226" s="2" t="s">
        <v>56</v>
      </c>
      <c r="F226" s="5">
        <v>86257.0</v>
      </c>
      <c r="G226" s="5">
        <v>4597.0</v>
      </c>
      <c r="H226" s="5">
        <v>0.0533</v>
      </c>
      <c r="I226" s="5">
        <v>0.83</v>
      </c>
      <c r="J226" s="5">
        <v>3815.51</v>
      </c>
      <c r="K226" s="5">
        <v>301.0</v>
      </c>
      <c r="L226" s="5">
        <v>12.68</v>
      </c>
      <c r="M226" s="5">
        <v>80903.28</v>
      </c>
      <c r="N226" s="5">
        <v>21.2</v>
      </c>
      <c r="O226" s="6">
        <f t="shared" si="1"/>
        <v>12.67611296</v>
      </c>
      <c r="P226" s="6" t="str">
        <f t="shared" si="2"/>
        <v>Post-Shift</v>
      </c>
      <c r="Q226" s="3">
        <f t="shared" si="3"/>
        <v>26</v>
      </c>
    </row>
    <row r="227">
      <c r="A227" s="4">
        <v>45515.0</v>
      </c>
      <c r="B227" s="2" t="s">
        <v>18</v>
      </c>
      <c r="C227" s="2" t="s">
        <v>31</v>
      </c>
      <c r="D227" s="2" t="s">
        <v>20</v>
      </c>
      <c r="E227" s="2" t="s">
        <v>56</v>
      </c>
      <c r="F227" s="5">
        <v>32518.0</v>
      </c>
      <c r="G227" s="5">
        <v>1258.0</v>
      </c>
      <c r="H227" s="5">
        <v>0.0387</v>
      </c>
      <c r="I227" s="5">
        <v>2.41</v>
      </c>
      <c r="J227" s="5">
        <v>3031.78</v>
      </c>
      <c r="K227" s="5">
        <v>12.0</v>
      </c>
      <c r="L227" s="5">
        <v>252.65</v>
      </c>
      <c r="M227" s="5">
        <v>2688.72</v>
      </c>
      <c r="N227" s="5">
        <v>0.89</v>
      </c>
      <c r="O227" s="6">
        <f t="shared" si="1"/>
        <v>252.6483333</v>
      </c>
      <c r="P227" s="6" t="str">
        <f t="shared" si="2"/>
        <v>Post-Shift</v>
      </c>
      <c r="Q227" s="3">
        <f t="shared" si="3"/>
        <v>45</v>
      </c>
    </row>
    <row r="228">
      <c r="A228" s="4" t="s">
        <v>152</v>
      </c>
      <c r="B228" s="2" t="s">
        <v>38</v>
      </c>
      <c r="C228" s="2" t="s">
        <v>41</v>
      </c>
      <c r="D228" s="2" t="s">
        <v>45</v>
      </c>
      <c r="E228" s="2" t="s">
        <v>56</v>
      </c>
      <c r="F228" s="5">
        <v>75269.0</v>
      </c>
      <c r="G228" s="5">
        <v>2604.0</v>
      </c>
      <c r="H228" s="5">
        <v>0.0346</v>
      </c>
      <c r="I228" s="5">
        <v>0.83</v>
      </c>
      <c r="J228" s="5">
        <v>2161.32</v>
      </c>
      <c r="K228" s="5">
        <v>70.0</v>
      </c>
      <c r="L228" s="5">
        <v>30.88</v>
      </c>
      <c r="M228" s="5">
        <v>3191.14</v>
      </c>
      <c r="N228" s="5">
        <v>1.48</v>
      </c>
      <c r="O228" s="6">
        <f t="shared" si="1"/>
        <v>30.876</v>
      </c>
      <c r="P228" s="6" t="str">
        <f t="shared" si="2"/>
        <v>Post-Shift</v>
      </c>
      <c r="Q228" s="3">
        <f t="shared" si="3"/>
        <v>30</v>
      </c>
    </row>
    <row r="229">
      <c r="A229" s="4" t="s">
        <v>75</v>
      </c>
      <c r="B229" s="2" t="s">
        <v>18</v>
      </c>
      <c r="C229" s="2" t="s">
        <v>27</v>
      </c>
      <c r="D229" s="2" t="s">
        <v>24</v>
      </c>
      <c r="E229" s="2" t="s">
        <v>36</v>
      </c>
      <c r="F229" s="5">
        <v>20534.0</v>
      </c>
      <c r="G229" s="5">
        <v>993.0</v>
      </c>
      <c r="H229" s="5">
        <v>0.0484</v>
      </c>
      <c r="I229" s="5">
        <v>2.87</v>
      </c>
      <c r="J229" s="5">
        <v>2849.91</v>
      </c>
      <c r="K229" s="5">
        <v>49.0</v>
      </c>
      <c r="L229" s="5">
        <v>58.16</v>
      </c>
      <c r="M229" s="5">
        <v>1762.93</v>
      </c>
      <c r="N229" s="5">
        <v>0.62</v>
      </c>
      <c r="O229" s="6">
        <f t="shared" si="1"/>
        <v>58.16142857</v>
      </c>
      <c r="P229" s="6" t="str">
        <f t="shared" si="2"/>
        <v>Post-Shift</v>
      </c>
      <c r="Q229" s="3">
        <f t="shared" si="3"/>
        <v>20</v>
      </c>
    </row>
    <row r="230">
      <c r="A230" s="4" t="s">
        <v>153</v>
      </c>
      <c r="B230" s="2" t="s">
        <v>23</v>
      </c>
      <c r="C230" s="2" t="s">
        <v>31</v>
      </c>
      <c r="D230" s="2" t="s">
        <v>45</v>
      </c>
      <c r="E230" s="2" t="s">
        <v>21</v>
      </c>
      <c r="F230" s="5">
        <v>98500.0</v>
      </c>
      <c r="G230" s="5">
        <v>5614.0</v>
      </c>
      <c r="H230" s="5">
        <v>0.057</v>
      </c>
      <c r="I230" s="5">
        <v>0.61</v>
      </c>
      <c r="J230" s="5">
        <v>3424.54</v>
      </c>
      <c r="K230" s="5">
        <v>220.0</v>
      </c>
      <c r="L230" s="5">
        <v>15.57</v>
      </c>
      <c r="M230" s="5">
        <v>7676.57</v>
      </c>
      <c r="N230" s="5">
        <v>2.24</v>
      </c>
      <c r="O230" s="6">
        <f t="shared" si="1"/>
        <v>15.56609091</v>
      </c>
      <c r="P230" s="6" t="str">
        <f t="shared" si="2"/>
        <v>Post-Shift</v>
      </c>
      <c r="Q230" s="3">
        <f t="shared" si="3"/>
        <v>46</v>
      </c>
    </row>
    <row r="231">
      <c r="A231" s="4" t="s">
        <v>102</v>
      </c>
      <c r="B231" s="2" t="s">
        <v>23</v>
      </c>
      <c r="C231" s="2" t="s">
        <v>19</v>
      </c>
      <c r="D231" s="2" t="s">
        <v>20</v>
      </c>
      <c r="E231" s="2" t="s">
        <v>21</v>
      </c>
      <c r="F231" s="5">
        <v>41468.0</v>
      </c>
      <c r="G231" s="5">
        <v>3354.0</v>
      </c>
      <c r="H231" s="5">
        <v>0.0809</v>
      </c>
      <c r="I231" s="5">
        <v>1.11</v>
      </c>
      <c r="J231" s="5">
        <v>3722.94</v>
      </c>
      <c r="K231" s="5">
        <v>81.0</v>
      </c>
      <c r="L231" s="5">
        <v>45.96</v>
      </c>
      <c r="M231" s="5">
        <v>5215.94</v>
      </c>
      <c r="N231" s="5">
        <v>1.4</v>
      </c>
      <c r="O231" s="6">
        <f t="shared" si="1"/>
        <v>45.96222222</v>
      </c>
      <c r="P231" s="6" t="str">
        <f t="shared" si="2"/>
        <v>Post-Shift</v>
      </c>
      <c r="Q231" s="3">
        <f t="shared" si="3"/>
        <v>30</v>
      </c>
    </row>
    <row r="232">
      <c r="A232" s="4" t="s">
        <v>47</v>
      </c>
      <c r="B232" s="2" t="s">
        <v>18</v>
      </c>
      <c r="C232" s="2" t="s">
        <v>27</v>
      </c>
      <c r="D232" s="2" t="s">
        <v>29</v>
      </c>
      <c r="E232" s="2" t="s">
        <v>36</v>
      </c>
      <c r="F232" s="5">
        <v>123696.0</v>
      </c>
      <c r="G232" s="5">
        <v>6531.0</v>
      </c>
      <c r="H232" s="5">
        <v>0.0528</v>
      </c>
      <c r="I232" s="5">
        <v>2.58</v>
      </c>
      <c r="J232" s="5">
        <v>16849.98</v>
      </c>
      <c r="K232" s="5">
        <v>466.0</v>
      </c>
      <c r="L232" s="5">
        <v>36.16</v>
      </c>
      <c r="M232" s="5">
        <v>62974.93</v>
      </c>
      <c r="N232" s="5">
        <v>3.74</v>
      </c>
      <c r="O232" s="6">
        <f t="shared" si="1"/>
        <v>36.15875536</v>
      </c>
      <c r="P232" s="6" t="str">
        <f t="shared" si="2"/>
        <v>Post-Shift</v>
      </c>
      <c r="Q232" s="3">
        <f t="shared" si="3"/>
        <v>22</v>
      </c>
    </row>
    <row r="233">
      <c r="A233" s="4">
        <v>45515.0</v>
      </c>
      <c r="B233" s="2" t="s">
        <v>38</v>
      </c>
      <c r="C233" s="2" t="s">
        <v>31</v>
      </c>
      <c r="D233" s="2" t="s">
        <v>24</v>
      </c>
      <c r="E233" s="2" t="s">
        <v>33</v>
      </c>
      <c r="F233" s="5">
        <v>81848.0</v>
      </c>
      <c r="G233" s="5">
        <v>1694.0</v>
      </c>
      <c r="H233" s="5">
        <v>0.0207</v>
      </c>
      <c r="I233" s="5">
        <v>1.29</v>
      </c>
      <c r="J233" s="5">
        <v>2185.26</v>
      </c>
      <c r="K233" s="5">
        <v>58.0</v>
      </c>
      <c r="L233" s="5">
        <v>37.68</v>
      </c>
      <c r="M233" s="5">
        <v>7573.87</v>
      </c>
      <c r="N233" s="5">
        <v>3.47</v>
      </c>
      <c r="O233" s="6">
        <f t="shared" si="1"/>
        <v>37.67689655</v>
      </c>
      <c r="P233" s="6" t="str">
        <f t="shared" si="2"/>
        <v>Post-Shift</v>
      </c>
      <c r="Q233" s="3">
        <f t="shared" si="3"/>
        <v>45</v>
      </c>
    </row>
    <row r="234">
      <c r="A234" s="4" t="s">
        <v>49</v>
      </c>
      <c r="B234" s="2" t="s">
        <v>18</v>
      </c>
      <c r="C234" s="2" t="s">
        <v>41</v>
      </c>
      <c r="D234" s="2" t="s">
        <v>24</v>
      </c>
      <c r="E234" s="2" t="s">
        <v>36</v>
      </c>
      <c r="F234" s="5">
        <v>92923.0</v>
      </c>
      <c r="G234" s="5">
        <v>1932.0</v>
      </c>
      <c r="H234" s="5">
        <v>0.0208</v>
      </c>
      <c r="I234" s="5">
        <v>3.17</v>
      </c>
      <c r="J234" s="5">
        <v>6124.44</v>
      </c>
      <c r="K234" s="5">
        <v>32.0</v>
      </c>
      <c r="L234" s="5">
        <v>191.39</v>
      </c>
      <c r="M234" s="5">
        <v>1855.78</v>
      </c>
      <c r="N234" s="5">
        <v>0.3</v>
      </c>
      <c r="O234" s="6">
        <f t="shared" si="1"/>
        <v>191.38875</v>
      </c>
      <c r="P234" s="6" t="str">
        <f t="shared" si="2"/>
        <v>Post-Shift</v>
      </c>
      <c r="Q234" s="3">
        <f t="shared" si="3"/>
        <v>9</v>
      </c>
    </row>
    <row r="235">
      <c r="A235" s="4">
        <v>45546.0</v>
      </c>
      <c r="B235" s="2" t="s">
        <v>18</v>
      </c>
      <c r="C235" s="2" t="s">
        <v>31</v>
      </c>
      <c r="D235" s="2" t="s">
        <v>45</v>
      </c>
      <c r="E235" s="2" t="s">
        <v>25</v>
      </c>
      <c r="F235" s="5">
        <v>170732.0</v>
      </c>
      <c r="G235" s="5">
        <v>7700.0</v>
      </c>
      <c r="H235" s="5">
        <v>0.0451</v>
      </c>
      <c r="I235" s="5">
        <v>0.81</v>
      </c>
      <c r="J235" s="5">
        <v>6237.0</v>
      </c>
      <c r="K235" s="5">
        <v>434.0</v>
      </c>
      <c r="L235" s="5">
        <v>14.37</v>
      </c>
      <c r="M235" s="5">
        <v>53677.08</v>
      </c>
      <c r="N235" s="5">
        <v>8.61</v>
      </c>
      <c r="O235" s="6">
        <f t="shared" si="1"/>
        <v>14.37096774</v>
      </c>
      <c r="P235" s="6" t="str">
        <f t="shared" si="2"/>
        <v>Post-Shift</v>
      </c>
      <c r="Q235" s="3">
        <f t="shared" si="3"/>
        <v>45</v>
      </c>
    </row>
    <row r="236">
      <c r="A236" s="4">
        <v>45361.0</v>
      </c>
      <c r="B236" s="2" t="s">
        <v>18</v>
      </c>
      <c r="C236" s="2" t="s">
        <v>41</v>
      </c>
      <c r="D236" s="2" t="s">
        <v>45</v>
      </c>
      <c r="E236" s="2" t="s">
        <v>58</v>
      </c>
      <c r="F236" s="5">
        <v>86471.0</v>
      </c>
      <c r="G236" s="5">
        <v>4859.0</v>
      </c>
      <c r="H236" s="5">
        <v>0.0562</v>
      </c>
      <c r="I236" s="5">
        <v>1.57</v>
      </c>
      <c r="J236" s="5">
        <v>7628.63</v>
      </c>
      <c r="K236" s="5">
        <v>248.0</v>
      </c>
      <c r="L236" s="5">
        <v>30.76</v>
      </c>
      <c r="M236" s="5">
        <v>19852.56</v>
      </c>
      <c r="N236" s="5">
        <v>2.6</v>
      </c>
      <c r="O236" s="6">
        <f t="shared" si="1"/>
        <v>30.76060484</v>
      </c>
      <c r="P236" s="6" t="str">
        <f t="shared" si="2"/>
        <v>Baseline</v>
      </c>
      <c r="Q236" s="3">
        <f t="shared" si="3"/>
        <v>40</v>
      </c>
    </row>
    <row r="237">
      <c r="A237" s="4" t="s">
        <v>103</v>
      </c>
      <c r="B237" s="2" t="s">
        <v>38</v>
      </c>
      <c r="C237" s="2" t="s">
        <v>41</v>
      </c>
      <c r="D237" s="2" t="s">
        <v>24</v>
      </c>
      <c r="E237" s="2" t="s">
        <v>25</v>
      </c>
      <c r="F237" s="5">
        <v>115986.0</v>
      </c>
      <c r="G237" s="5">
        <v>1357.0</v>
      </c>
      <c r="H237" s="5">
        <v>0.0117</v>
      </c>
      <c r="I237" s="5">
        <v>1.48</v>
      </c>
      <c r="J237" s="5">
        <v>2008.36</v>
      </c>
      <c r="K237" s="5">
        <v>79.0</v>
      </c>
      <c r="L237" s="5">
        <v>25.42</v>
      </c>
      <c r="M237" s="5">
        <v>8002.44</v>
      </c>
      <c r="N237" s="5">
        <v>3.98</v>
      </c>
      <c r="O237" s="6">
        <f t="shared" si="1"/>
        <v>25.42227848</v>
      </c>
      <c r="P237" s="6" t="str">
        <f t="shared" si="2"/>
        <v>Post-Shift</v>
      </c>
      <c r="Q237" s="3">
        <f t="shared" si="3"/>
        <v>43</v>
      </c>
    </row>
    <row r="238">
      <c r="A238" s="4" t="s">
        <v>154</v>
      </c>
      <c r="B238" s="2" t="s">
        <v>23</v>
      </c>
      <c r="C238" s="2" t="s">
        <v>41</v>
      </c>
      <c r="D238" s="2" t="s">
        <v>29</v>
      </c>
      <c r="E238" s="2" t="s">
        <v>30</v>
      </c>
      <c r="F238" s="5">
        <v>42019.0</v>
      </c>
      <c r="G238" s="5">
        <v>2979.0</v>
      </c>
      <c r="H238" s="5">
        <v>0.0709</v>
      </c>
      <c r="I238" s="5">
        <v>1.51</v>
      </c>
      <c r="J238" s="5">
        <v>4498.29</v>
      </c>
      <c r="K238" s="5">
        <v>234.0</v>
      </c>
      <c r="L238" s="5">
        <v>19.22</v>
      </c>
      <c r="M238" s="5">
        <v>56724.23</v>
      </c>
      <c r="N238" s="5">
        <v>12.61</v>
      </c>
      <c r="O238" s="6">
        <f t="shared" si="1"/>
        <v>19.22346154</v>
      </c>
      <c r="P238" s="6" t="str">
        <f t="shared" si="2"/>
        <v>Post-Shift</v>
      </c>
      <c r="Q238" s="3">
        <f t="shared" si="3"/>
        <v>25</v>
      </c>
    </row>
    <row r="239">
      <c r="A239" s="4" t="s">
        <v>113</v>
      </c>
      <c r="B239" s="2" t="s">
        <v>23</v>
      </c>
      <c r="C239" s="2" t="s">
        <v>31</v>
      </c>
      <c r="D239" s="2" t="s">
        <v>24</v>
      </c>
      <c r="E239" s="2" t="s">
        <v>30</v>
      </c>
      <c r="F239" s="5">
        <v>34063.0</v>
      </c>
      <c r="G239" s="5">
        <v>1243.0</v>
      </c>
      <c r="H239" s="5">
        <v>0.0365</v>
      </c>
      <c r="I239" s="5">
        <v>0.38</v>
      </c>
      <c r="J239" s="5">
        <v>472.34</v>
      </c>
      <c r="K239" s="5">
        <v>40.0</v>
      </c>
      <c r="L239" s="5">
        <v>11.81</v>
      </c>
      <c r="M239" s="5">
        <v>10897.53</v>
      </c>
      <c r="N239" s="5">
        <v>23.07</v>
      </c>
      <c r="O239" s="6">
        <f t="shared" si="1"/>
        <v>11.8085</v>
      </c>
      <c r="P239" s="6" t="str">
        <f t="shared" si="2"/>
        <v>Post-Shift</v>
      </c>
      <c r="Q239" s="3">
        <f t="shared" si="3"/>
        <v>5</v>
      </c>
    </row>
    <row r="240">
      <c r="A240" s="4" t="s">
        <v>132</v>
      </c>
      <c r="B240" s="2" t="s">
        <v>23</v>
      </c>
      <c r="C240" s="2" t="s">
        <v>31</v>
      </c>
      <c r="D240" s="2" t="s">
        <v>29</v>
      </c>
      <c r="E240" s="2" t="s">
        <v>58</v>
      </c>
      <c r="F240" s="5">
        <v>107476.0</v>
      </c>
      <c r="G240" s="5">
        <v>4707.0</v>
      </c>
      <c r="H240" s="5">
        <v>0.0438</v>
      </c>
      <c r="I240" s="5">
        <v>1.7</v>
      </c>
      <c r="J240" s="5">
        <v>8001.9</v>
      </c>
      <c r="K240" s="5">
        <v>293.0</v>
      </c>
      <c r="L240" s="5">
        <v>27.31</v>
      </c>
      <c r="M240" s="5">
        <v>72605.27</v>
      </c>
      <c r="N240" s="5">
        <v>9.07</v>
      </c>
      <c r="O240" s="6">
        <f t="shared" si="1"/>
        <v>27.31023891</v>
      </c>
      <c r="P240" s="6" t="str">
        <f t="shared" si="2"/>
        <v>Post-Shift</v>
      </c>
      <c r="Q240" s="3">
        <f t="shared" si="3"/>
        <v>15</v>
      </c>
    </row>
    <row r="241">
      <c r="A241" s="4" t="s">
        <v>155</v>
      </c>
      <c r="B241" s="2" t="s">
        <v>23</v>
      </c>
      <c r="C241" s="2" t="s">
        <v>19</v>
      </c>
      <c r="D241" s="2" t="s">
        <v>20</v>
      </c>
      <c r="E241" s="2" t="s">
        <v>36</v>
      </c>
      <c r="F241" s="5">
        <v>33302.0</v>
      </c>
      <c r="G241" s="5">
        <v>3007.0</v>
      </c>
      <c r="H241" s="5">
        <v>0.0903</v>
      </c>
      <c r="I241" s="5">
        <v>0.28</v>
      </c>
      <c r="J241" s="5">
        <v>841.96</v>
      </c>
      <c r="K241" s="5">
        <v>95.0</v>
      </c>
      <c r="L241" s="5">
        <v>8.86</v>
      </c>
      <c r="M241" s="5">
        <v>3253.81</v>
      </c>
      <c r="N241" s="5">
        <v>3.86</v>
      </c>
      <c r="O241" s="6">
        <f t="shared" si="1"/>
        <v>8.862736842</v>
      </c>
      <c r="P241" s="6" t="str">
        <f t="shared" si="2"/>
        <v>Post-Shift</v>
      </c>
      <c r="Q241" s="3">
        <f t="shared" si="3"/>
        <v>51</v>
      </c>
    </row>
    <row r="242">
      <c r="A242" s="4" t="s">
        <v>156</v>
      </c>
      <c r="B242" s="2" t="s">
        <v>18</v>
      </c>
      <c r="C242" s="2" t="s">
        <v>31</v>
      </c>
      <c r="D242" s="2" t="s">
        <v>32</v>
      </c>
      <c r="E242" s="2" t="s">
        <v>30</v>
      </c>
      <c r="F242" s="5">
        <v>70206.0</v>
      </c>
      <c r="G242" s="5">
        <v>3945.0</v>
      </c>
      <c r="H242" s="5">
        <v>0.0562</v>
      </c>
      <c r="I242" s="5">
        <v>3.6</v>
      </c>
      <c r="J242" s="5">
        <v>14202.0</v>
      </c>
      <c r="K242" s="5">
        <v>248.0</v>
      </c>
      <c r="L242" s="5">
        <v>57.27</v>
      </c>
      <c r="M242" s="5">
        <v>37055.99</v>
      </c>
      <c r="N242" s="5">
        <v>2.61</v>
      </c>
      <c r="O242" s="6">
        <f t="shared" si="1"/>
        <v>57.26612903</v>
      </c>
      <c r="P242" s="6" t="str">
        <f t="shared" si="2"/>
        <v>Post-Shift</v>
      </c>
      <c r="Q242" s="3">
        <f t="shared" si="3"/>
        <v>51</v>
      </c>
    </row>
    <row r="243">
      <c r="A243" s="4" t="s">
        <v>111</v>
      </c>
      <c r="B243" s="2" t="s">
        <v>38</v>
      </c>
      <c r="C243" s="2" t="s">
        <v>27</v>
      </c>
      <c r="D243" s="2" t="s">
        <v>45</v>
      </c>
      <c r="E243" s="2" t="s">
        <v>33</v>
      </c>
      <c r="F243" s="5">
        <v>16094.0</v>
      </c>
      <c r="G243" s="5">
        <v>616.0</v>
      </c>
      <c r="H243" s="5">
        <v>0.0383</v>
      </c>
      <c r="I243" s="5">
        <v>2.29</v>
      </c>
      <c r="J243" s="5">
        <v>1410.64</v>
      </c>
      <c r="K243" s="5">
        <v>40.0</v>
      </c>
      <c r="L243" s="5">
        <v>35.27</v>
      </c>
      <c r="M243" s="5">
        <v>8923.08</v>
      </c>
      <c r="N243" s="5">
        <v>6.33</v>
      </c>
      <c r="O243" s="6">
        <f t="shared" si="1"/>
        <v>35.266</v>
      </c>
      <c r="P243" s="6" t="str">
        <f t="shared" si="2"/>
        <v>Post-Shift</v>
      </c>
      <c r="Q243" s="3">
        <f t="shared" si="3"/>
        <v>7</v>
      </c>
    </row>
    <row r="244">
      <c r="A244" s="4">
        <v>45357.0</v>
      </c>
      <c r="B244" s="2" t="s">
        <v>38</v>
      </c>
      <c r="C244" s="2" t="s">
        <v>27</v>
      </c>
      <c r="D244" s="2" t="s">
        <v>20</v>
      </c>
      <c r="E244" s="2" t="s">
        <v>21</v>
      </c>
      <c r="F244" s="5">
        <v>182718.0</v>
      </c>
      <c r="G244" s="5">
        <v>2558.0</v>
      </c>
      <c r="H244" s="5">
        <v>0.014</v>
      </c>
      <c r="I244" s="5">
        <v>1.36</v>
      </c>
      <c r="J244" s="5">
        <v>3478.88</v>
      </c>
      <c r="K244" s="5">
        <v>124.0</v>
      </c>
      <c r="L244" s="5">
        <v>28.06</v>
      </c>
      <c r="M244" s="5">
        <v>28756.15</v>
      </c>
      <c r="N244" s="5">
        <v>8.27</v>
      </c>
      <c r="O244" s="6">
        <f t="shared" si="1"/>
        <v>28.05548387</v>
      </c>
      <c r="P244" s="6" t="str">
        <f t="shared" si="2"/>
        <v>Baseline</v>
      </c>
      <c r="Q244" s="3">
        <f t="shared" si="3"/>
        <v>23</v>
      </c>
    </row>
    <row r="245">
      <c r="A245" s="4">
        <v>45299.0</v>
      </c>
      <c r="B245" s="2" t="s">
        <v>23</v>
      </c>
      <c r="C245" s="2" t="s">
        <v>19</v>
      </c>
      <c r="D245" s="2" t="s">
        <v>24</v>
      </c>
      <c r="E245" s="2" t="s">
        <v>56</v>
      </c>
      <c r="F245" s="5">
        <v>66169.0</v>
      </c>
      <c r="G245" s="5">
        <v>2057.0</v>
      </c>
      <c r="H245" s="5">
        <v>0.0311</v>
      </c>
      <c r="I245" s="5">
        <v>1.49</v>
      </c>
      <c r="J245" s="5">
        <v>3064.93</v>
      </c>
      <c r="K245" s="5">
        <v>136.0</v>
      </c>
      <c r="L245" s="5">
        <v>22.54</v>
      </c>
      <c r="M245" s="5">
        <v>39364.99</v>
      </c>
      <c r="N245" s="5">
        <v>12.84</v>
      </c>
      <c r="O245" s="6">
        <f t="shared" si="1"/>
        <v>22.53625</v>
      </c>
      <c r="P245" s="6" t="str">
        <f t="shared" si="2"/>
        <v>Baseline</v>
      </c>
      <c r="Q245" s="3">
        <f t="shared" si="3"/>
        <v>31</v>
      </c>
    </row>
    <row r="246">
      <c r="A246" s="4" t="s">
        <v>157</v>
      </c>
      <c r="B246" s="2" t="s">
        <v>38</v>
      </c>
      <c r="C246" s="2" t="s">
        <v>31</v>
      </c>
      <c r="D246" s="2" t="s">
        <v>32</v>
      </c>
      <c r="E246" s="2" t="s">
        <v>56</v>
      </c>
      <c r="F246" s="5">
        <v>24404.0</v>
      </c>
      <c r="G246" s="5">
        <v>710.0</v>
      </c>
      <c r="H246" s="5">
        <v>0.0291</v>
      </c>
      <c r="I246" s="5">
        <v>0.61</v>
      </c>
      <c r="J246" s="5">
        <v>433.1</v>
      </c>
      <c r="K246" s="5">
        <v>10.0</v>
      </c>
      <c r="L246" s="5">
        <v>43.31</v>
      </c>
      <c r="M246" s="5">
        <v>923.15</v>
      </c>
      <c r="N246" s="5">
        <v>2.13</v>
      </c>
      <c r="O246" s="6">
        <f t="shared" si="1"/>
        <v>43.31</v>
      </c>
      <c r="P246" s="6" t="str">
        <f t="shared" si="2"/>
        <v>Post-Shift</v>
      </c>
      <c r="Q246" s="3">
        <f t="shared" si="3"/>
        <v>2</v>
      </c>
    </row>
    <row r="247">
      <c r="A247" s="4" t="s">
        <v>61</v>
      </c>
      <c r="B247" s="2" t="s">
        <v>23</v>
      </c>
      <c r="C247" s="2" t="s">
        <v>31</v>
      </c>
      <c r="D247" s="2" t="s">
        <v>24</v>
      </c>
      <c r="E247" s="2" t="s">
        <v>58</v>
      </c>
      <c r="F247" s="5">
        <v>30517.0</v>
      </c>
      <c r="G247" s="5">
        <v>2575.0</v>
      </c>
      <c r="H247" s="5">
        <v>0.0844</v>
      </c>
      <c r="I247" s="5">
        <v>0.8</v>
      </c>
      <c r="J247" s="5">
        <v>2060.0</v>
      </c>
      <c r="K247" s="5">
        <v>205.0</v>
      </c>
      <c r="L247" s="5">
        <v>10.05</v>
      </c>
      <c r="M247" s="5">
        <v>7811.94</v>
      </c>
      <c r="N247" s="5">
        <v>3.79</v>
      </c>
      <c r="O247" s="6">
        <f t="shared" si="1"/>
        <v>10.04878049</v>
      </c>
      <c r="P247" s="6" t="str">
        <f t="shared" si="2"/>
        <v>Post-Shift</v>
      </c>
      <c r="Q247" s="3">
        <f t="shared" si="3"/>
        <v>21</v>
      </c>
    </row>
    <row r="248">
      <c r="A248" s="4">
        <v>45386.0</v>
      </c>
      <c r="B248" s="2" t="s">
        <v>23</v>
      </c>
      <c r="C248" s="2" t="s">
        <v>27</v>
      </c>
      <c r="D248" s="2" t="s">
        <v>45</v>
      </c>
      <c r="E248" s="2" t="s">
        <v>58</v>
      </c>
      <c r="F248" s="5">
        <v>145148.0</v>
      </c>
      <c r="G248" s="5">
        <v>5762.0</v>
      </c>
      <c r="H248" s="5">
        <v>0.0397</v>
      </c>
      <c r="I248" s="5">
        <v>1.49</v>
      </c>
      <c r="J248" s="5">
        <v>8585.38</v>
      </c>
      <c r="K248" s="5">
        <v>213.0</v>
      </c>
      <c r="L248" s="5">
        <v>40.31</v>
      </c>
      <c r="M248" s="5">
        <v>10475.22</v>
      </c>
      <c r="N248" s="5">
        <v>1.22</v>
      </c>
      <c r="O248" s="6">
        <f t="shared" si="1"/>
        <v>40.30694836</v>
      </c>
      <c r="P248" s="6" t="str">
        <f t="shared" si="2"/>
        <v>Baseline</v>
      </c>
      <c r="Q248" s="3">
        <f t="shared" si="3"/>
        <v>14</v>
      </c>
    </row>
    <row r="249">
      <c r="A249" s="4" t="s">
        <v>158</v>
      </c>
      <c r="B249" s="2" t="s">
        <v>18</v>
      </c>
      <c r="C249" s="2" t="s">
        <v>41</v>
      </c>
      <c r="D249" s="2" t="s">
        <v>20</v>
      </c>
      <c r="E249" s="2" t="s">
        <v>33</v>
      </c>
      <c r="F249" s="5">
        <v>37101.0</v>
      </c>
      <c r="G249" s="5">
        <v>2166.0</v>
      </c>
      <c r="H249" s="5">
        <v>0.0584</v>
      </c>
      <c r="I249" s="5">
        <v>2.95</v>
      </c>
      <c r="J249" s="5">
        <v>6389.7</v>
      </c>
      <c r="K249" s="5">
        <v>45.0</v>
      </c>
      <c r="L249" s="5">
        <v>141.99</v>
      </c>
      <c r="M249" s="5">
        <v>3868.37</v>
      </c>
      <c r="N249" s="5">
        <v>0.61</v>
      </c>
      <c r="O249" s="6">
        <f t="shared" si="1"/>
        <v>141.9933333</v>
      </c>
      <c r="P249" s="6" t="str">
        <f t="shared" si="2"/>
        <v>Post-Shift</v>
      </c>
      <c r="Q249" s="3">
        <f t="shared" si="3"/>
        <v>8</v>
      </c>
    </row>
    <row r="250">
      <c r="A250" s="4">
        <v>45506.0</v>
      </c>
      <c r="B250" s="2" t="s">
        <v>38</v>
      </c>
      <c r="C250" s="2" t="s">
        <v>19</v>
      </c>
      <c r="D250" s="2" t="s">
        <v>24</v>
      </c>
      <c r="E250" s="2" t="s">
        <v>25</v>
      </c>
      <c r="F250" s="5">
        <v>151480.0</v>
      </c>
      <c r="G250" s="5">
        <v>2514.0</v>
      </c>
      <c r="H250" s="5">
        <v>0.0166</v>
      </c>
      <c r="I250" s="5">
        <v>2.06</v>
      </c>
      <c r="J250" s="5">
        <v>5178.84</v>
      </c>
      <c r="K250" s="5">
        <v>72.0</v>
      </c>
      <c r="L250" s="5">
        <v>71.93</v>
      </c>
      <c r="M250" s="5">
        <v>4076.45</v>
      </c>
      <c r="N250" s="5">
        <v>0.79</v>
      </c>
      <c r="O250" s="6">
        <f t="shared" si="1"/>
        <v>71.92833333</v>
      </c>
      <c r="P250" s="6" t="str">
        <f t="shared" si="2"/>
        <v>Post-Shift</v>
      </c>
      <c r="Q250" s="3">
        <f t="shared" si="3"/>
        <v>6</v>
      </c>
    </row>
    <row r="251">
      <c r="A251" s="4">
        <v>45416.0</v>
      </c>
      <c r="B251" s="2" t="s">
        <v>23</v>
      </c>
      <c r="C251" s="2" t="s">
        <v>27</v>
      </c>
      <c r="D251" s="2" t="s">
        <v>24</v>
      </c>
      <c r="E251" s="2" t="s">
        <v>56</v>
      </c>
      <c r="F251" s="5">
        <v>159813.0</v>
      </c>
      <c r="G251" s="5">
        <v>7575.0</v>
      </c>
      <c r="H251" s="5">
        <v>0.0474</v>
      </c>
      <c r="I251" s="5">
        <v>0.9</v>
      </c>
      <c r="J251" s="5">
        <v>6817.5</v>
      </c>
      <c r="K251" s="5">
        <v>319.0</v>
      </c>
      <c r="L251" s="5">
        <v>21.37</v>
      </c>
      <c r="M251" s="5">
        <v>35965.7</v>
      </c>
      <c r="N251" s="5">
        <v>5.28</v>
      </c>
      <c r="O251" s="6">
        <f t="shared" si="1"/>
        <v>21.37147335</v>
      </c>
      <c r="P251" s="6" t="str">
        <f t="shared" si="2"/>
        <v>Baseline</v>
      </c>
      <c r="Q251" s="3">
        <f t="shared" si="3"/>
        <v>14</v>
      </c>
    </row>
    <row r="252">
      <c r="A252" s="4" t="s">
        <v>159</v>
      </c>
      <c r="B252" s="2" t="s">
        <v>23</v>
      </c>
      <c r="C252" s="2" t="s">
        <v>41</v>
      </c>
      <c r="D252" s="2" t="s">
        <v>29</v>
      </c>
      <c r="E252" s="2" t="s">
        <v>25</v>
      </c>
      <c r="F252" s="5">
        <v>135956.0</v>
      </c>
      <c r="G252" s="5">
        <v>11529.0</v>
      </c>
      <c r="H252" s="5">
        <v>0.0848</v>
      </c>
      <c r="I252" s="5">
        <v>0.5</v>
      </c>
      <c r="J252" s="5">
        <v>5764.5</v>
      </c>
      <c r="K252" s="5">
        <v>732.0</v>
      </c>
      <c r="L252" s="5">
        <v>7.88</v>
      </c>
      <c r="M252" s="5">
        <v>207824.5</v>
      </c>
      <c r="N252" s="5">
        <v>36.05</v>
      </c>
      <c r="O252" s="6">
        <f t="shared" si="1"/>
        <v>7.875</v>
      </c>
      <c r="P252" s="6" t="str">
        <f t="shared" si="2"/>
        <v>Post-Shift</v>
      </c>
      <c r="Q252" s="3">
        <f t="shared" si="3"/>
        <v>38</v>
      </c>
    </row>
    <row r="253">
      <c r="A253" s="4" t="s">
        <v>160</v>
      </c>
      <c r="B253" s="2" t="s">
        <v>18</v>
      </c>
      <c r="C253" s="2" t="s">
        <v>19</v>
      </c>
      <c r="D253" s="2" t="s">
        <v>32</v>
      </c>
      <c r="E253" s="2" t="s">
        <v>21</v>
      </c>
      <c r="F253" s="5">
        <v>70982.0</v>
      </c>
      <c r="G253" s="5">
        <v>2548.0</v>
      </c>
      <c r="H253" s="5">
        <v>0.0359</v>
      </c>
      <c r="I253" s="5">
        <v>2.88</v>
      </c>
      <c r="J253" s="5">
        <v>7338.24</v>
      </c>
      <c r="K253" s="5">
        <v>117.0</v>
      </c>
      <c r="L253" s="5">
        <v>62.72</v>
      </c>
      <c r="M253" s="5">
        <v>32045.18</v>
      </c>
      <c r="N253" s="5">
        <v>4.37</v>
      </c>
      <c r="O253" s="6">
        <f t="shared" si="1"/>
        <v>62.72</v>
      </c>
      <c r="P253" s="6" t="str">
        <f t="shared" si="2"/>
        <v>Post-Shift</v>
      </c>
      <c r="Q253" s="3">
        <f t="shared" si="3"/>
        <v>30</v>
      </c>
    </row>
    <row r="254">
      <c r="A254" s="4" t="s">
        <v>161</v>
      </c>
      <c r="B254" s="2" t="s">
        <v>23</v>
      </c>
      <c r="C254" s="2" t="s">
        <v>19</v>
      </c>
      <c r="D254" s="2" t="s">
        <v>29</v>
      </c>
      <c r="E254" s="2" t="s">
        <v>56</v>
      </c>
      <c r="F254" s="5">
        <v>132992.0</v>
      </c>
      <c r="G254" s="5">
        <v>7926.0</v>
      </c>
      <c r="H254" s="5">
        <v>0.0596</v>
      </c>
      <c r="I254" s="5">
        <v>0.64</v>
      </c>
      <c r="J254" s="5">
        <v>5072.64</v>
      </c>
      <c r="K254" s="5">
        <v>553.0</v>
      </c>
      <c r="L254" s="5">
        <v>9.17</v>
      </c>
      <c r="M254" s="5">
        <v>41271.28</v>
      </c>
      <c r="N254" s="5">
        <v>8.14</v>
      </c>
      <c r="O254" s="6">
        <f t="shared" si="1"/>
        <v>9.172947559</v>
      </c>
      <c r="P254" s="6" t="str">
        <f t="shared" si="2"/>
        <v>Post-Shift</v>
      </c>
      <c r="Q254" s="3">
        <f t="shared" si="3"/>
        <v>12</v>
      </c>
    </row>
    <row r="255">
      <c r="A255" s="4" t="s">
        <v>52</v>
      </c>
      <c r="B255" s="2" t="s">
        <v>23</v>
      </c>
      <c r="C255" s="2" t="s">
        <v>27</v>
      </c>
      <c r="D255" s="2" t="s">
        <v>29</v>
      </c>
      <c r="E255" s="2" t="s">
        <v>56</v>
      </c>
      <c r="F255" s="5">
        <v>13597.0</v>
      </c>
      <c r="G255" s="5">
        <v>747.0</v>
      </c>
      <c r="H255" s="5">
        <v>0.055</v>
      </c>
      <c r="I255" s="5">
        <v>1.91</v>
      </c>
      <c r="J255" s="5">
        <v>1426.77</v>
      </c>
      <c r="K255" s="5">
        <v>25.0</v>
      </c>
      <c r="L255" s="5">
        <v>57.07</v>
      </c>
      <c r="M255" s="5">
        <v>5673.88</v>
      </c>
      <c r="N255" s="5">
        <v>3.98</v>
      </c>
      <c r="O255" s="6">
        <f t="shared" si="1"/>
        <v>57.0708</v>
      </c>
      <c r="P255" s="6" t="str">
        <f t="shared" si="2"/>
        <v>Post-Shift</v>
      </c>
      <c r="Q255" s="3">
        <f t="shared" si="3"/>
        <v>33</v>
      </c>
    </row>
    <row r="256">
      <c r="A256" s="4">
        <v>45448.0</v>
      </c>
      <c r="B256" s="2" t="s">
        <v>38</v>
      </c>
      <c r="C256" s="2" t="s">
        <v>19</v>
      </c>
      <c r="D256" s="2" t="s">
        <v>24</v>
      </c>
      <c r="E256" s="2" t="s">
        <v>30</v>
      </c>
      <c r="F256" s="5">
        <v>199472.0</v>
      </c>
      <c r="G256" s="5">
        <v>5286.0</v>
      </c>
      <c r="H256" s="5">
        <v>0.0265</v>
      </c>
      <c r="I256" s="5">
        <v>1.32</v>
      </c>
      <c r="J256" s="5">
        <v>6977.52</v>
      </c>
      <c r="K256" s="5">
        <v>192.0</v>
      </c>
      <c r="L256" s="5">
        <v>36.34</v>
      </c>
      <c r="M256" s="5">
        <v>17789.77</v>
      </c>
      <c r="N256" s="5">
        <v>2.55</v>
      </c>
      <c r="O256" s="6">
        <f t="shared" si="1"/>
        <v>36.34125</v>
      </c>
      <c r="P256" s="6" t="str">
        <f t="shared" si="2"/>
        <v>Baseline</v>
      </c>
      <c r="Q256" s="3">
        <f t="shared" si="3"/>
        <v>19</v>
      </c>
    </row>
    <row r="257">
      <c r="A257" s="4" t="s">
        <v>64</v>
      </c>
      <c r="B257" s="2" t="s">
        <v>18</v>
      </c>
      <c r="C257" s="2" t="s">
        <v>19</v>
      </c>
      <c r="D257" s="2" t="s">
        <v>29</v>
      </c>
      <c r="E257" s="2" t="s">
        <v>30</v>
      </c>
      <c r="F257" s="5">
        <v>108751.0</v>
      </c>
      <c r="G257" s="5">
        <v>5459.0</v>
      </c>
      <c r="H257" s="5">
        <v>0.0502</v>
      </c>
      <c r="I257" s="5">
        <v>1.43</v>
      </c>
      <c r="J257" s="5">
        <v>7806.37</v>
      </c>
      <c r="K257" s="5">
        <v>345.0</v>
      </c>
      <c r="L257" s="5">
        <v>22.63</v>
      </c>
      <c r="M257" s="5">
        <v>24740.95</v>
      </c>
      <c r="N257" s="5">
        <v>3.17</v>
      </c>
      <c r="O257" s="6">
        <f t="shared" si="1"/>
        <v>22.62715942</v>
      </c>
      <c r="P257" s="6" t="str">
        <f t="shared" si="2"/>
        <v>Post-Shift</v>
      </c>
      <c r="Q257" s="3">
        <f t="shared" si="3"/>
        <v>9</v>
      </c>
    </row>
    <row r="258">
      <c r="A258" s="4" t="s">
        <v>117</v>
      </c>
      <c r="B258" s="2" t="s">
        <v>38</v>
      </c>
      <c r="C258" s="2" t="s">
        <v>41</v>
      </c>
      <c r="D258" s="2" t="s">
        <v>45</v>
      </c>
      <c r="E258" s="2" t="s">
        <v>56</v>
      </c>
      <c r="F258" s="5">
        <v>175591.0</v>
      </c>
      <c r="G258" s="5">
        <v>5864.0</v>
      </c>
      <c r="H258" s="5">
        <v>0.0334</v>
      </c>
      <c r="I258" s="5">
        <v>0.44</v>
      </c>
      <c r="J258" s="5">
        <v>2580.16</v>
      </c>
      <c r="K258" s="5">
        <v>333.0</v>
      </c>
      <c r="L258" s="5">
        <v>7.75</v>
      </c>
      <c r="M258" s="5">
        <v>52097.57</v>
      </c>
      <c r="N258" s="5">
        <v>20.19</v>
      </c>
      <c r="O258" s="6">
        <f t="shared" si="1"/>
        <v>7.748228228</v>
      </c>
      <c r="P258" s="6" t="str">
        <f t="shared" si="2"/>
        <v>Post-Shift</v>
      </c>
      <c r="Q258" s="3">
        <f t="shared" si="3"/>
        <v>52</v>
      </c>
    </row>
    <row r="259">
      <c r="A259" s="4">
        <v>45515.0</v>
      </c>
      <c r="B259" s="2" t="s">
        <v>23</v>
      </c>
      <c r="C259" s="2" t="s">
        <v>19</v>
      </c>
      <c r="D259" s="2" t="s">
        <v>24</v>
      </c>
      <c r="E259" s="2" t="s">
        <v>56</v>
      </c>
      <c r="F259" s="5">
        <v>36027.0</v>
      </c>
      <c r="G259" s="5">
        <v>2770.0</v>
      </c>
      <c r="H259" s="5">
        <v>0.0769</v>
      </c>
      <c r="I259" s="5">
        <v>1.08</v>
      </c>
      <c r="J259" s="5">
        <v>2991.6</v>
      </c>
      <c r="K259" s="5">
        <v>205.0</v>
      </c>
      <c r="L259" s="5">
        <v>14.59</v>
      </c>
      <c r="M259" s="5">
        <v>16618.85</v>
      </c>
      <c r="N259" s="5">
        <v>5.56</v>
      </c>
      <c r="O259" s="6">
        <f t="shared" si="1"/>
        <v>14.59317073</v>
      </c>
      <c r="P259" s="6" t="str">
        <f t="shared" si="2"/>
        <v>Post-Shift</v>
      </c>
      <c r="Q259" s="3">
        <f t="shared" si="3"/>
        <v>45</v>
      </c>
    </row>
    <row r="260">
      <c r="A260" s="4" t="s">
        <v>162</v>
      </c>
      <c r="B260" s="2" t="s">
        <v>23</v>
      </c>
      <c r="C260" s="2" t="s">
        <v>31</v>
      </c>
      <c r="D260" s="2" t="s">
        <v>45</v>
      </c>
      <c r="E260" s="2" t="s">
        <v>36</v>
      </c>
      <c r="F260" s="5">
        <v>57265.0</v>
      </c>
      <c r="G260" s="5">
        <v>2302.0</v>
      </c>
      <c r="H260" s="5">
        <v>0.0402</v>
      </c>
      <c r="I260" s="5">
        <v>1.3</v>
      </c>
      <c r="J260" s="5">
        <v>2992.6</v>
      </c>
      <c r="K260" s="5">
        <v>85.0</v>
      </c>
      <c r="L260" s="5">
        <v>35.21</v>
      </c>
      <c r="M260" s="5">
        <v>4068.49</v>
      </c>
      <c r="N260" s="5">
        <v>1.36</v>
      </c>
      <c r="O260" s="6">
        <f t="shared" si="1"/>
        <v>35.20705882</v>
      </c>
      <c r="P260" s="6" t="str">
        <f t="shared" si="2"/>
        <v>Post-Shift</v>
      </c>
      <c r="Q260" s="3">
        <f t="shared" si="3"/>
        <v>34</v>
      </c>
    </row>
    <row r="261">
      <c r="A261" s="4" t="s">
        <v>163</v>
      </c>
      <c r="B261" s="2" t="s">
        <v>18</v>
      </c>
      <c r="C261" s="2" t="s">
        <v>31</v>
      </c>
      <c r="D261" s="2" t="s">
        <v>20</v>
      </c>
      <c r="E261" s="2" t="s">
        <v>56</v>
      </c>
      <c r="F261" s="5">
        <v>161904.0</v>
      </c>
      <c r="G261" s="5">
        <v>4727.0</v>
      </c>
      <c r="H261" s="5">
        <v>0.0292</v>
      </c>
      <c r="I261" s="5">
        <v>1.64</v>
      </c>
      <c r="J261" s="5">
        <v>7752.28</v>
      </c>
      <c r="K261" s="5">
        <v>263.0</v>
      </c>
      <c r="L261" s="5">
        <v>29.48</v>
      </c>
      <c r="M261" s="5">
        <v>21545.93</v>
      </c>
      <c r="N261" s="5">
        <v>2.78</v>
      </c>
      <c r="O261" s="6">
        <f t="shared" si="1"/>
        <v>29.47634981</v>
      </c>
      <c r="P261" s="6" t="str">
        <f t="shared" si="2"/>
        <v>Post-Shift</v>
      </c>
      <c r="Q261" s="3">
        <f t="shared" si="3"/>
        <v>29</v>
      </c>
    </row>
    <row r="262">
      <c r="A262" s="4" t="s">
        <v>164</v>
      </c>
      <c r="B262" s="2" t="s">
        <v>18</v>
      </c>
      <c r="C262" s="2" t="s">
        <v>41</v>
      </c>
      <c r="D262" s="2" t="s">
        <v>29</v>
      </c>
      <c r="E262" s="2" t="s">
        <v>36</v>
      </c>
      <c r="F262" s="5">
        <v>49757.0</v>
      </c>
      <c r="G262" s="5">
        <v>1243.0</v>
      </c>
      <c r="H262" s="5">
        <v>0.025</v>
      </c>
      <c r="I262" s="5">
        <v>3.14</v>
      </c>
      <c r="J262" s="5">
        <v>3903.02</v>
      </c>
      <c r="K262" s="5">
        <v>39.0</v>
      </c>
      <c r="L262" s="5">
        <v>100.08</v>
      </c>
      <c r="M262" s="5">
        <v>4749.9</v>
      </c>
      <c r="N262" s="5">
        <v>1.22</v>
      </c>
      <c r="O262" s="6">
        <f t="shared" si="1"/>
        <v>100.0774359</v>
      </c>
      <c r="P262" s="6" t="str">
        <f t="shared" si="2"/>
        <v>Post-Shift</v>
      </c>
      <c r="Q262" s="3">
        <f t="shared" si="3"/>
        <v>35</v>
      </c>
    </row>
    <row r="263">
      <c r="A263" s="4" t="s">
        <v>165</v>
      </c>
      <c r="B263" s="2" t="s">
        <v>18</v>
      </c>
      <c r="C263" s="2" t="s">
        <v>27</v>
      </c>
      <c r="D263" s="2" t="s">
        <v>24</v>
      </c>
      <c r="E263" s="2" t="s">
        <v>30</v>
      </c>
      <c r="F263" s="5">
        <v>168623.0</v>
      </c>
      <c r="G263" s="5">
        <v>6896.0</v>
      </c>
      <c r="H263" s="5">
        <v>0.0409</v>
      </c>
      <c r="I263" s="5">
        <v>1.42</v>
      </c>
      <c r="J263" s="5">
        <v>9792.32</v>
      </c>
      <c r="K263" s="5">
        <v>200.0</v>
      </c>
      <c r="L263" s="5">
        <v>48.96</v>
      </c>
      <c r="M263" s="5">
        <v>24436.96</v>
      </c>
      <c r="N263" s="5">
        <v>2.5</v>
      </c>
      <c r="O263" s="6">
        <f t="shared" si="1"/>
        <v>48.9616</v>
      </c>
      <c r="P263" s="6" t="str">
        <f t="shared" si="2"/>
        <v>Post-Shift</v>
      </c>
      <c r="Q263" s="3">
        <f t="shared" si="3"/>
        <v>31</v>
      </c>
    </row>
    <row r="264">
      <c r="A264" s="4">
        <v>45452.0</v>
      </c>
      <c r="B264" s="2" t="s">
        <v>38</v>
      </c>
      <c r="C264" s="2" t="s">
        <v>27</v>
      </c>
      <c r="D264" s="2" t="s">
        <v>32</v>
      </c>
      <c r="E264" s="2" t="s">
        <v>36</v>
      </c>
      <c r="F264" s="5">
        <v>98079.0</v>
      </c>
      <c r="G264" s="5">
        <v>3226.0</v>
      </c>
      <c r="H264" s="5">
        <v>0.0329</v>
      </c>
      <c r="I264" s="5">
        <v>2.18</v>
      </c>
      <c r="J264" s="5">
        <v>7032.68</v>
      </c>
      <c r="K264" s="5">
        <v>44.0</v>
      </c>
      <c r="L264" s="5">
        <v>159.83</v>
      </c>
      <c r="M264" s="5">
        <v>1401.71</v>
      </c>
      <c r="N264" s="5">
        <v>0.2</v>
      </c>
      <c r="O264" s="6">
        <f t="shared" si="1"/>
        <v>159.8336364</v>
      </c>
      <c r="P264" s="6" t="str">
        <f t="shared" si="2"/>
        <v>Baseline</v>
      </c>
      <c r="Q264" s="3">
        <f t="shared" si="3"/>
        <v>36</v>
      </c>
    </row>
    <row r="265">
      <c r="A265" s="4" t="s">
        <v>77</v>
      </c>
      <c r="B265" s="2" t="s">
        <v>18</v>
      </c>
      <c r="C265" s="2" t="s">
        <v>19</v>
      </c>
      <c r="D265" s="2" t="s">
        <v>24</v>
      </c>
      <c r="E265" s="2" t="s">
        <v>25</v>
      </c>
      <c r="F265" s="5">
        <v>11305.0</v>
      </c>
      <c r="G265" s="5">
        <v>562.0</v>
      </c>
      <c r="H265" s="5">
        <v>0.0498</v>
      </c>
      <c r="I265" s="5">
        <v>1.72</v>
      </c>
      <c r="J265" s="5">
        <v>966.64</v>
      </c>
      <c r="K265" s="5">
        <v>42.0</v>
      </c>
      <c r="L265" s="5">
        <v>23.02</v>
      </c>
      <c r="M265" s="5">
        <v>8107.06</v>
      </c>
      <c r="N265" s="5">
        <v>8.39</v>
      </c>
      <c r="O265" s="6">
        <f t="shared" si="1"/>
        <v>23.0152381</v>
      </c>
      <c r="P265" s="6" t="str">
        <f t="shared" si="2"/>
        <v>Post-Shift</v>
      </c>
      <c r="Q265" s="3">
        <f t="shared" si="3"/>
        <v>26</v>
      </c>
    </row>
    <row r="266">
      <c r="A266" s="4" t="s">
        <v>166</v>
      </c>
      <c r="B266" s="2" t="s">
        <v>23</v>
      </c>
      <c r="C266" s="2" t="s">
        <v>31</v>
      </c>
      <c r="D266" s="2" t="s">
        <v>29</v>
      </c>
      <c r="E266" s="2" t="s">
        <v>56</v>
      </c>
      <c r="F266" s="5">
        <v>109188.0</v>
      </c>
      <c r="G266" s="5">
        <v>6354.0</v>
      </c>
      <c r="H266" s="5">
        <v>0.0582</v>
      </c>
      <c r="I266" s="5">
        <v>1.26</v>
      </c>
      <c r="J266" s="5">
        <v>8006.04</v>
      </c>
      <c r="K266" s="5">
        <v>216.0</v>
      </c>
      <c r="L266" s="5">
        <v>37.06</v>
      </c>
      <c r="M266" s="5">
        <v>49228.57</v>
      </c>
      <c r="N266" s="5">
        <v>6.15</v>
      </c>
      <c r="O266" s="6">
        <f t="shared" si="1"/>
        <v>37.065</v>
      </c>
      <c r="P266" s="6" t="str">
        <f t="shared" si="2"/>
        <v>Post-Shift</v>
      </c>
      <c r="Q266" s="3">
        <f t="shared" si="3"/>
        <v>43</v>
      </c>
    </row>
    <row r="267">
      <c r="A267" s="4" t="s">
        <v>37</v>
      </c>
      <c r="B267" s="2" t="s">
        <v>38</v>
      </c>
      <c r="C267" s="2" t="s">
        <v>41</v>
      </c>
      <c r="D267" s="2" t="s">
        <v>29</v>
      </c>
      <c r="E267" s="2" t="s">
        <v>33</v>
      </c>
      <c r="F267" s="5">
        <v>73309.0</v>
      </c>
      <c r="G267" s="5">
        <v>2323.0</v>
      </c>
      <c r="H267" s="5">
        <v>0.0317</v>
      </c>
      <c r="I267" s="5">
        <v>0.6</v>
      </c>
      <c r="J267" s="5">
        <v>1393.8</v>
      </c>
      <c r="K267" s="5">
        <v>39.0</v>
      </c>
      <c r="L267" s="5">
        <v>35.74</v>
      </c>
      <c r="M267" s="5">
        <v>1966.71</v>
      </c>
      <c r="N267" s="5">
        <v>1.41</v>
      </c>
      <c r="O267" s="6">
        <f t="shared" si="1"/>
        <v>35.73846154</v>
      </c>
      <c r="P267" s="6" t="str">
        <f t="shared" si="2"/>
        <v>Post-Shift</v>
      </c>
      <c r="Q267" s="3">
        <f t="shared" si="3"/>
        <v>33</v>
      </c>
    </row>
    <row r="268">
      <c r="A268" s="4" t="s">
        <v>57</v>
      </c>
      <c r="B268" s="2" t="s">
        <v>18</v>
      </c>
      <c r="C268" s="2" t="s">
        <v>27</v>
      </c>
      <c r="D268" s="2" t="s">
        <v>29</v>
      </c>
      <c r="E268" s="2" t="s">
        <v>56</v>
      </c>
      <c r="F268" s="5">
        <v>81996.0</v>
      </c>
      <c r="G268" s="5">
        <v>1508.0</v>
      </c>
      <c r="H268" s="5">
        <v>0.0184</v>
      </c>
      <c r="I268" s="5">
        <v>2.33</v>
      </c>
      <c r="J268" s="5">
        <v>3513.64</v>
      </c>
      <c r="K268" s="5">
        <v>75.0</v>
      </c>
      <c r="L268" s="5">
        <v>46.85</v>
      </c>
      <c r="M268" s="5">
        <v>8251.24</v>
      </c>
      <c r="N268" s="5">
        <v>2.35</v>
      </c>
      <c r="O268" s="6">
        <f t="shared" si="1"/>
        <v>46.84853333</v>
      </c>
      <c r="P268" s="6" t="str">
        <f t="shared" si="2"/>
        <v>Post-Shift</v>
      </c>
      <c r="Q268" s="3">
        <f t="shared" si="3"/>
        <v>50</v>
      </c>
    </row>
    <row r="269">
      <c r="A269" s="4">
        <v>45355.0</v>
      </c>
      <c r="B269" s="2" t="s">
        <v>23</v>
      </c>
      <c r="C269" s="2" t="s">
        <v>41</v>
      </c>
      <c r="D269" s="2" t="s">
        <v>24</v>
      </c>
      <c r="E269" s="2" t="s">
        <v>25</v>
      </c>
      <c r="F269" s="5">
        <v>122192.0</v>
      </c>
      <c r="G269" s="5">
        <v>4398.0</v>
      </c>
      <c r="H269" s="5">
        <v>0.036</v>
      </c>
      <c r="I269" s="5">
        <v>0.99</v>
      </c>
      <c r="J269" s="5">
        <v>4354.02</v>
      </c>
      <c r="K269" s="5">
        <v>348.0</v>
      </c>
      <c r="L269" s="5">
        <v>12.51</v>
      </c>
      <c r="M269" s="5">
        <v>64414.08</v>
      </c>
      <c r="N269" s="5">
        <v>14.79</v>
      </c>
      <c r="O269" s="6">
        <f t="shared" si="1"/>
        <v>12.51155172</v>
      </c>
      <c r="P269" s="6" t="str">
        <f t="shared" si="2"/>
        <v>Baseline</v>
      </c>
      <c r="Q269" s="3">
        <f t="shared" si="3"/>
        <v>14</v>
      </c>
    </row>
    <row r="270">
      <c r="A270" s="4" t="s">
        <v>167</v>
      </c>
      <c r="B270" s="2" t="s">
        <v>18</v>
      </c>
      <c r="C270" s="2" t="s">
        <v>41</v>
      </c>
      <c r="D270" s="2" t="s">
        <v>32</v>
      </c>
      <c r="E270" s="2" t="s">
        <v>21</v>
      </c>
      <c r="F270" s="5">
        <v>79960.0</v>
      </c>
      <c r="G270" s="5">
        <v>1591.0</v>
      </c>
      <c r="H270" s="5">
        <v>0.0199</v>
      </c>
      <c r="I270" s="5">
        <v>1.03</v>
      </c>
      <c r="J270" s="5">
        <v>1638.73</v>
      </c>
      <c r="K270" s="5">
        <v>55.0</v>
      </c>
      <c r="L270" s="5">
        <v>29.8</v>
      </c>
      <c r="M270" s="5">
        <v>15206.45</v>
      </c>
      <c r="N270" s="5">
        <v>9.28</v>
      </c>
      <c r="O270" s="6">
        <f t="shared" si="1"/>
        <v>29.79509091</v>
      </c>
      <c r="P270" s="6" t="str">
        <f t="shared" si="2"/>
        <v>Post-Shift</v>
      </c>
      <c r="Q270" s="3">
        <f t="shared" si="3"/>
        <v>48</v>
      </c>
    </row>
    <row r="271">
      <c r="A271" s="4">
        <v>45423.0</v>
      </c>
      <c r="B271" s="2" t="s">
        <v>38</v>
      </c>
      <c r="C271" s="2" t="s">
        <v>41</v>
      </c>
      <c r="D271" s="2" t="s">
        <v>29</v>
      </c>
      <c r="E271" s="2" t="s">
        <v>58</v>
      </c>
      <c r="F271" s="5">
        <v>188804.0</v>
      </c>
      <c r="G271" s="5">
        <v>5267.0</v>
      </c>
      <c r="H271" s="5">
        <v>0.0279</v>
      </c>
      <c r="I271" s="5">
        <v>2.1</v>
      </c>
      <c r="J271" s="5">
        <v>11060.7</v>
      </c>
      <c r="K271" s="5">
        <v>64.0</v>
      </c>
      <c r="L271" s="5">
        <v>172.82</v>
      </c>
      <c r="M271" s="5">
        <v>10138.3</v>
      </c>
      <c r="N271" s="5">
        <v>0.92</v>
      </c>
      <c r="O271" s="6">
        <f t="shared" si="1"/>
        <v>172.8234375</v>
      </c>
      <c r="P271" s="6" t="str">
        <f t="shared" si="2"/>
        <v>Baseline</v>
      </c>
      <c r="Q271" s="3">
        <f t="shared" si="3"/>
        <v>45</v>
      </c>
    </row>
    <row r="272">
      <c r="A272" s="4" t="s">
        <v>116</v>
      </c>
      <c r="B272" s="2" t="s">
        <v>38</v>
      </c>
      <c r="C272" s="2" t="s">
        <v>41</v>
      </c>
      <c r="D272" s="2" t="s">
        <v>20</v>
      </c>
      <c r="E272" s="2" t="s">
        <v>25</v>
      </c>
      <c r="F272" s="5">
        <v>80139.0</v>
      </c>
      <c r="G272" s="5">
        <v>2436.0</v>
      </c>
      <c r="H272" s="5">
        <v>0.0304</v>
      </c>
      <c r="I272" s="5">
        <v>1.58</v>
      </c>
      <c r="J272" s="5">
        <v>3848.88</v>
      </c>
      <c r="K272" s="5">
        <v>37.0</v>
      </c>
      <c r="L272" s="5">
        <v>104.02</v>
      </c>
      <c r="M272" s="5">
        <v>4653.12</v>
      </c>
      <c r="N272" s="5">
        <v>1.21</v>
      </c>
      <c r="O272" s="6">
        <f t="shared" si="1"/>
        <v>104.0237838</v>
      </c>
      <c r="P272" s="6" t="str">
        <f t="shared" si="2"/>
        <v>Post-Shift</v>
      </c>
      <c r="Q272" s="3">
        <f t="shared" si="3"/>
        <v>21</v>
      </c>
    </row>
    <row r="273">
      <c r="A273" s="4" t="s">
        <v>54</v>
      </c>
      <c r="B273" s="2" t="s">
        <v>38</v>
      </c>
      <c r="C273" s="2" t="s">
        <v>31</v>
      </c>
      <c r="D273" s="2" t="s">
        <v>32</v>
      </c>
      <c r="E273" s="2" t="s">
        <v>33</v>
      </c>
      <c r="F273" s="5">
        <v>51999.0</v>
      </c>
      <c r="G273" s="5">
        <v>930.0</v>
      </c>
      <c r="H273" s="5">
        <v>0.0179</v>
      </c>
      <c r="I273" s="5">
        <v>1.2</v>
      </c>
      <c r="J273" s="5">
        <v>1116.0</v>
      </c>
      <c r="K273" s="5">
        <v>13.0</v>
      </c>
      <c r="L273" s="5">
        <v>85.85</v>
      </c>
      <c r="M273" s="5">
        <v>1777.36</v>
      </c>
      <c r="N273" s="5">
        <v>1.59</v>
      </c>
      <c r="O273" s="6">
        <f t="shared" si="1"/>
        <v>85.84615385</v>
      </c>
      <c r="P273" s="6" t="str">
        <f t="shared" si="2"/>
        <v>Post-Shift</v>
      </c>
      <c r="Q273" s="3">
        <f t="shared" si="3"/>
        <v>52</v>
      </c>
    </row>
    <row r="274">
      <c r="A274" s="4">
        <v>45608.0</v>
      </c>
      <c r="B274" s="2" t="s">
        <v>18</v>
      </c>
      <c r="C274" s="2" t="s">
        <v>27</v>
      </c>
      <c r="D274" s="2" t="s">
        <v>24</v>
      </c>
      <c r="E274" s="2" t="s">
        <v>56</v>
      </c>
      <c r="F274" s="5">
        <v>119527.0</v>
      </c>
      <c r="G274" s="5">
        <v>6597.0</v>
      </c>
      <c r="H274" s="5">
        <v>0.0552</v>
      </c>
      <c r="I274" s="5">
        <v>3.1</v>
      </c>
      <c r="J274" s="5">
        <v>20450.7</v>
      </c>
      <c r="K274" s="5">
        <v>497.0</v>
      </c>
      <c r="L274" s="5">
        <v>41.15</v>
      </c>
      <c r="M274" s="5">
        <v>137884.5</v>
      </c>
      <c r="N274" s="5">
        <v>6.74</v>
      </c>
      <c r="O274" s="6">
        <f t="shared" si="1"/>
        <v>41.14828974</v>
      </c>
      <c r="P274" s="6" t="str">
        <f t="shared" si="2"/>
        <v>Post-Shift</v>
      </c>
      <c r="Q274" s="3">
        <f t="shared" si="3"/>
        <v>50</v>
      </c>
    </row>
    <row r="275">
      <c r="A275" s="4" t="s">
        <v>168</v>
      </c>
      <c r="B275" s="2" t="s">
        <v>38</v>
      </c>
      <c r="C275" s="2" t="s">
        <v>19</v>
      </c>
      <c r="D275" s="2" t="s">
        <v>20</v>
      </c>
      <c r="E275" s="2" t="s">
        <v>56</v>
      </c>
      <c r="F275" s="5">
        <v>194073.0</v>
      </c>
      <c r="G275" s="5">
        <v>6346.0</v>
      </c>
      <c r="H275" s="5">
        <v>0.0327</v>
      </c>
      <c r="I275" s="5">
        <v>1.8</v>
      </c>
      <c r="J275" s="5">
        <v>11422.8</v>
      </c>
      <c r="K275" s="5">
        <v>168.0</v>
      </c>
      <c r="L275" s="5">
        <v>67.99</v>
      </c>
      <c r="M275" s="5">
        <v>9921.38</v>
      </c>
      <c r="N275" s="5">
        <v>0.87</v>
      </c>
      <c r="O275" s="6">
        <f t="shared" si="1"/>
        <v>67.99285714</v>
      </c>
      <c r="P275" s="6" t="str">
        <f t="shared" si="2"/>
        <v>Post-Shift</v>
      </c>
      <c r="Q275" s="3">
        <f t="shared" si="3"/>
        <v>33</v>
      </c>
    </row>
    <row r="276">
      <c r="A276" s="4" t="s">
        <v>95</v>
      </c>
      <c r="B276" s="2" t="s">
        <v>23</v>
      </c>
      <c r="C276" s="2" t="s">
        <v>41</v>
      </c>
      <c r="D276" s="2" t="s">
        <v>32</v>
      </c>
      <c r="E276" s="2" t="s">
        <v>25</v>
      </c>
      <c r="F276" s="5">
        <v>55599.0</v>
      </c>
      <c r="G276" s="5">
        <v>3697.0</v>
      </c>
      <c r="H276" s="5">
        <v>0.0665</v>
      </c>
      <c r="I276" s="5">
        <v>1.64</v>
      </c>
      <c r="J276" s="5">
        <v>6063.08</v>
      </c>
      <c r="K276" s="5">
        <v>217.0</v>
      </c>
      <c r="L276" s="5">
        <v>27.94</v>
      </c>
      <c r="M276" s="5">
        <v>25513.42</v>
      </c>
      <c r="N276" s="5">
        <v>4.21</v>
      </c>
      <c r="O276" s="6">
        <f t="shared" si="1"/>
        <v>27.94046083</v>
      </c>
      <c r="P276" s="6" t="str">
        <f t="shared" si="2"/>
        <v>Post-Shift</v>
      </c>
      <c r="Q276" s="3">
        <f t="shared" si="3"/>
        <v>39</v>
      </c>
    </row>
    <row r="277">
      <c r="A277" s="4" t="s">
        <v>150</v>
      </c>
      <c r="B277" s="2" t="s">
        <v>18</v>
      </c>
      <c r="C277" s="2" t="s">
        <v>27</v>
      </c>
      <c r="D277" s="2" t="s">
        <v>29</v>
      </c>
      <c r="E277" s="2" t="s">
        <v>56</v>
      </c>
      <c r="F277" s="5">
        <v>176541.0</v>
      </c>
      <c r="G277" s="5">
        <v>4378.0</v>
      </c>
      <c r="H277" s="5">
        <v>0.0248</v>
      </c>
      <c r="I277" s="5">
        <v>2.87</v>
      </c>
      <c r="J277" s="5">
        <v>12564.86</v>
      </c>
      <c r="K277" s="5">
        <v>175.0</v>
      </c>
      <c r="L277" s="5">
        <v>71.8</v>
      </c>
      <c r="M277" s="5">
        <v>19637.27</v>
      </c>
      <c r="N277" s="5">
        <v>1.56</v>
      </c>
      <c r="O277" s="6">
        <f t="shared" si="1"/>
        <v>71.7992</v>
      </c>
      <c r="P277" s="6" t="str">
        <f t="shared" si="2"/>
        <v>Post-Shift</v>
      </c>
      <c r="Q277" s="3">
        <f t="shared" si="3"/>
        <v>42</v>
      </c>
    </row>
    <row r="278">
      <c r="A278" s="4" t="s">
        <v>77</v>
      </c>
      <c r="B278" s="2" t="s">
        <v>18</v>
      </c>
      <c r="C278" s="2" t="s">
        <v>41</v>
      </c>
      <c r="D278" s="2" t="s">
        <v>20</v>
      </c>
      <c r="E278" s="2" t="s">
        <v>21</v>
      </c>
      <c r="F278" s="5">
        <v>118710.0</v>
      </c>
      <c r="G278" s="5">
        <v>4036.0</v>
      </c>
      <c r="H278" s="5">
        <v>0.034</v>
      </c>
      <c r="I278" s="5">
        <v>2.48</v>
      </c>
      <c r="J278" s="5">
        <v>10009.28</v>
      </c>
      <c r="K278" s="5">
        <v>235.0</v>
      </c>
      <c r="L278" s="5">
        <v>42.59</v>
      </c>
      <c r="M278" s="5">
        <v>28657.57</v>
      </c>
      <c r="N278" s="5">
        <v>2.86</v>
      </c>
      <c r="O278" s="6">
        <f t="shared" si="1"/>
        <v>42.59268085</v>
      </c>
      <c r="P278" s="6" t="str">
        <f t="shared" si="2"/>
        <v>Post-Shift</v>
      </c>
      <c r="Q278" s="3">
        <f t="shared" si="3"/>
        <v>26</v>
      </c>
    </row>
    <row r="279">
      <c r="A279" s="4" t="s">
        <v>111</v>
      </c>
      <c r="B279" s="2" t="s">
        <v>23</v>
      </c>
      <c r="C279" s="2" t="s">
        <v>19</v>
      </c>
      <c r="D279" s="2" t="s">
        <v>20</v>
      </c>
      <c r="E279" s="2" t="s">
        <v>33</v>
      </c>
      <c r="F279" s="5">
        <v>113297.0</v>
      </c>
      <c r="G279" s="5">
        <v>9675.0</v>
      </c>
      <c r="H279" s="5">
        <v>0.0854</v>
      </c>
      <c r="I279" s="5">
        <v>1.81</v>
      </c>
      <c r="J279" s="5">
        <v>17511.75</v>
      </c>
      <c r="K279" s="5">
        <v>380.0</v>
      </c>
      <c r="L279" s="5">
        <v>46.08</v>
      </c>
      <c r="M279" s="5">
        <v>16593.87</v>
      </c>
      <c r="N279" s="5">
        <v>0.95</v>
      </c>
      <c r="O279" s="6">
        <f t="shared" si="1"/>
        <v>46.08355263</v>
      </c>
      <c r="P279" s="6" t="str">
        <f t="shared" si="2"/>
        <v>Post-Shift</v>
      </c>
      <c r="Q279" s="3">
        <f t="shared" si="3"/>
        <v>7</v>
      </c>
    </row>
    <row r="280">
      <c r="A280" s="4">
        <v>45419.0</v>
      </c>
      <c r="B280" s="2" t="s">
        <v>18</v>
      </c>
      <c r="C280" s="2" t="s">
        <v>19</v>
      </c>
      <c r="D280" s="2" t="s">
        <v>20</v>
      </c>
      <c r="E280" s="2" t="s">
        <v>25</v>
      </c>
      <c r="F280" s="5">
        <v>6881.0</v>
      </c>
      <c r="G280" s="5">
        <v>357.0</v>
      </c>
      <c r="H280" s="5">
        <v>0.052</v>
      </c>
      <c r="I280" s="5">
        <v>2.29</v>
      </c>
      <c r="J280" s="5">
        <v>817.53</v>
      </c>
      <c r="K280" s="5">
        <v>5.0</v>
      </c>
      <c r="L280" s="5">
        <v>163.51</v>
      </c>
      <c r="M280" s="5">
        <v>872.75</v>
      </c>
      <c r="N280" s="5">
        <v>1.07</v>
      </c>
      <c r="O280" s="6">
        <f t="shared" si="1"/>
        <v>163.506</v>
      </c>
      <c r="P280" s="6" t="str">
        <f t="shared" si="2"/>
        <v>Baseline</v>
      </c>
      <c r="Q280" s="3">
        <f t="shared" si="3"/>
        <v>27</v>
      </c>
    </row>
    <row r="281">
      <c r="A281" s="4" t="s">
        <v>106</v>
      </c>
      <c r="B281" s="2" t="s">
        <v>38</v>
      </c>
      <c r="C281" s="2" t="s">
        <v>31</v>
      </c>
      <c r="D281" s="2" t="s">
        <v>24</v>
      </c>
      <c r="E281" s="2" t="s">
        <v>33</v>
      </c>
      <c r="F281" s="5">
        <v>121477.0</v>
      </c>
      <c r="G281" s="5">
        <v>1834.0</v>
      </c>
      <c r="H281" s="5">
        <v>0.0151</v>
      </c>
      <c r="I281" s="5">
        <v>0.49</v>
      </c>
      <c r="J281" s="5">
        <v>898.66</v>
      </c>
      <c r="K281" s="5">
        <v>98.0</v>
      </c>
      <c r="L281" s="5">
        <v>9.17</v>
      </c>
      <c r="M281" s="5">
        <v>10542.66</v>
      </c>
      <c r="N281" s="5">
        <v>11.73</v>
      </c>
      <c r="O281" s="6">
        <f t="shared" si="1"/>
        <v>9.17</v>
      </c>
      <c r="P281" s="6" t="str">
        <f t="shared" si="2"/>
        <v>Post-Shift</v>
      </c>
      <c r="Q281" s="3">
        <f t="shared" si="3"/>
        <v>21</v>
      </c>
    </row>
    <row r="282">
      <c r="A282" s="4" t="s">
        <v>169</v>
      </c>
      <c r="B282" s="2" t="s">
        <v>18</v>
      </c>
      <c r="C282" s="2" t="s">
        <v>41</v>
      </c>
      <c r="D282" s="2" t="s">
        <v>32</v>
      </c>
      <c r="E282" s="2" t="s">
        <v>58</v>
      </c>
      <c r="F282" s="5">
        <v>188419.0</v>
      </c>
      <c r="G282" s="5">
        <v>10231.0</v>
      </c>
      <c r="H282" s="5">
        <v>0.0543</v>
      </c>
      <c r="I282" s="5">
        <v>2.15</v>
      </c>
      <c r="J282" s="5">
        <v>21996.65</v>
      </c>
      <c r="K282" s="5">
        <v>754.0</v>
      </c>
      <c r="L282" s="5">
        <v>29.17</v>
      </c>
      <c r="M282" s="5">
        <v>134062.7</v>
      </c>
      <c r="N282" s="5">
        <v>6.09</v>
      </c>
      <c r="O282" s="6">
        <f t="shared" si="1"/>
        <v>29.17327586</v>
      </c>
      <c r="P282" s="6" t="str">
        <f t="shared" si="2"/>
        <v>Post-Shift</v>
      </c>
      <c r="Q282" s="3">
        <f t="shared" si="3"/>
        <v>26</v>
      </c>
    </row>
    <row r="283">
      <c r="A283" s="4">
        <v>45604.0</v>
      </c>
      <c r="B283" s="2" t="s">
        <v>38</v>
      </c>
      <c r="C283" s="2" t="s">
        <v>27</v>
      </c>
      <c r="D283" s="2" t="s">
        <v>24</v>
      </c>
      <c r="E283" s="2" t="s">
        <v>25</v>
      </c>
      <c r="F283" s="5">
        <v>46743.0</v>
      </c>
      <c r="G283" s="5">
        <v>1523.0</v>
      </c>
      <c r="H283" s="5">
        <v>0.0326</v>
      </c>
      <c r="I283" s="5">
        <v>0.8</v>
      </c>
      <c r="J283" s="5">
        <v>1218.4</v>
      </c>
      <c r="K283" s="5">
        <v>51.0</v>
      </c>
      <c r="L283" s="5">
        <v>23.89</v>
      </c>
      <c r="M283" s="5">
        <v>5825.03</v>
      </c>
      <c r="N283" s="5">
        <v>4.78</v>
      </c>
      <c r="O283" s="6">
        <f t="shared" si="1"/>
        <v>23.89019608</v>
      </c>
      <c r="P283" s="6" t="str">
        <f t="shared" si="2"/>
        <v>Post-Shift</v>
      </c>
      <c r="Q283" s="3">
        <f t="shared" si="3"/>
        <v>33</v>
      </c>
    </row>
    <row r="284">
      <c r="A284" s="4">
        <v>45568.0</v>
      </c>
      <c r="B284" s="2" t="s">
        <v>18</v>
      </c>
      <c r="C284" s="2" t="s">
        <v>27</v>
      </c>
      <c r="D284" s="2" t="s">
        <v>20</v>
      </c>
      <c r="E284" s="2" t="s">
        <v>56</v>
      </c>
      <c r="F284" s="5">
        <v>93302.0</v>
      </c>
      <c r="G284" s="5">
        <v>4058.0</v>
      </c>
      <c r="H284" s="5">
        <v>0.0435</v>
      </c>
      <c r="I284" s="5">
        <v>0.81</v>
      </c>
      <c r="J284" s="5">
        <v>3286.98</v>
      </c>
      <c r="K284" s="5">
        <v>50.0</v>
      </c>
      <c r="L284" s="5">
        <v>65.74</v>
      </c>
      <c r="M284" s="5">
        <v>14861.71</v>
      </c>
      <c r="N284" s="5">
        <v>4.52</v>
      </c>
      <c r="O284" s="6">
        <f t="shared" si="1"/>
        <v>65.7396</v>
      </c>
      <c r="P284" s="6" t="str">
        <f t="shared" si="2"/>
        <v>Post-Shift</v>
      </c>
      <c r="Q284" s="3">
        <f t="shared" si="3"/>
        <v>11</v>
      </c>
    </row>
    <row r="285">
      <c r="A285" s="4" t="s">
        <v>170</v>
      </c>
      <c r="B285" s="2" t="s">
        <v>18</v>
      </c>
      <c r="C285" s="2" t="s">
        <v>19</v>
      </c>
      <c r="D285" s="2" t="s">
        <v>32</v>
      </c>
      <c r="E285" s="2" t="s">
        <v>58</v>
      </c>
      <c r="F285" s="5">
        <v>140747.0</v>
      </c>
      <c r="G285" s="5">
        <v>8571.0</v>
      </c>
      <c r="H285" s="5">
        <v>0.0609</v>
      </c>
      <c r="I285" s="5">
        <v>3.25</v>
      </c>
      <c r="J285" s="5">
        <v>27855.75</v>
      </c>
      <c r="K285" s="5">
        <v>332.0</v>
      </c>
      <c r="L285" s="5">
        <v>83.9</v>
      </c>
      <c r="M285" s="5">
        <v>48279.89</v>
      </c>
      <c r="N285" s="5">
        <v>1.73</v>
      </c>
      <c r="O285" s="6">
        <f t="shared" si="1"/>
        <v>83.90286145</v>
      </c>
      <c r="P285" s="6" t="str">
        <f t="shared" si="2"/>
        <v>Post-Shift</v>
      </c>
      <c r="Q285" s="3">
        <f t="shared" si="3"/>
        <v>20</v>
      </c>
    </row>
    <row r="286">
      <c r="A286" s="4" t="s">
        <v>171</v>
      </c>
      <c r="B286" s="2" t="s">
        <v>18</v>
      </c>
      <c r="C286" s="2" t="s">
        <v>19</v>
      </c>
      <c r="D286" s="2" t="s">
        <v>29</v>
      </c>
      <c r="E286" s="2" t="s">
        <v>58</v>
      </c>
      <c r="F286" s="5">
        <v>36831.0</v>
      </c>
      <c r="G286" s="5">
        <v>1572.0</v>
      </c>
      <c r="H286" s="5">
        <v>0.0427</v>
      </c>
      <c r="I286" s="5">
        <v>3.45</v>
      </c>
      <c r="J286" s="5">
        <v>5423.4</v>
      </c>
      <c r="K286" s="5">
        <v>48.0</v>
      </c>
      <c r="L286" s="5">
        <v>112.99</v>
      </c>
      <c r="M286" s="5">
        <v>4165.73</v>
      </c>
      <c r="N286" s="5">
        <v>0.77</v>
      </c>
      <c r="O286" s="6">
        <f t="shared" si="1"/>
        <v>112.9875</v>
      </c>
      <c r="P286" s="6" t="str">
        <f t="shared" si="2"/>
        <v>Post-Shift</v>
      </c>
      <c r="Q286" s="3">
        <f t="shared" si="3"/>
        <v>16</v>
      </c>
    </row>
    <row r="287">
      <c r="A287" s="4" t="s">
        <v>40</v>
      </c>
      <c r="B287" s="2" t="s">
        <v>23</v>
      </c>
      <c r="C287" s="2" t="s">
        <v>41</v>
      </c>
      <c r="D287" s="2" t="s">
        <v>32</v>
      </c>
      <c r="E287" s="2" t="s">
        <v>33</v>
      </c>
      <c r="F287" s="5">
        <v>146842.0</v>
      </c>
      <c r="G287" s="5">
        <v>10646.0</v>
      </c>
      <c r="H287" s="5">
        <v>0.0725</v>
      </c>
      <c r="I287" s="5">
        <v>1.23</v>
      </c>
      <c r="J287" s="5">
        <v>13094.58</v>
      </c>
      <c r="K287" s="5">
        <v>615.0</v>
      </c>
      <c r="L287" s="5">
        <v>21.29</v>
      </c>
      <c r="M287" s="5">
        <v>113988.4</v>
      </c>
      <c r="N287" s="5">
        <v>8.71</v>
      </c>
      <c r="O287" s="6">
        <f t="shared" si="1"/>
        <v>21.292</v>
      </c>
      <c r="P287" s="6" t="str">
        <f t="shared" si="2"/>
        <v>Post-Shift</v>
      </c>
      <c r="Q287" s="3">
        <f t="shared" si="3"/>
        <v>16</v>
      </c>
    </row>
    <row r="288">
      <c r="A288" s="4">
        <v>45416.0</v>
      </c>
      <c r="B288" s="2" t="s">
        <v>38</v>
      </c>
      <c r="C288" s="2" t="s">
        <v>41</v>
      </c>
      <c r="D288" s="2" t="s">
        <v>24</v>
      </c>
      <c r="E288" s="2" t="s">
        <v>30</v>
      </c>
      <c r="F288" s="5">
        <v>69892.0</v>
      </c>
      <c r="G288" s="5">
        <v>2851.0</v>
      </c>
      <c r="H288" s="5">
        <v>0.0408</v>
      </c>
      <c r="I288" s="5">
        <v>0.78</v>
      </c>
      <c r="J288" s="5">
        <v>2223.78</v>
      </c>
      <c r="K288" s="5">
        <v>52.0</v>
      </c>
      <c r="L288" s="5">
        <v>42.77</v>
      </c>
      <c r="M288" s="5">
        <v>11407.42</v>
      </c>
      <c r="N288" s="5">
        <v>5.13</v>
      </c>
      <c r="O288" s="6">
        <f t="shared" si="1"/>
        <v>42.765</v>
      </c>
      <c r="P288" s="6" t="str">
        <f t="shared" si="2"/>
        <v>Baseline</v>
      </c>
      <c r="Q288" s="3">
        <f t="shared" si="3"/>
        <v>14</v>
      </c>
    </row>
    <row r="289">
      <c r="A289" s="4" t="s">
        <v>172</v>
      </c>
      <c r="B289" s="2" t="s">
        <v>18</v>
      </c>
      <c r="C289" s="2" t="s">
        <v>31</v>
      </c>
      <c r="D289" s="2" t="s">
        <v>32</v>
      </c>
      <c r="E289" s="2" t="s">
        <v>25</v>
      </c>
      <c r="F289" s="5">
        <v>118985.0</v>
      </c>
      <c r="G289" s="5">
        <v>4545.0</v>
      </c>
      <c r="H289" s="5">
        <v>0.0382</v>
      </c>
      <c r="I289" s="5">
        <v>3.23</v>
      </c>
      <c r="J289" s="5">
        <v>14680.35</v>
      </c>
      <c r="K289" s="5">
        <v>259.0</v>
      </c>
      <c r="L289" s="5">
        <v>56.68</v>
      </c>
      <c r="M289" s="5">
        <v>58417.12</v>
      </c>
      <c r="N289" s="5">
        <v>3.98</v>
      </c>
      <c r="O289" s="6">
        <f t="shared" si="1"/>
        <v>56.68088803</v>
      </c>
      <c r="P289" s="6" t="str">
        <f t="shared" si="2"/>
        <v>Post-Shift</v>
      </c>
      <c r="Q289" s="3">
        <f t="shared" si="3"/>
        <v>13</v>
      </c>
    </row>
    <row r="290">
      <c r="A290" s="4">
        <v>45633.0</v>
      </c>
      <c r="B290" s="2" t="s">
        <v>38</v>
      </c>
      <c r="C290" s="2" t="s">
        <v>41</v>
      </c>
      <c r="D290" s="2" t="s">
        <v>45</v>
      </c>
      <c r="E290" s="2" t="s">
        <v>56</v>
      </c>
      <c r="F290" s="5">
        <v>12452.0</v>
      </c>
      <c r="G290" s="5">
        <v>280.0</v>
      </c>
      <c r="H290" s="5">
        <v>0.0225</v>
      </c>
      <c r="I290" s="5">
        <v>1.23</v>
      </c>
      <c r="J290" s="5">
        <v>344.4</v>
      </c>
      <c r="K290" s="5">
        <v>18.0</v>
      </c>
      <c r="L290" s="5">
        <v>19.13</v>
      </c>
      <c r="M290" s="5">
        <v>4734.22</v>
      </c>
      <c r="N290" s="5">
        <v>13.75</v>
      </c>
      <c r="O290" s="6">
        <f t="shared" si="1"/>
        <v>19.13333333</v>
      </c>
      <c r="P290" s="6" t="str">
        <f t="shared" si="2"/>
        <v>Post-Shift</v>
      </c>
      <c r="Q290" s="3">
        <f t="shared" si="3"/>
        <v>28</v>
      </c>
    </row>
    <row r="291">
      <c r="A291" s="4" t="s">
        <v>22</v>
      </c>
      <c r="B291" s="2" t="s">
        <v>18</v>
      </c>
      <c r="C291" s="2" t="s">
        <v>41</v>
      </c>
      <c r="D291" s="2" t="s">
        <v>24</v>
      </c>
      <c r="E291" s="2" t="s">
        <v>21</v>
      </c>
      <c r="F291" s="5">
        <v>85077.0</v>
      </c>
      <c r="G291" s="5">
        <v>4032.0</v>
      </c>
      <c r="H291" s="5">
        <v>0.0474</v>
      </c>
      <c r="I291" s="5">
        <v>2.84</v>
      </c>
      <c r="J291" s="5">
        <v>11450.88</v>
      </c>
      <c r="K291" s="5">
        <v>253.0</v>
      </c>
      <c r="L291" s="5">
        <v>45.26</v>
      </c>
      <c r="M291" s="5">
        <v>13168.69</v>
      </c>
      <c r="N291" s="5">
        <v>1.15</v>
      </c>
      <c r="O291" s="6">
        <f t="shared" si="1"/>
        <v>45.26039526</v>
      </c>
      <c r="P291" s="6" t="str">
        <f t="shared" si="2"/>
        <v>Post-Shift</v>
      </c>
      <c r="Q291" s="3">
        <f t="shared" si="3"/>
        <v>4</v>
      </c>
    </row>
    <row r="292">
      <c r="A292" s="4" t="s">
        <v>100</v>
      </c>
      <c r="B292" s="2" t="s">
        <v>23</v>
      </c>
      <c r="C292" s="2" t="s">
        <v>19</v>
      </c>
      <c r="D292" s="2" t="s">
        <v>20</v>
      </c>
      <c r="E292" s="2" t="s">
        <v>56</v>
      </c>
      <c r="F292" s="5">
        <v>39782.0</v>
      </c>
      <c r="G292" s="5">
        <v>3393.0</v>
      </c>
      <c r="H292" s="5">
        <v>0.0853</v>
      </c>
      <c r="I292" s="5">
        <v>1.71</v>
      </c>
      <c r="J292" s="5">
        <v>5802.03</v>
      </c>
      <c r="K292" s="5">
        <v>143.0</v>
      </c>
      <c r="L292" s="5">
        <v>40.57</v>
      </c>
      <c r="M292" s="5">
        <v>23555.27</v>
      </c>
      <c r="N292" s="5">
        <v>4.06</v>
      </c>
      <c r="O292" s="6">
        <f t="shared" si="1"/>
        <v>40.57363636</v>
      </c>
      <c r="P292" s="6" t="str">
        <f t="shared" si="2"/>
        <v>Post-Shift</v>
      </c>
      <c r="Q292" s="3">
        <f t="shared" si="3"/>
        <v>34</v>
      </c>
    </row>
    <row r="293">
      <c r="A293" s="4" t="s">
        <v>132</v>
      </c>
      <c r="B293" s="2" t="s">
        <v>18</v>
      </c>
      <c r="C293" s="2" t="s">
        <v>27</v>
      </c>
      <c r="D293" s="2" t="s">
        <v>24</v>
      </c>
      <c r="E293" s="2" t="s">
        <v>58</v>
      </c>
      <c r="F293" s="5">
        <v>192135.0</v>
      </c>
      <c r="G293" s="5">
        <v>10663.0</v>
      </c>
      <c r="H293" s="5">
        <v>0.0555</v>
      </c>
      <c r="I293" s="5">
        <v>1.78</v>
      </c>
      <c r="J293" s="5">
        <v>18980.14</v>
      </c>
      <c r="K293" s="5">
        <v>741.0</v>
      </c>
      <c r="L293" s="5">
        <v>25.61</v>
      </c>
      <c r="M293" s="5">
        <v>213823.4</v>
      </c>
      <c r="N293" s="5">
        <v>11.27</v>
      </c>
      <c r="O293" s="6">
        <f t="shared" si="1"/>
        <v>25.61422402</v>
      </c>
      <c r="P293" s="6" t="str">
        <f t="shared" si="2"/>
        <v>Post-Shift</v>
      </c>
      <c r="Q293" s="3">
        <f t="shared" si="3"/>
        <v>15</v>
      </c>
    </row>
    <row r="294">
      <c r="A294" s="4">
        <v>45386.0</v>
      </c>
      <c r="B294" s="2" t="s">
        <v>38</v>
      </c>
      <c r="C294" s="2" t="s">
        <v>19</v>
      </c>
      <c r="D294" s="2" t="s">
        <v>29</v>
      </c>
      <c r="E294" s="2" t="s">
        <v>56</v>
      </c>
      <c r="F294" s="5">
        <v>156317.0</v>
      </c>
      <c r="G294" s="5">
        <v>5924.0</v>
      </c>
      <c r="H294" s="5">
        <v>0.0379</v>
      </c>
      <c r="I294" s="5">
        <v>0.71</v>
      </c>
      <c r="J294" s="5">
        <v>4206.04</v>
      </c>
      <c r="K294" s="5">
        <v>464.0</v>
      </c>
      <c r="L294" s="5">
        <v>9.06</v>
      </c>
      <c r="M294" s="5">
        <v>64623.96</v>
      </c>
      <c r="N294" s="5">
        <v>15.36</v>
      </c>
      <c r="O294" s="6">
        <f t="shared" si="1"/>
        <v>9.064741379</v>
      </c>
      <c r="P294" s="6" t="str">
        <f t="shared" si="2"/>
        <v>Baseline</v>
      </c>
      <c r="Q294" s="3">
        <f t="shared" si="3"/>
        <v>14</v>
      </c>
    </row>
    <row r="295">
      <c r="A295" s="4" t="s">
        <v>173</v>
      </c>
      <c r="B295" s="2" t="s">
        <v>18</v>
      </c>
      <c r="C295" s="2" t="s">
        <v>31</v>
      </c>
      <c r="D295" s="2" t="s">
        <v>20</v>
      </c>
      <c r="E295" s="2" t="s">
        <v>33</v>
      </c>
      <c r="F295" s="5">
        <v>39754.0</v>
      </c>
      <c r="G295" s="5">
        <v>2007.0</v>
      </c>
      <c r="H295" s="5">
        <v>0.0505</v>
      </c>
      <c r="I295" s="5">
        <v>2.33</v>
      </c>
      <c r="J295" s="5">
        <v>4676.31</v>
      </c>
      <c r="K295" s="5">
        <v>108.0</v>
      </c>
      <c r="L295" s="5">
        <v>43.3</v>
      </c>
      <c r="M295" s="5">
        <v>6981.98</v>
      </c>
      <c r="N295" s="5">
        <v>1.49</v>
      </c>
      <c r="O295" s="6">
        <f t="shared" si="1"/>
        <v>43.29916667</v>
      </c>
      <c r="P295" s="6" t="str">
        <f t="shared" si="2"/>
        <v>Post-Shift</v>
      </c>
      <c r="Q295" s="3">
        <f t="shared" si="3"/>
        <v>7</v>
      </c>
    </row>
    <row r="296">
      <c r="A296" s="4">
        <v>45332.0</v>
      </c>
      <c r="B296" s="2" t="s">
        <v>38</v>
      </c>
      <c r="C296" s="2" t="s">
        <v>31</v>
      </c>
      <c r="D296" s="2" t="s">
        <v>24</v>
      </c>
      <c r="E296" s="2" t="s">
        <v>21</v>
      </c>
      <c r="F296" s="5">
        <v>84526.0</v>
      </c>
      <c r="G296" s="5">
        <v>2214.0</v>
      </c>
      <c r="H296" s="5">
        <v>0.0262</v>
      </c>
      <c r="I296" s="5">
        <v>0.44</v>
      </c>
      <c r="J296" s="5">
        <v>974.16</v>
      </c>
      <c r="K296" s="5">
        <v>117.0</v>
      </c>
      <c r="L296" s="5">
        <v>8.33</v>
      </c>
      <c r="M296" s="5">
        <v>30360.22</v>
      </c>
      <c r="N296" s="5">
        <v>31.17</v>
      </c>
      <c r="O296" s="6">
        <f t="shared" si="1"/>
        <v>8.326153846</v>
      </c>
      <c r="P296" s="6" t="str">
        <f t="shared" si="2"/>
        <v>Baseline</v>
      </c>
      <c r="Q296" s="3">
        <f t="shared" si="3"/>
        <v>40</v>
      </c>
    </row>
    <row r="297">
      <c r="A297" s="4" t="s">
        <v>127</v>
      </c>
      <c r="B297" s="2" t="s">
        <v>18</v>
      </c>
      <c r="C297" s="2" t="s">
        <v>31</v>
      </c>
      <c r="D297" s="2" t="s">
        <v>32</v>
      </c>
      <c r="E297" s="2" t="s">
        <v>25</v>
      </c>
      <c r="F297" s="5">
        <v>159226.0</v>
      </c>
      <c r="G297" s="5">
        <v>5206.0</v>
      </c>
      <c r="H297" s="5">
        <v>0.0327</v>
      </c>
      <c r="I297" s="5">
        <v>0.97</v>
      </c>
      <c r="J297" s="5">
        <v>5049.82</v>
      </c>
      <c r="K297" s="5">
        <v>137.0</v>
      </c>
      <c r="L297" s="5">
        <v>36.86</v>
      </c>
      <c r="M297" s="5">
        <v>27701.27</v>
      </c>
      <c r="N297" s="5">
        <v>5.49</v>
      </c>
      <c r="O297" s="6">
        <f t="shared" si="1"/>
        <v>36.86</v>
      </c>
      <c r="P297" s="6" t="str">
        <f t="shared" si="2"/>
        <v>Post-Shift</v>
      </c>
      <c r="Q297" s="3">
        <f t="shared" si="3"/>
        <v>35</v>
      </c>
    </row>
    <row r="298">
      <c r="A298" s="4">
        <v>45301.0</v>
      </c>
      <c r="B298" s="2" t="s">
        <v>23</v>
      </c>
      <c r="C298" s="2" t="s">
        <v>41</v>
      </c>
      <c r="D298" s="2" t="s">
        <v>32</v>
      </c>
      <c r="E298" s="2" t="s">
        <v>36</v>
      </c>
      <c r="F298" s="5">
        <v>178503.0</v>
      </c>
      <c r="G298" s="5">
        <v>9639.0</v>
      </c>
      <c r="H298" s="5">
        <v>0.054</v>
      </c>
      <c r="I298" s="5">
        <v>0.56</v>
      </c>
      <c r="J298" s="5">
        <v>5397.84</v>
      </c>
      <c r="K298" s="5">
        <v>146.0</v>
      </c>
      <c r="L298" s="5">
        <v>36.97</v>
      </c>
      <c r="M298" s="5">
        <v>40162.93</v>
      </c>
      <c r="N298" s="5">
        <v>7.44</v>
      </c>
      <c r="O298" s="6">
        <f t="shared" si="1"/>
        <v>36.97150685</v>
      </c>
      <c r="P298" s="6" t="str">
        <f t="shared" si="2"/>
        <v>Baseline</v>
      </c>
      <c r="Q298" s="3">
        <f t="shared" si="3"/>
        <v>40</v>
      </c>
    </row>
    <row r="299">
      <c r="A299" s="4" t="s">
        <v>174</v>
      </c>
      <c r="B299" s="2" t="s">
        <v>23</v>
      </c>
      <c r="C299" s="2" t="s">
        <v>31</v>
      </c>
      <c r="D299" s="2" t="s">
        <v>32</v>
      </c>
      <c r="E299" s="2" t="s">
        <v>56</v>
      </c>
      <c r="F299" s="5">
        <v>176946.0</v>
      </c>
      <c r="G299" s="5">
        <v>13784.0</v>
      </c>
      <c r="H299" s="5">
        <v>0.0779</v>
      </c>
      <c r="I299" s="5">
        <v>0.86</v>
      </c>
      <c r="J299" s="5">
        <v>11854.24</v>
      </c>
      <c r="K299" s="5">
        <v>743.0</v>
      </c>
      <c r="L299" s="5">
        <v>15.95</v>
      </c>
      <c r="M299" s="5">
        <v>208986.2</v>
      </c>
      <c r="N299" s="5">
        <v>17.63</v>
      </c>
      <c r="O299" s="6">
        <f t="shared" si="1"/>
        <v>15.95456258</v>
      </c>
      <c r="P299" s="6" t="str">
        <f t="shared" si="2"/>
        <v>Post-Shift</v>
      </c>
      <c r="Q299" s="3">
        <f t="shared" si="3"/>
        <v>21</v>
      </c>
    </row>
    <row r="300">
      <c r="A300" s="4">
        <v>45330.0</v>
      </c>
      <c r="B300" s="2" t="s">
        <v>38</v>
      </c>
      <c r="C300" s="2" t="s">
        <v>41</v>
      </c>
      <c r="D300" s="2" t="s">
        <v>20</v>
      </c>
      <c r="E300" s="2" t="s">
        <v>33</v>
      </c>
      <c r="F300" s="5">
        <v>163124.0</v>
      </c>
      <c r="G300" s="5">
        <v>4273.0</v>
      </c>
      <c r="H300" s="5">
        <v>0.0262</v>
      </c>
      <c r="I300" s="5">
        <v>0.91</v>
      </c>
      <c r="J300" s="5">
        <v>3888.43</v>
      </c>
      <c r="K300" s="5">
        <v>239.0</v>
      </c>
      <c r="L300" s="5">
        <v>16.27</v>
      </c>
      <c r="M300" s="5">
        <v>71554.77</v>
      </c>
      <c r="N300" s="5">
        <v>18.4</v>
      </c>
      <c r="O300" s="6">
        <f t="shared" si="1"/>
        <v>16.26958159</v>
      </c>
      <c r="P300" s="6" t="str">
        <f t="shared" si="2"/>
        <v>Baseline</v>
      </c>
      <c r="Q300" s="3">
        <f t="shared" si="3"/>
        <v>31</v>
      </c>
    </row>
    <row r="301">
      <c r="A301" s="4" t="s">
        <v>154</v>
      </c>
      <c r="B301" s="2" t="s">
        <v>38</v>
      </c>
      <c r="C301" s="2" t="s">
        <v>41</v>
      </c>
      <c r="D301" s="2" t="s">
        <v>24</v>
      </c>
      <c r="E301" s="2" t="s">
        <v>21</v>
      </c>
      <c r="F301" s="5">
        <v>150486.0</v>
      </c>
      <c r="G301" s="5">
        <v>6230.0</v>
      </c>
      <c r="H301" s="5">
        <v>0.0414</v>
      </c>
      <c r="I301" s="5">
        <v>1.21</v>
      </c>
      <c r="J301" s="5">
        <v>7538.3</v>
      </c>
      <c r="K301" s="5">
        <v>243.0</v>
      </c>
      <c r="L301" s="5">
        <v>31.02</v>
      </c>
      <c r="M301" s="5">
        <v>55217.61</v>
      </c>
      <c r="N301" s="5">
        <v>7.32</v>
      </c>
      <c r="O301" s="6">
        <f t="shared" si="1"/>
        <v>31.0218107</v>
      </c>
      <c r="P301" s="6" t="str">
        <f t="shared" si="2"/>
        <v>Post-Shift</v>
      </c>
      <c r="Q301" s="3">
        <f t="shared" si="3"/>
        <v>25</v>
      </c>
    </row>
    <row r="302">
      <c r="A302" s="4" t="s">
        <v>71</v>
      </c>
      <c r="B302" s="2" t="s">
        <v>18</v>
      </c>
      <c r="C302" s="2" t="s">
        <v>19</v>
      </c>
      <c r="D302" s="2" t="s">
        <v>45</v>
      </c>
      <c r="E302" s="2" t="s">
        <v>25</v>
      </c>
      <c r="F302" s="5">
        <v>88384.0</v>
      </c>
      <c r="G302" s="5">
        <v>3641.0</v>
      </c>
      <c r="H302" s="5">
        <v>0.0412</v>
      </c>
      <c r="I302" s="5">
        <v>1.22</v>
      </c>
      <c r="J302" s="5">
        <v>4442.02</v>
      </c>
      <c r="K302" s="5">
        <v>89.0</v>
      </c>
      <c r="L302" s="5">
        <v>49.91</v>
      </c>
      <c r="M302" s="5">
        <v>4077.32</v>
      </c>
      <c r="N302" s="5">
        <v>0.92</v>
      </c>
      <c r="O302" s="6">
        <f t="shared" si="1"/>
        <v>49.91033708</v>
      </c>
      <c r="P302" s="6" t="str">
        <f t="shared" si="2"/>
        <v>Post-Shift</v>
      </c>
      <c r="Q302" s="3">
        <f t="shared" si="3"/>
        <v>20</v>
      </c>
    </row>
    <row r="303">
      <c r="A303" s="4">
        <v>45480.0</v>
      </c>
      <c r="B303" s="2" t="s">
        <v>38</v>
      </c>
      <c r="C303" s="2" t="s">
        <v>41</v>
      </c>
      <c r="D303" s="2" t="s">
        <v>32</v>
      </c>
      <c r="E303" s="2" t="s">
        <v>30</v>
      </c>
      <c r="F303" s="5">
        <v>74922.0</v>
      </c>
      <c r="G303" s="5">
        <v>1333.0</v>
      </c>
      <c r="H303" s="5">
        <v>0.0178</v>
      </c>
      <c r="I303" s="5">
        <v>1.32</v>
      </c>
      <c r="J303" s="5">
        <v>1759.56</v>
      </c>
      <c r="K303" s="5">
        <v>95.0</v>
      </c>
      <c r="L303" s="5">
        <v>18.52</v>
      </c>
      <c r="M303" s="5">
        <v>17171.74</v>
      </c>
      <c r="N303" s="5">
        <v>9.76</v>
      </c>
      <c r="O303" s="6">
        <f t="shared" si="1"/>
        <v>18.52168421</v>
      </c>
      <c r="P303" s="6" t="str">
        <f t="shared" si="2"/>
        <v>Post-Shift</v>
      </c>
      <c r="Q303" s="3">
        <f t="shared" si="3"/>
        <v>28</v>
      </c>
    </row>
    <row r="304">
      <c r="A304" s="4" t="s">
        <v>143</v>
      </c>
      <c r="B304" s="2" t="s">
        <v>23</v>
      </c>
      <c r="C304" s="2" t="s">
        <v>27</v>
      </c>
      <c r="D304" s="2" t="s">
        <v>24</v>
      </c>
      <c r="E304" s="2" t="s">
        <v>21</v>
      </c>
      <c r="F304" s="5">
        <v>188846.0</v>
      </c>
      <c r="G304" s="5">
        <v>12671.0</v>
      </c>
      <c r="H304" s="5">
        <v>0.0671</v>
      </c>
      <c r="I304" s="5">
        <v>1.37</v>
      </c>
      <c r="J304" s="5">
        <v>17359.27</v>
      </c>
      <c r="K304" s="5">
        <v>821.0</v>
      </c>
      <c r="L304" s="5">
        <v>21.14</v>
      </c>
      <c r="M304" s="5">
        <v>86047.94</v>
      </c>
      <c r="N304" s="5">
        <v>4.96</v>
      </c>
      <c r="O304" s="6">
        <f t="shared" si="1"/>
        <v>21.14405603</v>
      </c>
      <c r="P304" s="6" t="str">
        <f t="shared" si="2"/>
        <v>Post-Shift</v>
      </c>
      <c r="Q304" s="3">
        <f t="shared" si="3"/>
        <v>3</v>
      </c>
    </row>
    <row r="305">
      <c r="A305" s="4" t="s">
        <v>112</v>
      </c>
      <c r="B305" s="2" t="s">
        <v>23</v>
      </c>
      <c r="C305" s="2" t="s">
        <v>19</v>
      </c>
      <c r="D305" s="2" t="s">
        <v>32</v>
      </c>
      <c r="E305" s="2" t="s">
        <v>25</v>
      </c>
      <c r="F305" s="5">
        <v>10209.0</v>
      </c>
      <c r="G305" s="5">
        <v>314.0</v>
      </c>
      <c r="H305" s="5">
        <v>0.0308</v>
      </c>
      <c r="I305" s="5">
        <v>1.79</v>
      </c>
      <c r="J305" s="5">
        <v>562.06</v>
      </c>
      <c r="K305" s="5">
        <v>13.0</v>
      </c>
      <c r="L305" s="5">
        <v>43.24</v>
      </c>
      <c r="M305" s="5">
        <v>3231.96</v>
      </c>
      <c r="N305" s="5">
        <v>5.75</v>
      </c>
      <c r="O305" s="6">
        <f t="shared" si="1"/>
        <v>43.23538462</v>
      </c>
      <c r="P305" s="6" t="str">
        <f t="shared" si="2"/>
        <v>Post-Shift</v>
      </c>
      <c r="Q305" s="3">
        <f t="shared" si="3"/>
        <v>13</v>
      </c>
    </row>
    <row r="306">
      <c r="A306" s="4" t="s">
        <v>175</v>
      </c>
      <c r="B306" s="2" t="s">
        <v>23</v>
      </c>
      <c r="C306" s="2" t="s">
        <v>27</v>
      </c>
      <c r="D306" s="2" t="s">
        <v>45</v>
      </c>
      <c r="E306" s="2" t="s">
        <v>56</v>
      </c>
      <c r="F306" s="5">
        <v>31140.0</v>
      </c>
      <c r="G306" s="5">
        <v>1712.0</v>
      </c>
      <c r="H306" s="5">
        <v>0.055</v>
      </c>
      <c r="I306" s="5">
        <v>1.34</v>
      </c>
      <c r="J306" s="5">
        <v>2294.08</v>
      </c>
      <c r="K306" s="5">
        <v>63.0</v>
      </c>
      <c r="L306" s="5">
        <v>36.41</v>
      </c>
      <c r="M306" s="5">
        <v>5569.82</v>
      </c>
      <c r="N306" s="5">
        <v>2.43</v>
      </c>
      <c r="O306" s="6">
        <f t="shared" si="1"/>
        <v>36.41396825</v>
      </c>
      <c r="P306" s="6" t="str">
        <f t="shared" si="2"/>
        <v>Post-Shift</v>
      </c>
      <c r="Q306" s="3">
        <f t="shared" si="3"/>
        <v>48</v>
      </c>
    </row>
    <row r="307">
      <c r="A307" s="4">
        <v>45507.0</v>
      </c>
      <c r="B307" s="2" t="s">
        <v>38</v>
      </c>
      <c r="C307" s="2" t="s">
        <v>27</v>
      </c>
      <c r="D307" s="2" t="s">
        <v>32</v>
      </c>
      <c r="E307" s="2" t="s">
        <v>36</v>
      </c>
      <c r="F307" s="5">
        <v>46850.0</v>
      </c>
      <c r="G307" s="5">
        <v>983.0</v>
      </c>
      <c r="H307" s="5">
        <v>0.021</v>
      </c>
      <c r="I307" s="5">
        <v>1.58</v>
      </c>
      <c r="J307" s="5">
        <v>1553.14</v>
      </c>
      <c r="K307" s="5">
        <v>38.0</v>
      </c>
      <c r="L307" s="5">
        <v>40.87</v>
      </c>
      <c r="M307" s="5">
        <v>10968.52</v>
      </c>
      <c r="N307" s="5">
        <v>7.06</v>
      </c>
      <c r="O307" s="6">
        <f t="shared" si="1"/>
        <v>40.87210526</v>
      </c>
      <c r="P307" s="6" t="str">
        <f t="shared" si="2"/>
        <v>Post-Shift</v>
      </c>
      <c r="Q307" s="3">
        <f t="shared" si="3"/>
        <v>10</v>
      </c>
    </row>
    <row r="308">
      <c r="A308" s="4" t="s">
        <v>176</v>
      </c>
      <c r="B308" s="2" t="s">
        <v>38</v>
      </c>
      <c r="C308" s="2" t="s">
        <v>31</v>
      </c>
      <c r="D308" s="2" t="s">
        <v>24</v>
      </c>
      <c r="E308" s="2" t="s">
        <v>36</v>
      </c>
      <c r="F308" s="5">
        <v>17720.0</v>
      </c>
      <c r="G308" s="5">
        <v>287.0</v>
      </c>
      <c r="H308" s="5">
        <v>0.0162</v>
      </c>
      <c r="I308" s="5">
        <v>1.41</v>
      </c>
      <c r="J308" s="5">
        <v>404.67</v>
      </c>
      <c r="K308" s="5">
        <v>4.0</v>
      </c>
      <c r="L308" s="5">
        <v>101.17</v>
      </c>
      <c r="M308" s="5">
        <v>597.18</v>
      </c>
      <c r="N308" s="5">
        <v>1.48</v>
      </c>
      <c r="O308" s="6">
        <f t="shared" si="1"/>
        <v>101.1675</v>
      </c>
      <c r="P308" s="6" t="str">
        <f t="shared" si="2"/>
        <v>Post-Shift</v>
      </c>
      <c r="Q308" s="3">
        <f t="shared" si="3"/>
        <v>18</v>
      </c>
    </row>
    <row r="309">
      <c r="A309" s="4" t="s">
        <v>177</v>
      </c>
      <c r="B309" s="2" t="s">
        <v>18</v>
      </c>
      <c r="C309" s="2" t="s">
        <v>27</v>
      </c>
      <c r="D309" s="2" t="s">
        <v>32</v>
      </c>
      <c r="E309" s="2" t="s">
        <v>33</v>
      </c>
      <c r="F309" s="5">
        <v>16781.0</v>
      </c>
      <c r="G309" s="5">
        <v>684.0</v>
      </c>
      <c r="H309" s="5">
        <v>0.0408</v>
      </c>
      <c r="I309" s="5">
        <v>1.3</v>
      </c>
      <c r="J309" s="5">
        <v>889.2</v>
      </c>
      <c r="K309" s="5">
        <v>8.0</v>
      </c>
      <c r="L309" s="5">
        <v>111.15</v>
      </c>
      <c r="M309" s="5">
        <v>1435.11</v>
      </c>
      <c r="N309" s="5">
        <v>1.61</v>
      </c>
      <c r="O309" s="6">
        <f t="shared" si="1"/>
        <v>111.15</v>
      </c>
      <c r="P309" s="6" t="str">
        <f t="shared" si="2"/>
        <v>Post-Shift</v>
      </c>
      <c r="Q309" s="3">
        <f t="shared" si="3"/>
        <v>5</v>
      </c>
    </row>
    <row r="310">
      <c r="A310" s="4" t="s">
        <v>72</v>
      </c>
      <c r="B310" s="2" t="s">
        <v>38</v>
      </c>
      <c r="C310" s="2" t="s">
        <v>27</v>
      </c>
      <c r="D310" s="2" t="s">
        <v>45</v>
      </c>
      <c r="E310" s="2" t="s">
        <v>33</v>
      </c>
      <c r="F310" s="5">
        <v>61652.0</v>
      </c>
      <c r="G310" s="5">
        <v>2614.0</v>
      </c>
      <c r="H310" s="5">
        <v>0.0424</v>
      </c>
      <c r="I310" s="5">
        <v>1.28</v>
      </c>
      <c r="J310" s="5">
        <v>3345.92</v>
      </c>
      <c r="K310" s="5">
        <v>133.0</v>
      </c>
      <c r="L310" s="5">
        <v>25.16</v>
      </c>
      <c r="M310" s="5">
        <v>20303.14</v>
      </c>
      <c r="N310" s="5">
        <v>6.07</v>
      </c>
      <c r="O310" s="6">
        <f t="shared" si="1"/>
        <v>25.15729323</v>
      </c>
      <c r="P310" s="6" t="str">
        <f t="shared" si="2"/>
        <v>Post-Shift</v>
      </c>
      <c r="Q310" s="3">
        <f t="shared" si="3"/>
        <v>48</v>
      </c>
    </row>
    <row r="311">
      <c r="A311" s="4">
        <v>45450.0</v>
      </c>
      <c r="B311" s="2" t="s">
        <v>38</v>
      </c>
      <c r="C311" s="2" t="s">
        <v>41</v>
      </c>
      <c r="D311" s="2" t="s">
        <v>24</v>
      </c>
      <c r="E311" s="2" t="s">
        <v>30</v>
      </c>
      <c r="F311" s="5">
        <v>194933.0</v>
      </c>
      <c r="G311" s="5">
        <v>4054.0</v>
      </c>
      <c r="H311" s="5">
        <v>0.0208</v>
      </c>
      <c r="I311" s="5">
        <v>2.03</v>
      </c>
      <c r="J311" s="5">
        <v>8229.62</v>
      </c>
      <c r="K311" s="5">
        <v>197.0</v>
      </c>
      <c r="L311" s="5">
        <v>41.77</v>
      </c>
      <c r="M311" s="5">
        <v>9992.76</v>
      </c>
      <c r="N311" s="5">
        <v>1.21</v>
      </c>
      <c r="O311" s="6">
        <f t="shared" si="1"/>
        <v>41.77472081</v>
      </c>
      <c r="P311" s="6" t="str">
        <f t="shared" si="2"/>
        <v>Baseline</v>
      </c>
      <c r="Q311" s="3">
        <f t="shared" si="3"/>
        <v>27</v>
      </c>
    </row>
    <row r="312">
      <c r="A312" s="4" t="s">
        <v>178</v>
      </c>
      <c r="B312" s="2" t="s">
        <v>18</v>
      </c>
      <c r="C312" s="2" t="s">
        <v>19</v>
      </c>
      <c r="D312" s="2" t="s">
        <v>24</v>
      </c>
      <c r="E312" s="2" t="s">
        <v>36</v>
      </c>
      <c r="F312" s="5">
        <v>100386.0</v>
      </c>
      <c r="G312" s="5">
        <v>5250.0</v>
      </c>
      <c r="H312" s="5">
        <v>0.0523</v>
      </c>
      <c r="I312" s="5">
        <v>0.98</v>
      </c>
      <c r="J312" s="5">
        <v>5145.0</v>
      </c>
      <c r="K312" s="5">
        <v>254.0</v>
      </c>
      <c r="L312" s="5">
        <v>20.26</v>
      </c>
      <c r="M312" s="5">
        <v>73673.45</v>
      </c>
      <c r="N312" s="5">
        <v>14.32</v>
      </c>
      <c r="O312" s="6">
        <f t="shared" si="1"/>
        <v>20.25590551</v>
      </c>
      <c r="P312" s="6" t="str">
        <f t="shared" si="2"/>
        <v>Post-Shift</v>
      </c>
      <c r="Q312" s="3">
        <f t="shared" si="3"/>
        <v>9</v>
      </c>
    </row>
    <row r="313">
      <c r="A313" s="4" t="s">
        <v>110</v>
      </c>
      <c r="B313" s="2" t="s">
        <v>18</v>
      </c>
      <c r="C313" s="2" t="s">
        <v>19</v>
      </c>
      <c r="D313" s="2" t="s">
        <v>29</v>
      </c>
      <c r="E313" s="2" t="s">
        <v>21</v>
      </c>
      <c r="F313" s="5">
        <v>50203.0</v>
      </c>
      <c r="G313" s="5">
        <v>1390.0</v>
      </c>
      <c r="H313" s="5">
        <v>0.0277</v>
      </c>
      <c r="I313" s="5">
        <v>1.95</v>
      </c>
      <c r="J313" s="5">
        <v>2710.5</v>
      </c>
      <c r="K313" s="5">
        <v>47.0</v>
      </c>
      <c r="L313" s="5">
        <v>57.67</v>
      </c>
      <c r="M313" s="5">
        <v>11338.98</v>
      </c>
      <c r="N313" s="5">
        <v>4.18</v>
      </c>
      <c r="O313" s="6">
        <f t="shared" si="1"/>
        <v>57.67021277</v>
      </c>
      <c r="P313" s="6" t="str">
        <f t="shared" si="2"/>
        <v>Post-Shift</v>
      </c>
      <c r="Q313" s="3">
        <f t="shared" si="3"/>
        <v>4</v>
      </c>
    </row>
    <row r="314">
      <c r="A314" s="4" t="s">
        <v>179</v>
      </c>
      <c r="B314" s="2" t="s">
        <v>23</v>
      </c>
      <c r="C314" s="2" t="s">
        <v>19</v>
      </c>
      <c r="D314" s="2" t="s">
        <v>32</v>
      </c>
      <c r="E314" s="2" t="s">
        <v>56</v>
      </c>
      <c r="F314" s="5">
        <v>85428.0</v>
      </c>
      <c r="G314" s="5">
        <v>5134.0</v>
      </c>
      <c r="H314" s="5">
        <v>0.0601</v>
      </c>
      <c r="I314" s="5">
        <v>0.86</v>
      </c>
      <c r="J314" s="5">
        <v>4415.24</v>
      </c>
      <c r="K314" s="5">
        <v>202.0</v>
      </c>
      <c r="L314" s="5">
        <v>21.86</v>
      </c>
      <c r="M314" s="5">
        <v>37603.74</v>
      </c>
      <c r="N314" s="5">
        <v>8.52</v>
      </c>
      <c r="O314" s="6">
        <f t="shared" si="1"/>
        <v>21.85762376</v>
      </c>
      <c r="P314" s="6" t="str">
        <f t="shared" si="2"/>
        <v>Post-Shift</v>
      </c>
      <c r="Q314" s="3">
        <f t="shared" si="3"/>
        <v>3</v>
      </c>
    </row>
    <row r="315">
      <c r="A315" s="4">
        <v>45417.0</v>
      </c>
      <c r="B315" s="2" t="s">
        <v>23</v>
      </c>
      <c r="C315" s="2" t="s">
        <v>27</v>
      </c>
      <c r="D315" s="2" t="s">
        <v>24</v>
      </c>
      <c r="E315" s="2" t="s">
        <v>21</v>
      </c>
      <c r="F315" s="5">
        <v>192428.0</v>
      </c>
      <c r="G315" s="5">
        <v>9967.0</v>
      </c>
      <c r="H315" s="5">
        <v>0.0518</v>
      </c>
      <c r="I315" s="5">
        <v>1.6</v>
      </c>
      <c r="J315" s="5">
        <v>15947.2</v>
      </c>
      <c r="K315" s="5">
        <v>570.0</v>
      </c>
      <c r="L315" s="5">
        <v>27.98</v>
      </c>
      <c r="M315" s="5">
        <v>78044.55</v>
      </c>
      <c r="N315" s="5">
        <v>4.89</v>
      </c>
      <c r="O315" s="6">
        <f t="shared" si="1"/>
        <v>27.97754386</v>
      </c>
      <c r="P315" s="6" t="str">
        <f t="shared" si="2"/>
        <v>Baseline</v>
      </c>
      <c r="Q315" s="3">
        <f t="shared" si="3"/>
        <v>19</v>
      </c>
    </row>
    <row r="316">
      <c r="A316" s="4" t="s">
        <v>162</v>
      </c>
      <c r="B316" s="2" t="s">
        <v>18</v>
      </c>
      <c r="C316" s="2" t="s">
        <v>31</v>
      </c>
      <c r="D316" s="2" t="s">
        <v>29</v>
      </c>
      <c r="E316" s="2" t="s">
        <v>25</v>
      </c>
      <c r="F316" s="5">
        <v>33756.0</v>
      </c>
      <c r="G316" s="5">
        <v>2150.0</v>
      </c>
      <c r="H316" s="5">
        <v>0.0637</v>
      </c>
      <c r="I316" s="5">
        <v>2.17</v>
      </c>
      <c r="J316" s="5">
        <v>4665.5</v>
      </c>
      <c r="K316" s="5">
        <v>108.0</v>
      </c>
      <c r="L316" s="5">
        <v>43.2</v>
      </c>
      <c r="M316" s="5">
        <v>7948.11</v>
      </c>
      <c r="N316" s="5">
        <v>1.7</v>
      </c>
      <c r="O316" s="6">
        <f t="shared" si="1"/>
        <v>43.19907407</v>
      </c>
      <c r="P316" s="6" t="str">
        <f t="shared" si="2"/>
        <v>Post-Shift</v>
      </c>
      <c r="Q316" s="3">
        <f t="shared" si="3"/>
        <v>34</v>
      </c>
    </row>
    <row r="317">
      <c r="A317" s="4" t="s">
        <v>180</v>
      </c>
      <c r="B317" s="2" t="s">
        <v>38</v>
      </c>
      <c r="C317" s="2" t="s">
        <v>27</v>
      </c>
      <c r="D317" s="2" t="s">
        <v>20</v>
      </c>
      <c r="E317" s="2" t="s">
        <v>21</v>
      </c>
      <c r="F317" s="5">
        <v>103162.0</v>
      </c>
      <c r="G317" s="5">
        <v>1485.0</v>
      </c>
      <c r="H317" s="5">
        <v>0.0144</v>
      </c>
      <c r="I317" s="5">
        <v>0.97</v>
      </c>
      <c r="J317" s="5">
        <v>1440.45</v>
      </c>
      <c r="K317" s="5">
        <v>35.0</v>
      </c>
      <c r="L317" s="5">
        <v>41.16</v>
      </c>
      <c r="M317" s="5">
        <v>5899.5</v>
      </c>
      <c r="N317" s="5">
        <v>4.1</v>
      </c>
      <c r="O317" s="6">
        <f t="shared" si="1"/>
        <v>41.15571429</v>
      </c>
      <c r="P317" s="6" t="str">
        <f t="shared" si="2"/>
        <v>Post-Shift</v>
      </c>
      <c r="Q317" s="3">
        <f t="shared" si="3"/>
        <v>13</v>
      </c>
    </row>
    <row r="318">
      <c r="A318" s="4">
        <v>45331.0</v>
      </c>
      <c r="B318" s="2" t="s">
        <v>18</v>
      </c>
      <c r="C318" s="2" t="s">
        <v>19</v>
      </c>
      <c r="D318" s="2" t="s">
        <v>24</v>
      </c>
      <c r="E318" s="2" t="s">
        <v>21</v>
      </c>
      <c r="F318" s="5">
        <v>142844.0</v>
      </c>
      <c r="G318" s="5">
        <v>2971.0</v>
      </c>
      <c r="H318" s="5">
        <v>0.0208</v>
      </c>
      <c r="I318" s="5">
        <v>1.69</v>
      </c>
      <c r="J318" s="5">
        <v>5020.99</v>
      </c>
      <c r="K318" s="5">
        <v>95.0</v>
      </c>
      <c r="L318" s="5">
        <v>52.85</v>
      </c>
      <c r="M318" s="5">
        <v>5534.94</v>
      </c>
      <c r="N318" s="5">
        <v>1.1</v>
      </c>
      <c r="O318" s="6">
        <f t="shared" si="1"/>
        <v>52.85252632</v>
      </c>
      <c r="P318" s="6" t="str">
        <f t="shared" si="2"/>
        <v>Baseline</v>
      </c>
      <c r="Q318" s="3">
        <f t="shared" si="3"/>
        <v>36</v>
      </c>
    </row>
    <row r="319">
      <c r="A319" s="4" t="s">
        <v>181</v>
      </c>
      <c r="B319" s="2" t="s">
        <v>18</v>
      </c>
      <c r="C319" s="2" t="s">
        <v>19</v>
      </c>
      <c r="D319" s="2" t="s">
        <v>20</v>
      </c>
      <c r="E319" s="2" t="s">
        <v>30</v>
      </c>
      <c r="F319" s="5">
        <v>50201.0</v>
      </c>
      <c r="G319" s="5">
        <v>2198.0</v>
      </c>
      <c r="H319" s="5">
        <v>0.0438</v>
      </c>
      <c r="I319" s="5">
        <v>2.25</v>
      </c>
      <c r="J319" s="5">
        <v>4945.5</v>
      </c>
      <c r="K319" s="5">
        <v>112.0</v>
      </c>
      <c r="L319" s="5">
        <v>44.16</v>
      </c>
      <c r="M319" s="5">
        <v>12918.19</v>
      </c>
      <c r="N319" s="5">
        <v>2.61</v>
      </c>
      <c r="O319" s="6">
        <f t="shared" si="1"/>
        <v>44.15625</v>
      </c>
      <c r="P319" s="6" t="str">
        <f t="shared" si="2"/>
        <v>Post-Shift</v>
      </c>
      <c r="Q319" s="3">
        <f t="shared" si="3"/>
        <v>22</v>
      </c>
    </row>
    <row r="320">
      <c r="A320" s="4" t="s">
        <v>182</v>
      </c>
      <c r="B320" s="2" t="s">
        <v>38</v>
      </c>
      <c r="C320" s="2" t="s">
        <v>27</v>
      </c>
      <c r="D320" s="2" t="s">
        <v>20</v>
      </c>
      <c r="E320" s="2" t="s">
        <v>30</v>
      </c>
      <c r="F320" s="5">
        <v>143421.0</v>
      </c>
      <c r="G320" s="5">
        <v>3542.0</v>
      </c>
      <c r="H320" s="5">
        <v>0.0247</v>
      </c>
      <c r="I320" s="5">
        <v>0.86</v>
      </c>
      <c r="J320" s="5">
        <v>3046.12</v>
      </c>
      <c r="K320" s="5">
        <v>181.0</v>
      </c>
      <c r="L320" s="5">
        <v>16.83</v>
      </c>
      <c r="M320" s="5">
        <v>26273.04</v>
      </c>
      <c r="N320" s="5">
        <v>8.63</v>
      </c>
      <c r="O320" s="6">
        <f t="shared" si="1"/>
        <v>16.82939227</v>
      </c>
      <c r="P320" s="6" t="str">
        <f t="shared" si="2"/>
        <v>Post-Shift</v>
      </c>
      <c r="Q320" s="3">
        <f t="shared" si="3"/>
        <v>3</v>
      </c>
    </row>
    <row r="321">
      <c r="A321" s="4" t="s">
        <v>183</v>
      </c>
      <c r="B321" s="2" t="s">
        <v>38</v>
      </c>
      <c r="C321" s="2" t="s">
        <v>31</v>
      </c>
      <c r="D321" s="2" t="s">
        <v>20</v>
      </c>
      <c r="E321" s="2" t="s">
        <v>58</v>
      </c>
      <c r="F321" s="5">
        <v>71537.0</v>
      </c>
      <c r="G321" s="5">
        <v>1809.0</v>
      </c>
      <c r="H321" s="5">
        <v>0.0253</v>
      </c>
      <c r="I321" s="5">
        <v>1.65</v>
      </c>
      <c r="J321" s="5">
        <v>2984.85</v>
      </c>
      <c r="K321" s="5">
        <v>57.0</v>
      </c>
      <c r="L321" s="5">
        <v>52.37</v>
      </c>
      <c r="M321" s="5">
        <v>6227.5</v>
      </c>
      <c r="N321" s="5">
        <v>2.09</v>
      </c>
      <c r="O321" s="6">
        <f t="shared" si="1"/>
        <v>52.36578947</v>
      </c>
      <c r="P321" s="6" t="str">
        <f t="shared" si="2"/>
        <v>Post-Shift</v>
      </c>
      <c r="Q321" s="3">
        <f t="shared" si="3"/>
        <v>42</v>
      </c>
    </row>
    <row r="322">
      <c r="A322" s="4">
        <v>45362.0</v>
      </c>
      <c r="B322" s="2" t="s">
        <v>18</v>
      </c>
      <c r="C322" s="2" t="s">
        <v>27</v>
      </c>
      <c r="D322" s="2" t="s">
        <v>20</v>
      </c>
      <c r="E322" s="2" t="s">
        <v>30</v>
      </c>
      <c r="F322" s="5">
        <v>198604.0</v>
      </c>
      <c r="G322" s="5">
        <v>8162.0</v>
      </c>
      <c r="H322" s="5">
        <v>0.0411</v>
      </c>
      <c r="I322" s="5">
        <v>3.1</v>
      </c>
      <c r="J322" s="5">
        <v>25302.2</v>
      </c>
      <c r="K322" s="5">
        <v>584.0</v>
      </c>
      <c r="L322" s="5">
        <v>43.33</v>
      </c>
      <c r="M322" s="5">
        <v>25281.15</v>
      </c>
      <c r="N322" s="5">
        <v>1.0</v>
      </c>
      <c r="O322" s="6">
        <f t="shared" si="1"/>
        <v>43.32568493</v>
      </c>
      <c r="P322" s="6" t="str">
        <f t="shared" si="2"/>
        <v>Baseline</v>
      </c>
      <c r="Q322" s="3">
        <f t="shared" si="3"/>
        <v>45</v>
      </c>
    </row>
    <row r="323">
      <c r="A323" s="4">
        <v>45508.0</v>
      </c>
      <c r="B323" s="2" t="s">
        <v>18</v>
      </c>
      <c r="C323" s="2" t="s">
        <v>19</v>
      </c>
      <c r="D323" s="2" t="s">
        <v>29</v>
      </c>
      <c r="E323" s="2" t="s">
        <v>36</v>
      </c>
      <c r="F323" s="5">
        <v>114028.0</v>
      </c>
      <c r="G323" s="5">
        <v>3112.0</v>
      </c>
      <c r="H323" s="5">
        <v>0.0273</v>
      </c>
      <c r="I323" s="5">
        <v>1.36</v>
      </c>
      <c r="J323" s="5">
        <v>4232.32</v>
      </c>
      <c r="K323" s="5">
        <v>120.0</v>
      </c>
      <c r="L323" s="5">
        <v>35.27</v>
      </c>
      <c r="M323" s="5">
        <v>10393.96</v>
      </c>
      <c r="N323" s="5">
        <v>2.46</v>
      </c>
      <c r="O323" s="6">
        <f t="shared" si="1"/>
        <v>35.26933333</v>
      </c>
      <c r="P323" s="6" t="str">
        <f t="shared" si="2"/>
        <v>Post-Shift</v>
      </c>
      <c r="Q323" s="3">
        <f t="shared" si="3"/>
        <v>15</v>
      </c>
    </row>
    <row r="324">
      <c r="A324" s="4">
        <v>45418.0</v>
      </c>
      <c r="B324" s="2" t="s">
        <v>23</v>
      </c>
      <c r="C324" s="2" t="s">
        <v>27</v>
      </c>
      <c r="D324" s="2" t="s">
        <v>29</v>
      </c>
      <c r="E324" s="2" t="s">
        <v>58</v>
      </c>
      <c r="F324" s="5">
        <v>180309.0</v>
      </c>
      <c r="G324" s="5">
        <v>5823.0</v>
      </c>
      <c r="H324" s="5">
        <v>0.0323</v>
      </c>
      <c r="I324" s="5">
        <v>0.65</v>
      </c>
      <c r="J324" s="5">
        <v>3784.95</v>
      </c>
      <c r="K324" s="5">
        <v>232.0</v>
      </c>
      <c r="L324" s="5">
        <v>16.31</v>
      </c>
      <c r="M324" s="5">
        <v>46549.68</v>
      </c>
      <c r="N324" s="5">
        <v>12.3</v>
      </c>
      <c r="O324" s="6">
        <f t="shared" si="1"/>
        <v>16.31443966</v>
      </c>
      <c r="P324" s="6" t="str">
        <f t="shared" si="2"/>
        <v>Baseline</v>
      </c>
      <c r="Q324" s="3">
        <f t="shared" si="3"/>
        <v>23</v>
      </c>
    </row>
    <row r="325">
      <c r="A325" s="4" t="s">
        <v>128</v>
      </c>
      <c r="B325" s="2" t="s">
        <v>38</v>
      </c>
      <c r="C325" s="2" t="s">
        <v>27</v>
      </c>
      <c r="D325" s="2" t="s">
        <v>32</v>
      </c>
      <c r="E325" s="2" t="s">
        <v>36</v>
      </c>
      <c r="F325" s="5">
        <v>168402.0</v>
      </c>
      <c r="G325" s="5">
        <v>5237.0</v>
      </c>
      <c r="H325" s="5">
        <v>0.0311</v>
      </c>
      <c r="I325" s="5">
        <v>0.85</v>
      </c>
      <c r="J325" s="5">
        <v>4451.45</v>
      </c>
      <c r="K325" s="5">
        <v>188.0</v>
      </c>
      <c r="L325" s="5">
        <v>23.68</v>
      </c>
      <c r="M325" s="5">
        <v>43774.92</v>
      </c>
      <c r="N325" s="5">
        <v>9.83</v>
      </c>
      <c r="O325" s="6">
        <f t="shared" si="1"/>
        <v>23.67792553</v>
      </c>
      <c r="P325" s="6" t="str">
        <f t="shared" si="2"/>
        <v>Post-Shift</v>
      </c>
      <c r="Q325" s="3">
        <f t="shared" si="3"/>
        <v>12</v>
      </c>
    </row>
    <row r="326">
      <c r="A326" s="4" t="s">
        <v>148</v>
      </c>
      <c r="B326" s="2" t="s">
        <v>23</v>
      </c>
      <c r="C326" s="2" t="s">
        <v>27</v>
      </c>
      <c r="D326" s="2" t="s">
        <v>45</v>
      </c>
      <c r="E326" s="2" t="s">
        <v>36</v>
      </c>
      <c r="F326" s="5">
        <v>125419.0</v>
      </c>
      <c r="G326" s="5">
        <v>4126.0</v>
      </c>
      <c r="H326" s="5">
        <v>0.0329</v>
      </c>
      <c r="I326" s="5">
        <v>0.85</v>
      </c>
      <c r="J326" s="5">
        <v>3507.1</v>
      </c>
      <c r="K326" s="5">
        <v>294.0</v>
      </c>
      <c r="L326" s="5">
        <v>11.93</v>
      </c>
      <c r="M326" s="5">
        <v>32829.78</v>
      </c>
      <c r="N326" s="5">
        <v>9.36</v>
      </c>
      <c r="O326" s="6">
        <f t="shared" si="1"/>
        <v>11.92891156</v>
      </c>
      <c r="P326" s="6" t="str">
        <f t="shared" si="2"/>
        <v>Post-Shift</v>
      </c>
      <c r="Q326" s="3">
        <f t="shared" si="3"/>
        <v>52</v>
      </c>
    </row>
    <row r="327">
      <c r="A327" s="4">
        <v>45414.0</v>
      </c>
      <c r="B327" s="2" t="s">
        <v>23</v>
      </c>
      <c r="C327" s="2" t="s">
        <v>27</v>
      </c>
      <c r="D327" s="2" t="s">
        <v>32</v>
      </c>
      <c r="E327" s="2" t="s">
        <v>25</v>
      </c>
      <c r="F327" s="5">
        <v>123680.0</v>
      </c>
      <c r="G327" s="5">
        <v>8373.0</v>
      </c>
      <c r="H327" s="5">
        <v>0.0677</v>
      </c>
      <c r="I327" s="5">
        <v>0.6</v>
      </c>
      <c r="J327" s="5">
        <v>5023.8</v>
      </c>
      <c r="K327" s="5">
        <v>263.0</v>
      </c>
      <c r="L327" s="5">
        <v>19.1</v>
      </c>
      <c r="M327" s="5">
        <v>12412.26</v>
      </c>
      <c r="N327" s="5">
        <v>2.47</v>
      </c>
      <c r="O327" s="6">
        <f t="shared" si="1"/>
        <v>19.10190114</v>
      </c>
      <c r="P327" s="6" t="str">
        <f t="shared" si="2"/>
        <v>Baseline</v>
      </c>
      <c r="Q327" s="3">
        <f t="shared" si="3"/>
        <v>6</v>
      </c>
    </row>
    <row r="328">
      <c r="A328" s="4" t="s">
        <v>91</v>
      </c>
      <c r="B328" s="2" t="s">
        <v>18</v>
      </c>
      <c r="C328" s="2" t="s">
        <v>19</v>
      </c>
      <c r="D328" s="2" t="s">
        <v>20</v>
      </c>
      <c r="E328" s="2" t="s">
        <v>25</v>
      </c>
      <c r="F328" s="5">
        <v>117660.0</v>
      </c>
      <c r="G328" s="5">
        <v>6388.0</v>
      </c>
      <c r="H328" s="5">
        <v>0.0543</v>
      </c>
      <c r="I328" s="5">
        <v>1.81</v>
      </c>
      <c r="J328" s="5">
        <v>11562.28</v>
      </c>
      <c r="K328" s="5">
        <v>331.0</v>
      </c>
      <c r="L328" s="5">
        <v>34.93</v>
      </c>
      <c r="M328" s="5">
        <v>17255.28</v>
      </c>
      <c r="N328" s="5">
        <v>1.49</v>
      </c>
      <c r="O328" s="6">
        <f t="shared" si="1"/>
        <v>34.93135952</v>
      </c>
      <c r="P328" s="6" t="str">
        <f t="shared" si="2"/>
        <v>Post-Shift</v>
      </c>
      <c r="Q328" s="3">
        <f t="shared" si="3"/>
        <v>26</v>
      </c>
    </row>
    <row r="329">
      <c r="A329" s="4">
        <v>45331.0</v>
      </c>
      <c r="B329" s="2" t="s">
        <v>38</v>
      </c>
      <c r="C329" s="2" t="s">
        <v>27</v>
      </c>
      <c r="D329" s="2" t="s">
        <v>20</v>
      </c>
      <c r="E329" s="2" t="s">
        <v>36</v>
      </c>
      <c r="F329" s="5">
        <v>76916.0</v>
      </c>
      <c r="G329" s="5">
        <v>2761.0</v>
      </c>
      <c r="H329" s="5">
        <v>0.0359</v>
      </c>
      <c r="I329" s="5">
        <v>0.71</v>
      </c>
      <c r="J329" s="5">
        <v>1960.31</v>
      </c>
      <c r="K329" s="5">
        <v>64.0</v>
      </c>
      <c r="L329" s="5">
        <v>30.63</v>
      </c>
      <c r="M329" s="5">
        <v>14368.24</v>
      </c>
      <c r="N329" s="5">
        <v>7.33</v>
      </c>
      <c r="O329" s="6">
        <f t="shared" si="1"/>
        <v>30.62984375</v>
      </c>
      <c r="P329" s="6" t="str">
        <f t="shared" si="2"/>
        <v>Baseline</v>
      </c>
      <c r="Q329" s="3">
        <f t="shared" si="3"/>
        <v>36</v>
      </c>
    </row>
    <row r="330">
      <c r="A330" s="4" t="s">
        <v>111</v>
      </c>
      <c r="B330" s="2" t="s">
        <v>38</v>
      </c>
      <c r="C330" s="2" t="s">
        <v>27</v>
      </c>
      <c r="D330" s="2" t="s">
        <v>45</v>
      </c>
      <c r="E330" s="2" t="s">
        <v>36</v>
      </c>
      <c r="F330" s="5">
        <v>150631.0</v>
      </c>
      <c r="G330" s="5">
        <v>5648.0</v>
      </c>
      <c r="H330" s="5">
        <v>0.0375</v>
      </c>
      <c r="I330" s="5">
        <v>1.94</v>
      </c>
      <c r="J330" s="5">
        <v>10957.12</v>
      </c>
      <c r="K330" s="5">
        <v>111.0</v>
      </c>
      <c r="L330" s="5">
        <v>98.71</v>
      </c>
      <c r="M330" s="5">
        <v>21671.9</v>
      </c>
      <c r="N330" s="5">
        <v>1.98</v>
      </c>
      <c r="O330" s="6">
        <f t="shared" si="1"/>
        <v>98.71279279</v>
      </c>
      <c r="P330" s="6" t="str">
        <f t="shared" si="2"/>
        <v>Post-Shift</v>
      </c>
      <c r="Q330" s="3">
        <f t="shared" si="3"/>
        <v>7</v>
      </c>
    </row>
    <row r="331">
      <c r="A331" s="4" t="s">
        <v>158</v>
      </c>
      <c r="B331" s="2" t="s">
        <v>18</v>
      </c>
      <c r="C331" s="2" t="s">
        <v>41</v>
      </c>
      <c r="D331" s="2" t="s">
        <v>20</v>
      </c>
      <c r="E331" s="2" t="s">
        <v>58</v>
      </c>
      <c r="F331" s="5">
        <v>126635.0</v>
      </c>
      <c r="G331" s="5">
        <v>4254.0</v>
      </c>
      <c r="H331" s="5">
        <v>0.0336</v>
      </c>
      <c r="I331" s="5">
        <v>1.33</v>
      </c>
      <c r="J331" s="5">
        <v>5657.82</v>
      </c>
      <c r="K331" s="5">
        <v>313.0</v>
      </c>
      <c r="L331" s="5">
        <v>18.08</v>
      </c>
      <c r="M331" s="5">
        <v>28110.42</v>
      </c>
      <c r="N331" s="5">
        <v>4.97</v>
      </c>
      <c r="O331" s="6">
        <f t="shared" si="1"/>
        <v>18.07610224</v>
      </c>
      <c r="P331" s="6" t="str">
        <f t="shared" si="2"/>
        <v>Post-Shift</v>
      </c>
      <c r="Q331" s="3">
        <f t="shared" si="3"/>
        <v>8</v>
      </c>
    </row>
    <row r="332">
      <c r="A332" s="4" t="s">
        <v>57</v>
      </c>
      <c r="B332" s="2" t="s">
        <v>18</v>
      </c>
      <c r="C332" s="2" t="s">
        <v>27</v>
      </c>
      <c r="D332" s="2" t="s">
        <v>24</v>
      </c>
      <c r="E332" s="2" t="s">
        <v>56</v>
      </c>
      <c r="F332" s="5">
        <v>159721.0</v>
      </c>
      <c r="G332" s="5">
        <v>3625.0</v>
      </c>
      <c r="H332" s="5">
        <v>0.0227</v>
      </c>
      <c r="I332" s="5">
        <v>1.91</v>
      </c>
      <c r="J332" s="5">
        <v>6923.75</v>
      </c>
      <c r="K332" s="5">
        <v>150.0</v>
      </c>
      <c r="L332" s="5">
        <v>46.16</v>
      </c>
      <c r="M332" s="5">
        <v>39701.58</v>
      </c>
      <c r="N332" s="5">
        <v>5.73</v>
      </c>
      <c r="O332" s="6">
        <f t="shared" si="1"/>
        <v>46.15833333</v>
      </c>
      <c r="P332" s="6" t="str">
        <f t="shared" si="2"/>
        <v>Post-Shift</v>
      </c>
      <c r="Q332" s="3">
        <f t="shared" si="3"/>
        <v>50</v>
      </c>
    </row>
    <row r="333">
      <c r="A333" s="4">
        <v>45300.0</v>
      </c>
      <c r="B333" s="2" t="s">
        <v>38</v>
      </c>
      <c r="C333" s="2" t="s">
        <v>31</v>
      </c>
      <c r="D333" s="2" t="s">
        <v>29</v>
      </c>
      <c r="E333" s="2" t="s">
        <v>21</v>
      </c>
      <c r="F333" s="5">
        <v>150698.0</v>
      </c>
      <c r="G333" s="5">
        <v>4581.0</v>
      </c>
      <c r="H333" s="5">
        <v>0.0304</v>
      </c>
      <c r="I333" s="5">
        <v>0.51</v>
      </c>
      <c r="J333" s="5">
        <v>2336.31</v>
      </c>
      <c r="K333" s="5">
        <v>285.0</v>
      </c>
      <c r="L333" s="5">
        <v>8.2</v>
      </c>
      <c r="M333" s="5">
        <v>32525.45</v>
      </c>
      <c r="N333" s="5">
        <v>13.92</v>
      </c>
      <c r="O333" s="6">
        <f t="shared" si="1"/>
        <v>8.197578947</v>
      </c>
      <c r="P333" s="6" t="str">
        <f t="shared" si="2"/>
        <v>Baseline</v>
      </c>
      <c r="Q333" s="3">
        <f t="shared" si="3"/>
        <v>36</v>
      </c>
    </row>
    <row r="334">
      <c r="A334" s="4" t="s">
        <v>184</v>
      </c>
      <c r="B334" s="2" t="s">
        <v>23</v>
      </c>
      <c r="C334" s="2" t="s">
        <v>19</v>
      </c>
      <c r="D334" s="2" t="s">
        <v>24</v>
      </c>
      <c r="E334" s="2" t="s">
        <v>36</v>
      </c>
      <c r="F334" s="5">
        <v>98348.0</v>
      </c>
      <c r="G334" s="5">
        <v>3225.0</v>
      </c>
      <c r="H334" s="5">
        <v>0.0328</v>
      </c>
      <c r="I334" s="5">
        <v>1.27</v>
      </c>
      <c r="J334" s="5">
        <v>4095.75</v>
      </c>
      <c r="K334" s="5">
        <v>59.0</v>
      </c>
      <c r="L334" s="5">
        <v>69.42</v>
      </c>
      <c r="M334" s="5">
        <v>2846.94</v>
      </c>
      <c r="N334" s="5">
        <v>0.7</v>
      </c>
      <c r="O334" s="6">
        <f t="shared" si="1"/>
        <v>69.41949153</v>
      </c>
      <c r="P334" s="6" t="str">
        <f t="shared" si="2"/>
        <v>Post-Shift</v>
      </c>
      <c r="Q334" s="3">
        <f t="shared" si="3"/>
        <v>16</v>
      </c>
    </row>
    <row r="335">
      <c r="A335" s="4">
        <v>45359.0</v>
      </c>
      <c r="B335" s="2" t="s">
        <v>38</v>
      </c>
      <c r="C335" s="2" t="s">
        <v>19</v>
      </c>
      <c r="D335" s="2" t="s">
        <v>45</v>
      </c>
      <c r="E335" s="2" t="s">
        <v>30</v>
      </c>
      <c r="F335" s="5">
        <v>110603.0</v>
      </c>
      <c r="G335" s="5">
        <v>2377.0</v>
      </c>
      <c r="H335" s="5">
        <v>0.0215</v>
      </c>
      <c r="I335" s="5">
        <v>0.69</v>
      </c>
      <c r="J335" s="5">
        <v>1640.13</v>
      </c>
      <c r="K335" s="5">
        <v>62.0</v>
      </c>
      <c r="L335" s="5">
        <v>26.45</v>
      </c>
      <c r="M335" s="5">
        <v>2761.12</v>
      </c>
      <c r="N335" s="5">
        <v>1.68</v>
      </c>
      <c r="O335" s="6">
        <f t="shared" si="1"/>
        <v>26.45370968</v>
      </c>
      <c r="P335" s="6" t="str">
        <f t="shared" si="2"/>
        <v>Baseline</v>
      </c>
      <c r="Q335" s="3">
        <f t="shared" si="3"/>
        <v>31</v>
      </c>
    </row>
    <row r="336">
      <c r="A336" s="4" t="s">
        <v>185</v>
      </c>
      <c r="B336" s="2" t="s">
        <v>18</v>
      </c>
      <c r="C336" s="2" t="s">
        <v>31</v>
      </c>
      <c r="D336" s="2" t="s">
        <v>45</v>
      </c>
      <c r="E336" s="2" t="s">
        <v>21</v>
      </c>
      <c r="F336" s="5">
        <v>76792.0</v>
      </c>
      <c r="G336" s="5">
        <v>3317.0</v>
      </c>
      <c r="H336" s="5">
        <v>0.0432</v>
      </c>
      <c r="I336" s="5">
        <v>3.1</v>
      </c>
      <c r="J336" s="5">
        <v>10282.7</v>
      </c>
      <c r="K336" s="5">
        <v>262.0</v>
      </c>
      <c r="L336" s="5">
        <v>39.25</v>
      </c>
      <c r="M336" s="5">
        <v>42043.84</v>
      </c>
      <c r="N336" s="5">
        <v>4.09</v>
      </c>
      <c r="O336" s="6">
        <f t="shared" si="1"/>
        <v>39.24694656</v>
      </c>
      <c r="P336" s="6" t="str">
        <f t="shared" si="2"/>
        <v>Post-Shift</v>
      </c>
      <c r="Q336" s="3">
        <f t="shared" si="3"/>
        <v>3</v>
      </c>
    </row>
    <row r="337">
      <c r="A337" s="4">
        <v>45507.0</v>
      </c>
      <c r="B337" s="2" t="s">
        <v>23</v>
      </c>
      <c r="C337" s="2" t="s">
        <v>31</v>
      </c>
      <c r="D337" s="2" t="s">
        <v>32</v>
      </c>
      <c r="E337" s="2" t="s">
        <v>30</v>
      </c>
      <c r="F337" s="5">
        <v>44405.0</v>
      </c>
      <c r="G337" s="5">
        <v>1953.0</v>
      </c>
      <c r="H337" s="5">
        <v>0.044</v>
      </c>
      <c r="I337" s="5">
        <v>1.53</v>
      </c>
      <c r="J337" s="5">
        <v>2988.09</v>
      </c>
      <c r="K337" s="5">
        <v>22.0</v>
      </c>
      <c r="L337" s="5">
        <v>135.82</v>
      </c>
      <c r="M337" s="5">
        <v>6030.56</v>
      </c>
      <c r="N337" s="5">
        <v>2.02</v>
      </c>
      <c r="O337" s="6">
        <f t="shared" si="1"/>
        <v>135.8222727</v>
      </c>
      <c r="P337" s="6" t="str">
        <f t="shared" si="2"/>
        <v>Post-Shift</v>
      </c>
      <c r="Q337" s="3">
        <f t="shared" si="3"/>
        <v>10</v>
      </c>
    </row>
    <row r="338">
      <c r="A338" s="4" t="s">
        <v>136</v>
      </c>
      <c r="B338" s="2" t="s">
        <v>18</v>
      </c>
      <c r="C338" s="2" t="s">
        <v>31</v>
      </c>
      <c r="D338" s="2" t="s">
        <v>45</v>
      </c>
      <c r="E338" s="2" t="s">
        <v>56</v>
      </c>
      <c r="F338" s="5">
        <v>49462.0</v>
      </c>
      <c r="G338" s="5">
        <v>1206.0</v>
      </c>
      <c r="H338" s="5">
        <v>0.0244</v>
      </c>
      <c r="I338" s="5">
        <v>1.95</v>
      </c>
      <c r="J338" s="5">
        <v>2351.7</v>
      </c>
      <c r="K338" s="5">
        <v>74.0</v>
      </c>
      <c r="L338" s="5">
        <v>31.78</v>
      </c>
      <c r="M338" s="5">
        <v>12950.09</v>
      </c>
      <c r="N338" s="5">
        <v>5.51</v>
      </c>
      <c r="O338" s="6">
        <f t="shared" si="1"/>
        <v>31.77972973</v>
      </c>
      <c r="P338" s="6" t="str">
        <f t="shared" si="2"/>
        <v>Post-Shift</v>
      </c>
      <c r="Q338" s="3">
        <f t="shared" si="3"/>
        <v>35</v>
      </c>
    </row>
    <row r="339">
      <c r="A339" s="4">
        <v>45296.0</v>
      </c>
      <c r="B339" s="2" t="s">
        <v>23</v>
      </c>
      <c r="C339" s="2" t="s">
        <v>41</v>
      </c>
      <c r="D339" s="2" t="s">
        <v>32</v>
      </c>
      <c r="E339" s="2" t="s">
        <v>58</v>
      </c>
      <c r="F339" s="5">
        <v>140440.0</v>
      </c>
      <c r="G339" s="5">
        <v>11825.0</v>
      </c>
      <c r="H339" s="5">
        <v>0.0842</v>
      </c>
      <c r="I339" s="5">
        <v>0.68</v>
      </c>
      <c r="J339" s="5">
        <v>8041.0</v>
      </c>
      <c r="K339" s="5">
        <v>748.0</v>
      </c>
      <c r="L339" s="5">
        <v>10.75</v>
      </c>
      <c r="M339" s="5">
        <v>31071.69</v>
      </c>
      <c r="N339" s="5">
        <v>3.86</v>
      </c>
      <c r="O339" s="6">
        <f t="shared" si="1"/>
        <v>10.75</v>
      </c>
      <c r="P339" s="6" t="str">
        <f t="shared" si="2"/>
        <v>Baseline</v>
      </c>
      <c r="Q339" s="3">
        <f t="shared" si="3"/>
        <v>18</v>
      </c>
    </row>
    <row r="340">
      <c r="A340" s="4" t="s">
        <v>186</v>
      </c>
      <c r="B340" s="2" t="s">
        <v>23</v>
      </c>
      <c r="C340" s="2" t="s">
        <v>41</v>
      </c>
      <c r="D340" s="2" t="s">
        <v>29</v>
      </c>
      <c r="E340" s="2" t="s">
        <v>30</v>
      </c>
      <c r="F340" s="5">
        <v>112392.0</v>
      </c>
      <c r="G340" s="5">
        <v>4934.0</v>
      </c>
      <c r="H340" s="5">
        <v>0.0439</v>
      </c>
      <c r="I340" s="5">
        <v>1.64</v>
      </c>
      <c r="J340" s="5">
        <v>8091.76</v>
      </c>
      <c r="K340" s="5">
        <v>363.0</v>
      </c>
      <c r="L340" s="5">
        <v>22.29</v>
      </c>
      <c r="M340" s="5">
        <v>91221.43</v>
      </c>
      <c r="N340" s="5">
        <v>11.27</v>
      </c>
      <c r="O340" s="6">
        <f t="shared" si="1"/>
        <v>22.29134986</v>
      </c>
      <c r="P340" s="6" t="str">
        <f t="shared" si="2"/>
        <v>Post-Shift</v>
      </c>
      <c r="Q340" s="3">
        <f t="shared" si="3"/>
        <v>26</v>
      </c>
    </row>
    <row r="341">
      <c r="A341" s="4" t="s">
        <v>40</v>
      </c>
      <c r="B341" s="2" t="s">
        <v>23</v>
      </c>
      <c r="C341" s="2" t="s">
        <v>31</v>
      </c>
      <c r="D341" s="2" t="s">
        <v>29</v>
      </c>
      <c r="E341" s="2" t="s">
        <v>58</v>
      </c>
      <c r="F341" s="5">
        <v>125654.0</v>
      </c>
      <c r="G341" s="5">
        <v>8318.0</v>
      </c>
      <c r="H341" s="5">
        <v>0.0662</v>
      </c>
      <c r="I341" s="5">
        <v>0.58</v>
      </c>
      <c r="J341" s="5">
        <v>4824.44</v>
      </c>
      <c r="K341" s="5">
        <v>566.0</v>
      </c>
      <c r="L341" s="5">
        <v>8.52</v>
      </c>
      <c r="M341" s="5">
        <v>117035.1</v>
      </c>
      <c r="N341" s="5">
        <v>24.26</v>
      </c>
      <c r="O341" s="6">
        <f t="shared" si="1"/>
        <v>8.523745583</v>
      </c>
      <c r="P341" s="6" t="str">
        <f t="shared" si="2"/>
        <v>Post-Shift</v>
      </c>
      <c r="Q341" s="3">
        <f t="shared" si="3"/>
        <v>16</v>
      </c>
    </row>
    <row r="342">
      <c r="A342" s="4" t="s">
        <v>187</v>
      </c>
      <c r="B342" s="2" t="s">
        <v>38</v>
      </c>
      <c r="C342" s="2" t="s">
        <v>19</v>
      </c>
      <c r="D342" s="2" t="s">
        <v>29</v>
      </c>
      <c r="E342" s="2" t="s">
        <v>25</v>
      </c>
      <c r="F342" s="5">
        <v>167002.0</v>
      </c>
      <c r="G342" s="5">
        <v>3406.0</v>
      </c>
      <c r="H342" s="5">
        <v>0.0204</v>
      </c>
      <c r="I342" s="5">
        <v>1.83</v>
      </c>
      <c r="J342" s="5">
        <v>6232.98</v>
      </c>
      <c r="K342" s="5">
        <v>76.0</v>
      </c>
      <c r="L342" s="5">
        <v>82.01</v>
      </c>
      <c r="M342" s="5">
        <v>10328.31</v>
      </c>
      <c r="N342" s="5">
        <v>1.66</v>
      </c>
      <c r="O342" s="6">
        <f t="shared" si="1"/>
        <v>82.01289474</v>
      </c>
      <c r="P342" s="6" t="str">
        <f t="shared" si="2"/>
        <v>Post-Shift</v>
      </c>
      <c r="Q342" s="3">
        <f t="shared" si="3"/>
        <v>29</v>
      </c>
    </row>
    <row r="343">
      <c r="A343" s="4">
        <v>45447.0</v>
      </c>
      <c r="B343" s="2" t="s">
        <v>23</v>
      </c>
      <c r="C343" s="2" t="s">
        <v>19</v>
      </c>
      <c r="D343" s="2" t="s">
        <v>32</v>
      </c>
      <c r="E343" s="2" t="s">
        <v>58</v>
      </c>
      <c r="F343" s="5">
        <v>108247.0</v>
      </c>
      <c r="G343" s="5">
        <v>6971.0</v>
      </c>
      <c r="H343" s="5">
        <v>0.0644</v>
      </c>
      <c r="I343" s="5">
        <v>0.59</v>
      </c>
      <c r="J343" s="5">
        <v>4112.89</v>
      </c>
      <c r="K343" s="5">
        <v>517.0</v>
      </c>
      <c r="L343" s="5">
        <v>7.96</v>
      </c>
      <c r="M343" s="5">
        <v>139391.8</v>
      </c>
      <c r="N343" s="5">
        <v>33.89</v>
      </c>
      <c r="O343" s="6">
        <f t="shared" si="1"/>
        <v>7.955299807</v>
      </c>
      <c r="P343" s="6" t="str">
        <f t="shared" si="2"/>
        <v>Baseline</v>
      </c>
      <c r="Q343" s="3">
        <f t="shared" si="3"/>
        <v>14</v>
      </c>
    </row>
    <row r="344">
      <c r="A344" s="4" t="s">
        <v>184</v>
      </c>
      <c r="B344" s="2" t="s">
        <v>38</v>
      </c>
      <c r="C344" s="2" t="s">
        <v>41</v>
      </c>
      <c r="D344" s="2" t="s">
        <v>20</v>
      </c>
      <c r="E344" s="2" t="s">
        <v>58</v>
      </c>
      <c r="F344" s="5">
        <v>53128.0</v>
      </c>
      <c r="G344" s="5">
        <v>1678.0</v>
      </c>
      <c r="H344" s="5">
        <v>0.0316</v>
      </c>
      <c r="I344" s="5">
        <v>1.51</v>
      </c>
      <c r="J344" s="5">
        <v>2533.78</v>
      </c>
      <c r="K344" s="5">
        <v>66.0</v>
      </c>
      <c r="L344" s="5">
        <v>38.39</v>
      </c>
      <c r="M344" s="5">
        <v>19225.18</v>
      </c>
      <c r="N344" s="5">
        <v>7.59</v>
      </c>
      <c r="O344" s="6">
        <f t="shared" si="1"/>
        <v>38.39060606</v>
      </c>
      <c r="P344" s="6" t="str">
        <f t="shared" si="2"/>
        <v>Post-Shift</v>
      </c>
      <c r="Q344" s="3">
        <f t="shared" si="3"/>
        <v>16</v>
      </c>
    </row>
    <row r="345">
      <c r="A345" s="4">
        <v>45293.0</v>
      </c>
      <c r="B345" s="2" t="s">
        <v>38</v>
      </c>
      <c r="C345" s="2" t="s">
        <v>27</v>
      </c>
      <c r="D345" s="2" t="s">
        <v>24</v>
      </c>
      <c r="E345" s="2" t="s">
        <v>30</v>
      </c>
      <c r="F345" s="5">
        <v>65942.0</v>
      </c>
      <c r="G345" s="5">
        <v>2044.0</v>
      </c>
      <c r="H345" s="5">
        <v>0.031</v>
      </c>
      <c r="I345" s="5">
        <v>1.05</v>
      </c>
      <c r="J345" s="5">
        <v>2146.2</v>
      </c>
      <c r="K345" s="5">
        <v>48.0</v>
      </c>
      <c r="L345" s="5">
        <v>44.71</v>
      </c>
      <c r="M345" s="5">
        <v>6784.27</v>
      </c>
      <c r="N345" s="5">
        <v>3.16</v>
      </c>
      <c r="O345" s="6">
        <f t="shared" si="1"/>
        <v>44.7125</v>
      </c>
      <c r="P345" s="6" t="str">
        <f t="shared" si="2"/>
        <v>Baseline</v>
      </c>
      <c r="Q345" s="3">
        <f t="shared" si="3"/>
        <v>5</v>
      </c>
    </row>
    <row r="346">
      <c r="A346" s="4" t="s">
        <v>142</v>
      </c>
      <c r="B346" s="2" t="s">
        <v>18</v>
      </c>
      <c r="C346" s="2" t="s">
        <v>41</v>
      </c>
      <c r="D346" s="2" t="s">
        <v>45</v>
      </c>
      <c r="E346" s="2" t="s">
        <v>36</v>
      </c>
      <c r="F346" s="5">
        <v>32160.0</v>
      </c>
      <c r="G346" s="5">
        <v>1186.0</v>
      </c>
      <c r="H346" s="5">
        <v>0.0369</v>
      </c>
      <c r="I346" s="5">
        <v>1.34</v>
      </c>
      <c r="J346" s="5">
        <v>1589.24</v>
      </c>
      <c r="K346" s="5">
        <v>12.0</v>
      </c>
      <c r="L346" s="5">
        <v>132.44</v>
      </c>
      <c r="M346" s="5">
        <v>1927.71</v>
      </c>
      <c r="N346" s="5">
        <v>1.21</v>
      </c>
      <c r="O346" s="6">
        <f t="shared" si="1"/>
        <v>132.4366667</v>
      </c>
      <c r="P346" s="6" t="str">
        <f t="shared" si="2"/>
        <v>Post-Shift</v>
      </c>
      <c r="Q346" s="3">
        <f t="shared" si="3"/>
        <v>11</v>
      </c>
    </row>
    <row r="347">
      <c r="A347" s="4" t="s">
        <v>188</v>
      </c>
      <c r="B347" s="2" t="s">
        <v>18</v>
      </c>
      <c r="C347" s="2" t="s">
        <v>19</v>
      </c>
      <c r="D347" s="2" t="s">
        <v>24</v>
      </c>
      <c r="E347" s="2" t="s">
        <v>30</v>
      </c>
      <c r="F347" s="5">
        <v>58364.0</v>
      </c>
      <c r="G347" s="5">
        <v>2241.0</v>
      </c>
      <c r="H347" s="5">
        <v>0.0384</v>
      </c>
      <c r="I347" s="5">
        <v>2.22</v>
      </c>
      <c r="J347" s="5">
        <v>4975.02</v>
      </c>
      <c r="K347" s="5">
        <v>136.0</v>
      </c>
      <c r="L347" s="5">
        <v>36.58</v>
      </c>
      <c r="M347" s="5">
        <v>15149.72</v>
      </c>
      <c r="N347" s="5">
        <v>3.05</v>
      </c>
      <c r="O347" s="6">
        <f t="shared" si="1"/>
        <v>36.58102941</v>
      </c>
      <c r="P347" s="6" t="str">
        <f t="shared" si="2"/>
        <v>Post-Shift</v>
      </c>
      <c r="Q347" s="3">
        <f t="shared" si="3"/>
        <v>40</v>
      </c>
    </row>
    <row r="348">
      <c r="A348" s="4">
        <v>45418.0</v>
      </c>
      <c r="B348" s="2" t="s">
        <v>38</v>
      </c>
      <c r="C348" s="2" t="s">
        <v>19</v>
      </c>
      <c r="D348" s="2" t="s">
        <v>45</v>
      </c>
      <c r="E348" s="2" t="s">
        <v>56</v>
      </c>
      <c r="F348" s="5">
        <v>79462.0</v>
      </c>
      <c r="G348" s="5">
        <v>2058.0</v>
      </c>
      <c r="H348" s="5">
        <v>0.0259</v>
      </c>
      <c r="I348" s="5">
        <v>0.88</v>
      </c>
      <c r="J348" s="5">
        <v>1811.04</v>
      </c>
      <c r="K348" s="5">
        <v>146.0</v>
      </c>
      <c r="L348" s="5">
        <v>12.4</v>
      </c>
      <c r="M348" s="5">
        <v>7813.85</v>
      </c>
      <c r="N348" s="5">
        <v>4.31</v>
      </c>
      <c r="O348" s="6">
        <f t="shared" si="1"/>
        <v>12.40438356</v>
      </c>
      <c r="P348" s="6" t="str">
        <f t="shared" si="2"/>
        <v>Baseline</v>
      </c>
      <c r="Q348" s="3">
        <f t="shared" si="3"/>
        <v>23</v>
      </c>
    </row>
    <row r="349">
      <c r="A349" s="4">
        <v>45295.0</v>
      </c>
      <c r="B349" s="2" t="s">
        <v>38</v>
      </c>
      <c r="C349" s="2" t="s">
        <v>41</v>
      </c>
      <c r="D349" s="2" t="s">
        <v>32</v>
      </c>
      <c r="E349" s="2" t="s">
        <v>56</v>
      </c>
      <c r="F349" s="5">
        <v>151864.0</v>
      </c>
      <c r="G349" s="5">
        <v>4358.0</v>
      </c>
      <c r="H349" s="5">
        <v>0.0287</v>
      </c>
      <c r="I349" s="5">
        <v>1.69</v>
      </c>
      <c r="J349" s="5">
        <v>7365.02</v>
      </c>
      <c r="K349" s="5">
        <v>175.0</v>
      </c>
      <c r="L349" s="5">
        <v>42.09</v>
      </c>
      <c r="M349" s="5">
        <v>45340.29</v>
      </c>
      <c r="N349" s="5">
        <v>6.16</v>
      </c>
      <c r="O349" s="6">
        <f t="shared" si="1"/>
        <v>42.08582857</v>
      </c>
      <c r="P349" s="6" t="str">
        <f t="shared" si="2"/>
        <v>Baseline</v>
      </c>
      <c r="Q349" s="3">
        <f t="shared" si="3"/>
        <v>14</v>
      </c>
    </row>
    <row r="350">
      <c r="A350" s="4" t="s">
        <v>70</v>
      </c>
      <c r="B350" s="2" t="s">
        <v>18</v>
      </c>
      <c r="C350" s="2" t="s">
        <v>31</v>
      </c>
      <c r="D350" s="2" t="s">
        <v>24</v>
      </c>
      <c r="E350" s="2" t="s">
        <v>21</v>
      </c>
      <c r="F350" s="5">
        <v>182926.0</v>
      </c>
      <c r="G350" s="5">
        <v>6749.0</v>
      </c>
      <c r="H350" s="5">
        <v>0.0369</v>
      </c>
      <c r="I350" s="5">
        <v>1.94</v>
      </c>
      <c r="J350" s="5">
        <v>13093.06</v>
      </c>
      <c r="K350" s="5">
        <v>343.0</v>
      </c>
      <c r="L350" s="5">
        <v>38.17</v>
      </c>
      <c r="M350" s="5">
        <v>53279.93</v>
      </c>
      <c r="N350" s="5">
        <v>4.07</v>
      </c>
      <c r="O350" s="6">
        <f t="shared" si="1"/>
        <v>38.17218659</v>
      </c>
      <c r="P350" s="6" t="str">
        <f t="shared" si="2"/>
        <v>Post-Shift</v>
      </c>
      <c r="Q350" s="3">
        <f t="shared" si="3"/>
        <v>17</v>
      </c>
    </row>
    <row r="351">
      <c r="A351" s="4" t="s">
        <v>141</v>
      </c>
      <c r="B351" s="2" t="s">
        <v>38</v>
      </c>
      <c r="C351" s="2" t="s">
        <v>31</v>
      </c>
      <c r="D351" s="2" t="s">
        <v>45</v>
      </c>
      <c r="E351" s="2" t="s">
        <v>56</v>
      </c>
      <c r="F351" s="5">
        <v>107489.0</v>
      </c>
      <c r="G351" s="5">
        <v>2515.0</v>
      </c>
      <c r="H351" s="5">
        <v>0.0234</v>
      </c>
      <c r="I351" s="5">
        <v>1.4</v>
      </c>
      <c r="J351" s="5">
        <v>3521.0</v>
      </c>
      <c r="K351" s="5">
        <v>166.0</v>
      </c>
      <c r="L351" s="5">
        <v>21.21</v>
      </c>
      <c r="M351" s="5">
        <v>18411.15</v>
      </c>
      <c r="N351" s="5">
        <v>5.23</v>
      </c>
      <c r="O351" s="6">
        <f t="shared" si="1"/>
        <v>21.21084337</v>
      </c>
      <c r="P351" s="6" t="str">
        <f t="shared" si="2"/>
        <v>Post-Shift</v>
      </c>
      <c r="Q351" s="3">
        <f t="shared" si="3"/>
        <v>43</v>
      </c>
    </row>
    <row r="352">
      <c r="A352" s="4">
        <v>45359.0</v>
      </c>
      <c r="B352" s="2" t="s">
        <v>23</v>
      </c>
      <c r="C352" s="2" t="s">
        <v>19</v>
      </c>
      <c r="D352" s="2" t="s">
        <v>29</v>
      </c>
      <c r="E352" s="2" t="s">
        <v>56</v>
      </c>
      <c r="F352" s="5">
        <v>40709.0</v>
      </c>
      <c r="G352" s="5">
        <v>1314.0</v>
      </c>
      <c r="H352" s="5">
        <v>0.0323</v>
      </c>
      <c r="I352" s="5">
        <v>0.7</v>
      </c>
      <c r="J352" s="5">
        <v>919.8</v>
      </c>
      <c r="K352" s="5">
        <v>90.0</v>
      </c>
      <c r="L352" s="5">
        <v>10.22</v>
      </c>
      <c r="M352" s="5">
        <v>16081.05</v>
      </c>
      <c r="N352" s="5">
        <v>17.48</v>
      </c>
      <c r="O352" s="6">
        <f t="shared" si="1"/>
        <v>10.22</v>
      </c>
      <c r="P352" s="6" t="str">
        <f t="shared" si="2"/>
        <v>Baseline</v>
      </c>
      <c r="Q352" s="3">
        <f t="shared" si="3"/>
        <v>31</v>
      </c>
    </row>
    <row r="353">
      <c r="A353" s="4" t="s">
        <v>189</v>
      </c>
      <c r="B353" s="2" t="s">
        <v>18</v>
      </c>
      <c r="C353" s="2" t="s">
        <v>27</v>
      </c>
      <c r="D353" s="2" t="s">
        <v>20</v>
      </c>
      <c r="E353" s="2" t="s">
        <v>58</v>
      </c>
      <c r="F353" s="5">
        <v>143561.0</v>
      </c>
      <c r="G353" s="5">
        <v>9144.0</v>
      </c>
      <c r="H353" s="5">
        <v>0.0637</v>
      </c>
      <c r="I353" s="5">
        <v>1.93</v>
      </c>
      <c r="J353" s="5">
        <v>17647.92</v>
      </c>
      <c r="K353" s="5">
        <v>630.0</v>
      </c>
      <c r="L353" s="5">
        <v>28.01</v>
      </c>
      <c r="M353" s="5">
        <v>123364.1</v>
      </c>
      <c r="N353" s="5">
        <v>6.99</v>
      </c>
      <c r="O353" s="6">
        <f t="shared" si="1"/>
        <v>28.01257143</v>
      </c>
      <c r="P353" s="6" t="str">
        <f t="shared" si="2"/>
        <v>Post-Shift</v>
      </c>
      <c r="Q353" s="3">
        <f t="shared" si="3"/>
        <v>39</v>
      </c>
    </row>
    <row r="354">
      <c r="A354" s="4" t="s">
        <v>190</v>
      </c>
      <c r="B354" s="2" t="s">
        <v>18</v>
      </c>
      <c r="C354" s="2" t="s">
        <v>31</v>
      </c>
      <c r="D354" s="2" t="s">
        <v>20</v>
      </c>
      <c r="E354" s="2" t="s">
        <v>56</v>
      </c>
      <c r="F354" s="5">
        <v>94242.0</v>
      </c>
      <c r="G354" s="5">
        <v>5466.0</v>
      </c>
      <c r="H354" s="5">
        <v>0.058</v>
      </c>
      <c r="I354" s="5">
        <v>1.67</v>
      </c>
      <c r="J354" s="5">
        <v>9128.22</v>
      </c>
      <c r="K354" s="5">
        <v>100.0</v>
      </c>
      <c r="L354" s="5">
        <v>91.28</v>
      </c>
      <c r="M354" s="5">
        <v>6794.77</v>
      </c>
      <c r="N354" s="5">
        <v>0.74</v>
      </c>
      <c r="O354" s="6">
        <f t="shared" si="1"/>
        <v>91.2822</v>
      </c>
      <c r="P354" s="6" t="str">
        <f t="shared" si="2"/>
        <v>Post-Shift</v>
      </c>
      <c r="Q354" s="3">
        <f t="shared" si="3"/>
        <v>13</v>
      </c>
    </row>
    <row r="355">
      <c r="A355" s="4" t="s">
        <v>90</v>
      </c>
      <c r="B355" s="2" t="s">
        <v>18</v>
      </c>
      <c r="C355" s="2" t="s">
        <v>41</v>
      </c>
      <c r="D355" s="2" t="s">
        <v>29</v>
      </c>
      <c r="E355" s="2" t="s">
        <v>21</v>
      </c>
      <c r="F355" s="5">
        <v>111311.0</v>
      </c>
      <c r="G355" s="5">
        <v>5765.0</v>
      </c>
      <c r="H355" s="5">
        <v>0.0518</v>
      </c>
      <c r="I355" s="5">
        <v>2.71</v>
      </c>
      <c r="J355" s="5">
        <v>15623.15</v>
      </c>
      <c r="K355" s="5">
        <v>389.0</v>
      </c>
      <c r="L355" s="5">
        <v>40.16</v>
      </c>
      <c r="M355" s="5">
        <v>22317.92</v>
      </c>
      <c r="N355" s="5">
        <v>1.43</v>
      </c>
      <c r="O355" s="6">
        <f t="shared" si="1"/>
        <v>40.16233933</v>
      </c>
      <c r="P355" s="6" t="str">
        <f t="shared" si="2"/>
        <v>Post-Shift</v>
      </c>
      <c r="Q355" s="3">
        <f t="shared" si="3"/>
        <v>39</v>
      </c>
    </row>
    <row r="356">
      <c r="A356" s="4" t="s">
        <v>189</v>
      </c>
      <c r="B356" s="2" t="s">
        <v>23</v>
      </c>
      <c r="C356" s="2" t="s">
        <v>27</v>
      </c>
      <c r="D356" s="2" t="s">
        <v>20</v>
      </c>
      <c r="E356" s="2" t="s">
        <v>30</v>
      </c>
      <c r="F356" s="5">
        <v>130865.0</v>
      </c>
      <c r="G356" s="5">
        <v>9461.0</v>
      </c>
      <c r="H356" s="5">
        <v>0.0723</v>
      </c>
      <c r="I356" s="5">
        <v>1.48</v>
      </c>
      <c r="J356" s="5">
        <v>14002.28</v>
      </c>
      <c r="K356" s="5">
        <v>221.0</v>
      </c>
      <c r="L356" s="5">
        <v>63.36</v>
      </c>
      <c r="M356" s="5">
        <v>46411.13</v>
      </c>
      <c r="N356" s="5">
        <v>3.31</v>
      </c>
      <c r="O356" s="6">
        <f t="shared" si="1"/>
        <v>63.35873303</v>
      </c>
      <c r="P356" s="6" t="str">
        <f t="shared" si="2"/>
        <v>Post-Shift</v>
      </c>
      <c r="Q356" s="3">
        <f t="shared" si="3"/>
        <v>39</v>
      </c>
    </row>
    <row r="357">
      <c r="A357" s="4">
        <v>45323.0</v>
      </c>
      <c r="B357" s="2" t="s">
        <v>38</v>
      </c>
      <c r="C357" s="2" t="s">
        <v>27</v>
      </c>
      <c r="D357" s="2" t="s">
        <v>24</v>
      </c>
      <c r="E357" s="2" t="s">
        <v>30</v>
      </c>
      <c r="F357" s="5">
        <v>138639.0</v>
      </c>
      <c r="G357" s="5">
        <v>2204.0</v>
      </c>
      <c r="H357" s="5">
        <v>0.0159</v>
      </c>
      <c r="I357" s="5">
        <v>1.8</v>
      </c>
      <c r="J357" s="5">
        <v>3967.2</v>
      </c>
      <c r="K357" s="5">
        <v>154.0</v>
      </c>
      <c r="L357" s="5">
        <v>25.76</v>
      </c>
      <c r="M357" s="5">
        <v>35803.07</v>
      </c>
      <c r="N357" s="5">
        <v>9.02</v>
      </c>
      <c r="O357" s="6">
        <f t="shared" si="1"/>
        <v>25.76103896</v>
      </c>
      <c r="P357" s="6" t="str">
        <f t="shared" si="2"/>
        <v>Baseline</v>
      </c>
      <c r="Q357" s="3">
        <f t="shared" si="3"/>
        <v>1</v>
      </c>
    </row>
    <row r="358">
      <c r="A358" s="4" t="s">
        <v>26</v>
      </c>
      <c r="B358" s="2" t="s">
        <v>23</v>
      </c>
      <c r="C358" s="2" t="s">
        <v>31</v>
      </c>
      <c r="D358" s="2" t="s">
        <v>32</v>
      </c>
      <c r="E358" s="2" t="s">
        <v>56</v>
      </c>
      <c r="F358" s="5">
        <v>147355.0</v>
      </c>
      <c r="G358" s="5">
        <v>7485.0</v>
      </c>
      <c r="H358" s="5">
        <v>0.0508</v>
      </c>
      <c r="I358" s="5">
        <v>0.91</v>
      </c>
      <c r="J358" s="5">
        <v>6811.35</v>
      </c>
      <c r="K358" s="5">
        <v>81.0</v>
      </c>
      <c r="L358" s="5">
        <v>84.09</v>
      </c>
      <c r="M358" s="5">
        <v>14520.06</v>
      </c>
      <c r="N358" s="5">
        <v>2.13</v>
      </c>
      <c r="O358" s="6">
        <f t="shared" si="1"/>
        <v>84.09074074</v>
      </c>
      <c r="P358" s="6" t="str">
        <f t="shared" si="2"/>
        <v>Post-Shift</v>
      </c>
      <c r="Q358" s="3">
        <f t="shared" si="3"/>
        <v>24</v>
      </c>
    </row>
    <row r="359">
      <c r="A359" s="4" t="s">
        <v>79</v>
      </c>
      <c r="B359" s="2" t="s">
        <v>38</v>
      </c>
      <c r="C359" s="2" t="s">
        <v>31</v>
      </c>
      <c r="D359" s="2" t="s">
        <v>20</v>
      </c>
      <c r="E359" s="2" t="s">
        <v>25</v>
      </c>
      <c r="F359" s="5">
        <v>26751.0</v>
      </c>
      <c r="G359" s="5">
        <v>489.0</v>
      </c>
      <c r="H359" s="5">
        <v>0.0183</v>
      </c>
      <c r="I359" s="5">
        <v>1.93</v>
      </c>
      <c r="J359" s="5">
        <v>943.77</v>
      </c>
      <c r="K359" s="5">
        <v>8.0</v>
      </c>
      <c r="L359" s="5">
        <v>117.97</v>
      </c>
      <c r="M359" s="5">
        <v>791.56</v>
      </c>
      <c r="N359" s="5">
        <v>0.84</v>
      </c>
      <c r="O359" s="6">
        <f t="shared" si="1"/>
        <v>117.97125</v>
      </c>
      <c r="P359" s="6" t="str">
        <f t="shared" si="2"/>
        <v>Post-Shift</v>
      </c>
      <c r="Q359" s="3">
        <f t="shared" si="3"/>
        <v>18</v>
      </c>
    </row>
    <row r="360">
      <c r="A360" s="4" t="s">
        <v>110</v>
      </c>
      <c r="B360" s="2" t="s">
        <v>23</v>
      </c>
      <c r="C360" s="2" t="s">
        <v>41</v>
      </c>
      <c r="D360" s="2" t="s">
        <v>32</v>
      </c>
      <c r="E360" s="2" t="s">
        <v>25</v>
      </c>
      <c r="F360" s="5">
        <v>42706.0</v>
      </c>
      <c r="G360" s="5">
        <v>2084.0</v>
      </c>
      <c r="H360" s="5">
        <v>0.0488</v>
      </c>
      <c r="I360" s="5">
        <v>1.59</v>
      </c>
      <c r="J360" s="5">
        <v>3313.56</v>
      </c>
      <c r="K360" s="5">
        <v>35.0</v>
      </c>
      <c r="L360" s="5">
        <v>94.67</v>
      </c>
      <c r="M360" s="5">
        <v>4766.32</v>
      </c>
      <c r="N360" s="5">
        <v>1.44</v>
      </c>
      <c r="O360" s="6">
        <f t="shared" si="1"/>
        <v>94.67314286</v>
      </c>
      <c r="P360" s="6" t="str">
        <f t="shared" si="2"/>
        <v>Post-Shift</v>
      </c>
      <c r="Q360" s="3">
        <f t="shared" si="3"/>
        <v>4</v>
      </c>
    </row>
    <row r="361">
      <c r="A361" s="4">
        <v>45331.0</v>
      </c>
      <c r="B361" s="2" t="s">
        <v>38</v>
      </c>
      <c r="C361" s="2" t="s">
        <v>27</v>
      </c>
      <c r="D361" s="2" t="s">
        <v>32</v>
      </c>
      <c r="E361" s="2" t="s">
        <v>21</v>
      </c>
      <c r="F361" s="5">
        <v>173337.0</v>
      </c>
      <c r="G361" s="5">
        <v>3189.0</v>
      </c>
      <c r="H361" s="5">
        <v>0.0184</v>
      </c>
      <c r="I361" s="5">
        <v>2.03</v>
      </c>
      <c r="J361" s="5">
        <v>6473.67</v>
      </c>
      <c r="K361" s="5">
        <v>224.0</v>
      </c>
      <c r="L361" s="5">
        <v>28.9</v>
      </c>
      <c r="M361" s="5">
        <v>43055.91</v>
      </c>
      <c r="N361" s="5">
        <v>6.65</v>
      </c>
      <c r="O361" s="6">
        <f t="shared" si="1"/>
        <v>28.9003125</v>
      </c>
      <c r="P361" s="6" t="str">
        <f t="shared" si="2"/>
        <v>Baseline</v>
      </c>
      <c r="Q361" s="3">
        <f t="shared" si="3"/>
        <v>36</v>
      </c>
    </row>
    <row r="362">
      <c r="A362" s="4" t="s">
        <v>165</v>
      </c>
      <c r="B362" s="2" t="s">
        <v>38</v>
      </c>
      <c r="C362" s="2" t="s">
        <v>31</v>
      </c>
      <c r="D362" s="2" t="s">
        <v>32</v>
      </c>
      <c r="E362" s="2" t="s">
        <v>36</v>
      </c>
      <c r="F362" s="5">
        <v>99948.0</v>
      </c>
      <c r="G362" s="5">
        <v>1389.0</v>
      </c>
      <c r="H362" s="5">
        <v>0.0139</v>
      </c>
      <c r="I362" s="5">
        <v>1.04</v>
      </c>
      <c r="J362" s="5">
        <v>1444.56</v>
      </c>
      <c r="K362" s="5">
        <v>67.0</v>
      </c>
      <c r="L362" s="5">
        <v>21.56</v>
      </c>
      <c r="M362" s="5">
        <v>4987.6</v>
      </c>
      <c r="N362" s="5">
        <v>3.45</v>
      </c>
      <c r="O362" s="6">
        <f t="shared" si="1"/>
        <v>21.56059701</v>
      </c>
      <c r="P362" s="6" t="str">
        <f t="shared" si="2"/>
        <v>Post-Shift</v>
      </c>
      <c r="Q362" s="3">
        <f t="shared" si="3"/>
        <v>31</v>
      </c>
    </row>
    <row r="363">
      <c r="A363" s="4" t="s">
        <v>191</v>
      </c>
      <c r="B363" s="2" t="s">
        <v>18</v>
      </c>
      <c r="C363" s="2" t="s">
        <v>27</v>
      </c>
      <c r="D363" s="2" t="s">
        <v>29</v>
      </c>
      <c r="E363" s="2" t="s">
        <v>36</v>
      </c>
      <c r="F363" s="5">
        <v>65282.0</v>
      </c>
      <c r="G363" s="5">
        <v>1723.0</v>
      </c>
      <c r="H363" s="5">
        <v>0.0264</v>
      </c>
      <c r="I363" s="5">
        <v>1.91</v>
      </c>
      <c r="J363" s="5">
        <v>3290.93</v>
      </c>
      <c r="K363" s="5">
        <v>64.0</v>
      </c>
      <c r="L363" s="5">
        <v>51.42</v>
      </c>
      <c r="M363" s="5">
        <v>16624.45</v>
      </c>
      <c r="N363" s="5">
        <v>5.05</v>
      </c>
      <c r="O363" s="6">
        <f t="shared" si="1"/>
        <v>51.42078125</v>
      </c>
      <c r="P363" s="6" t="str">
        <f t="shared" si="2"/>
        <v>Post-Shift</v>
      </c>
      <c r="Q363" s="3">
        <f t="shared" si="3"/>
        <v>13</v>
      </c>
    </row>
    <row r="364">
      <c r="A364" s="4">
        <v>45293.0</v>
      </c>
      <c r="B364" s="2" t="s">
        <v>18</v>
      </c>
      <c r="C364" s="2" t="s">
        <v>27</v>
      </c>
      <c r="D364" s="2" t="s">
        <v>24</v>
      </c>
      <c r="E364" s="2" t="s">
        <v>30</v>
      </c>
      <c r="F364" s="5">
        <v>48790.0</v>
      </c>
      <c r="G364" s="5">
        <v>2824.0</v>
      </c>
      <c r="H364" s="5">
        <v>0.0579</v>
      </c>
      <c r="I364" s="5">
        <v>1.3</v>
      </c>
      <c r="J364" s="5">
        <v>3671.2</v>
      </c>
      <c r="K364" s="5">
        <v>178.0</v>
      </c>
      <c r="L364" s="5">
        <v>20.62</v>
      </c>
      <c r="M364" s="5">
        <v>37847.71</v>
      </c>
      <c r="N364" s="5">
        <v>10.31</v>
      </c>
      <c r="O364" s="6">
        <f t="shared" si="1"/>
        <v>20.6247191</v>
      </c>
      <c r="P364" s="6" t="str">
        <f t="shared" si="2"/>
        <v>Baseline</v>
      </c>
      <c r="Q364" s="3">
        <f t="shared" si="3"/>
        <v>5</v>
      </c>
    </row>
    <row r="365">
      <c r="A365" s="4" t="s">
        <v>187</v>
      </c>
      <c r="B365" s="2" t="s">
        <v>18</v>
      </c>
      <c r="C365" s="2" t="s">
        <v>31</v>
      </c>
      <c r="D365" s="2" t="s">
        <v>24</v>
      </c>
      <c r="E365" s="2" t="s">
        <v>21</v>
      </c>
      <c r="F365" s="5">
        <v>163272.0</v>
      </c>
      <c r="G365" s="5">
        <v>5551.0</v>
      </c>
      <c r="H365" s="5">
        <v>0.034</v>
      </c>
      <c r="I365" s="5">
        <v>2.23</v>
      </c>
      <c r="J365" s="5">
        <v>12378.73</v>
      </c>
      <c r="K365" s="5">
        <v>135.0</v>
      </c>
      <c r="L365" s="5">
        <v>91.69</v>
      </c>
      <c r="M365" s="5">
        <v>38753.89</v>
      </c>
      <c r="N365" s="5">
        <v>3.13</v>
      </c>
      <c r="O365" s="6">
        <f t="shared" si="1"/>
        <v>91.6942963</v>
      </c>
      <c r="P365" s="6" t="str">
        <f t="shared" si="2"/>
        <v>Post-Shift</v>
      </c>
      <c r="Q365" s="3">
        <f t="shared" si="3"/>
        <v>29</v>
      </c>
    </row>
    <row r="366">
      <c r="A366" s="4">
        <v>45393.0</v>
      </c>
      <c r="B366" s="2" t="s">
        <v>18</v>
      </c>
      <c r="C366" s="2" t="s">
        <v>27</v>
      </c>
      <c r="D366" s="2" t="s">
        <v>24</v>
      </c>
      <c r="E366" s="2" t="s">
        <v>58</v>
      </c>
      <c r="F366" s="5">
        <v>149233.0</v>
      </c>
      <c r="G366" s="5">
        <v>3686.0</v>
      </c>
      <c r="H366" s="5">
        <v>0.0247</v>
      </c>
      <c r="I366" s="5">
        <v>1.0</v>
      </c>
      <c r="J366" s="5">
        <v>3686.0</v>
      </c>
      <c r="K366" s="5">
        <v>250.0</v>
      </c>
      <c r="L366" s="5">
        <v>14.74</v>
      </c>
      <c r="M366" s="5">
        <v>16524.46</v>
      </c>
      <c r="N366" s="5">
        <v>4.48</v>
      </c>
      <c r="O366" s="6">
        <f t="shared" si="1"/>
        <v>14.744</v>
      </c>
      <c r="P366" s="6" t="str">
        <f t="shared" si="2"/>
        <v>Baseline</v>
      </c>
      <c r="Q366" s="3">
        <f t="shared" si="3"/>
        <v>45</v>
      </c>
    </row>
    <row r="367">
      <c r="A367" s="4" t="s">
        <v>64</v>
      </c>
      <c r="B367" s="2" t="s">
        <v>23</v>
      </c>
      <c r="C367" s="2" t="s">
        <v>19</v>
      </c>
      <c r="D367" s="2" t="s">
        <v>32</v>
      </c>
      <c r="E367" s="2" t="s">
        <v>21</v>
      </c>
      <c r="F367" s="5">
        <v>7637.0</v>
      </c>
      <c r="G367" s="5">
        <v>415.0</v>
      </c>
      <c r="H367" s="5">
        <v>0.0544</v>
      </c>
      <c r="I367" s="5">
        <v>1.54</v>
      </c>
      <c r="J367" s="5">
        <v>639.1</v>
      </c>
      <c r="K367" s="5">
        <v>10.0</v>
      </c>
      <c r="L367" s="5">
        <v>63.91</v>
      </c>
      <c r="M367" s="5">
        <v>1137.83</v>
      </c>
      <c r="N367" s="5">
        <v>1.78</v>
      </c>
      <c r="O367" s="6">
        <f t="shared" si="1"/>
        <v>63.91</v>
      </c>
      <c r="P367" s="6" t="str">
        <f t="shared" si="2"/>
        <v>Post-Shift</v>
      </c>
      <c r="Q367" s="3">
        <f t="shared" si="3"/>
        <v>9</v>
      </c>
    </row>
    <row r="368">
      <c r="A368" s="4">
        <v>45383.0</v>
      </c>
      <c r="B368" s="2" t="s">
        <v>18</v>
      </c>
      <c r="C368" s="2" t="s">
        <v>41</v>
      </c>
      <c r="D368" s="2" t="s">
        <v>20</v>
      </c>
      <c r="E368" s="2" t="s">
        <v>25</v>
      </c>
      <c r="F368" s="5">
        <v>20198.0</v>
      </c>
      <c r="G368" s="5">
        <v>878.0</v>
      </c>
      <c r="H368" s="5">
        <v>0.0435</v>
      </c>
      <c r="I368" s="5">
        <v>2.68</v>
      </c>
      <c r="J368" s="5">
        <v>2353.04</v>
      </c>
      <c r="K368" s="5">
        <v>67.0</v>
      </c>
      <c r="L368" s="5">
        <v>35.12</v>
      </c>
      <c r="M368" s="5">
        <v>5967.58</v>
      </c>
      <c r="N368" s="5">
        <v>2.54</v>
      </c>
      <c r="O368" s="6">
        <f t="shared" si="1"/>
        <v>35.12</v>
      </c>
      <c r="P368" s="6" t="str">
        <f t="shared" si="2"/>
        <v>Baseline</v>
      </c>
      <c r="Q368" s="3">
        <f t="shared" si="3"/>
        <v>1</v>
      </c>
    </row>
    <row r="369">
      <c r="A369" s="4">
        <v>45605.0</v>
      </c>
      <c r="B369" s="2" t="s">
        <v>18</v>
      </c>
      <c r="C369" s="2" t="s">
        <v>19</v>
      </c>
      <c r="D369" s="2" t="s">
        <v>24</v>
      </c>
      <c r="E369" s="2" t="s">
        <v>21</v>
      </c>
      <c r="F369" s="5">
        <v>32675.0</v>
      </c>
      <c r="G369" s="5">
        <v>941.0</v>
      </c>
      <c r="H369" s="5">
        <v>0.0288</v>
      </c>
      <c r="I369" s="5">
        <v>1.09</v>
      </c>
      <c r="J369" s="5">
        <v>1025.69</v>
      </c>
      <c r="K369" s="5">
        <v>47.0</v>
      </c>
      <c r="L369" s="5">
        <v>21.82</v>
      </c>
      <c r="M369" s="5">
        <v>12632.32</v>
      </c>
      <c r="N369" s="5">
        <v>12.32</v>
      </c>
      <c r="O369" s="6">
        <f t="shared" si="1"/>
        <v>21.82319149</v>
      </c>
      <c r="P369" s="6" t="str">
        <f t="shared" si="2"/>
        <v>Post-Shift</v>
      </c>
      <c r="Q369" s="3">
        <f t="shared" si="3"/>
        <v>37</v>
      </c>
    </row>
    <row r="370">
      <c r="A370" s="4" t="s">
        <v>89</v>
      </c>
      <c r="B370" s="2" t="s">
        <v>18</v>
      </c>
      <c r="C370" s="2" t="s">
        <v>19</v>
      </c>
      <c r="D370" s="2" t="s">
        <v>24</v>
      </c>
      <c r="E370" s="2" t="s">
        <v>30</v>
      </c>
      <c r="F370" s="5">
        <v>116560.0</v>
      </c>
      <c r="G370" s="5">
        <v>4312.0</v>
      </c>
      <c r="H370" s="5">
        <v>0.037</v>
      </c>
      <c r="I370" s="5">
        <v>2.79</v>
      </c>
      <c r="J370" s="5">
        <v>12030.48</v>
      </c>
      <c r="K370" s="5">
        <v>198.0</v>
      </c>
      <c r="L370" s="5">
        <v>60.76</v>
      </c>
      <c r="M370" s="5">
        <v>51746.42</v>
      </c>
      <c r="N370" s="5">
        <v>4.3</v>
      </c>
      <c r="O370" s="6">
        <f t="shared" si="1"/>
        <v>60.76</v>
      </c>
      <c r="P370" s="6" t="str">
        <f t="shared" si="2"/>
        <v>Post-Shift</v>
      </c>
      <c r="Q370" s="3">
        <f t="shared" si="3"/>
        <v>9</v>
      </c>
    </row>
    <row r="371">
      <c r="A371" s="4" t="s">
        <v>192</v>
      </c>
      <c r="B371" s="2" t="s">
        <v>38</v>
      </c>
      <c r="C371" s="2" t="s">
        <v>41</v>
      </c>
      <c r="D371" s="2" t="s">
        <v>45</v>
      </c>
      <c r="E371" s="2" t="s">
        <v>58</v>
      </c>
      <c r="F371" s="5">
        <v>176459.0</v>
      </c>
      <c r="G371" s="5">
        <v>3670.0</v>
      </c>
      <c r="H371" s="5">
        <v>0.0208</v>
      </c>
      <c r="I371" s="5">
        <v>1.91</v>
      </c>
      <c r="J371" s="5">
        <v>7009.7</v>
      </c>
      <c r="K371" s="5">
        <v>65.0</v>
      </c>
      <c r="L371" s="5">
        <v>107.84</v>
      </c>
      <c r="M371" s="5">
        <v>2483.8</v>
      </c>
      <c r="N371" s="5">
        <v>0.35</v>
      </c>
      <c r="O371" s="6">
        <f t="shared" si="1"/>
        <v>107.8415385</v>
      </c>
      <c r="P371" s="6" t="str">
        <f t="shared" si="2"/>
        <v>Post-Shift</v>
      </c>
      <c r="Q371" s="3">
        <f t="shared" si="3"/>
        <v>4</v>
      </c>
    </row>
    <row r="372">
      <c r="A372" s="4">
        <v>45331.0</v>
      </c>
      <c r="B372" s="2" t="s">
        <v>38</v>
      </c>
      <c r="C372" s="2" t="s">
        <v>31</v>
      </c>
      <c r="D372" s="2" t="s">
        <v>32</v>
      </c>
      <c r="E372" s="2" t="s">
        <v>58</v>
      </c>
      <c r="F372" s="5">
        <v>49980.0</v>
      </c>
      <c r="G372" s="5">
        <v>1664.0</v>
      </c>
      <c r="H372" s="5">
        <v>0.0333</v>
      </c>
      <c r="I372" s="5">
        <v>1.98</v>
      </c>
      <c r="J372" s="5">
        <v>3294.72</v>
      </c>
      <c r="K372" s="5">
        <v>37.0</v>
      </c>
      <c r="L372" s="5">
        <v>89.05</v>
      </c>
      <c r="M372" s="5">
        <v>6236.77</v>
      </c>
      <c r="N372" s="5">
        <v>1.89</v>
      </c>
      <c r="O372" s="6">
        <f t="shared" si="1"/>
        <v>89.04648649</v>
      </c>
      <c r="P372" s="6" t="str">
        <f t="shared" si="2"/>
        <v>Baseline</v>
      </c>
      <c r="Q372" s="3">
        <f t="shared" si="3"/>
        <v>36</v>
      </c>
    </row>
    <row r="373">
      <c r="A373" s="4">
        <v>45474.0</v>
      </c>
      <c r="B373" s="2" t="s">
        <v>38</v>
      </c>
      <c r="C373" s="2" t="s">
        <v>27</v>
      </c>
      <c r="D373" s="2" t="s">
        <v>29</v>
      </c>
      <c r="E373" s="2" t="s">
        <v>33</v>
      </c>
      <c r="F373" s="5">
        <v>98944.0</v>
      </c>
      <c r="G373" s="5">
        <v>1850.0</v>
      </c>
      <c r="H373" s="5">
        <v>0.0187</v>
      </c>
      <c r="I373" s="5">
        <v>1.42</v>
      </c>
      <c r="J373" s="5">
        <v>2627.0</v>
      </c>
      <c r="K373" s="5">
        <v>78.0</v>
      </c>
      <c r="L373" s="5">
        <v>33.68</v>
      </c>
      <c r="M373" s="5">
        <v>17285.68</v>
      </c>
      <c r="N373" s="5">
        <v>6.58</v>
      </c>
      <c r="O373" s="6">
        <f t="shared" si="1"/>
        <v>33.67948718</v>
      </c>
      <c r="P373" s="6" t="str">
        <f t="shared" si="2"/>
        <v>Post-Shift</v>
      </c>
      <c r="Q373" s="3">
        <f t="shared" si="3"/>
        <v>2</v>
      </c>
    </row>
    <row r="374">
      <c r="A374" s="4">
        <v>45295.0</v>
      </c>
      <c r="B374" s="2" t="s">
        <v>23</v>
      </c>
      <c r="C374" s="2" t="s">
        <v>27</v>
      </c>
      <c r="D374" s="2" t="s">
        <v>29</v>
      </c>
      <c r="E374" s="2" t="s">
        <v>30</v>
      </c>
      <c r="F374" s="5">
        <v>115310.0</v>
      </c>
      <c r="G374" s="5">
        <v>3205.0</v>
      </c>
      <c r="H374" s="5">
        <v>0.0278</v>
      </c>
      <c r="I374" s="5">
        <v>1.04</v>
      </c>
      <c r="J374" s="5">
        <v>3333.2</v>
      </c>
      <c r="K374" s="5">
        <v>134.0</v>
      </c>
      <c r="L374" s="5">
        <v>24.87</v>
      </c>
      <c r="M374" s="5">
        <v>14521.43</v>
      </c>
      <c r="N374" s="5">
        <v>4.36</v>
      </c>
      <c r="O374" s="6">
        <f t="shared" si="1"/>
        <v>24.87462687</v>
      </c>
      <c r="P374" s="6" t="str">
        <f t="shared" si="2"/>
        <v>Baseline</v>
      </c>
      <c r="Q374" s="3">
        <f t="shared" si="3"/>
        <v>14</v>
      </c>
    </row>
    <row r="375">
      <c r="A375" s="4">
        <v>45512.0</v>
      </c>
      <c r="B375" s="2" t="s">
        <v>38</v>
      </c>
      <c r="C375" s="2" t="s">
        <v>19</v>
      </c>
      <c r="D375" s="2" t="s">
        <v>45</v>
      </c>
      <c r="E375" s="2" t="s">
        <v>56</v>
      </c>
      <c r="F375" s="5">
        <v>8626.0</v>
      </c>
      <c r="G375" s="5">
        <v>242.0</v>
      </c>
      <c r="H375" s="5">
        <v>0.0281</v>
      </c>
      <c r="I375" s="5">
        <v>1.13</v>
      </c>
      <c r="J375" s="5">
        <v>273.46</v>
      </c>
      <c r="K375" s="5">
        <v>18.0</v>
      </c>
      <c r="L375" s="5">
        <v>15.19</v>
      </c>
      <c r="M375" s="5">
        <v>3013.54</v>
      </c>
      <c r="N375" s="5">
        <v>11.02</v>
      </c>
      <c r="O375" s="6">
        <f t="shared" si="1"/>
        <v>15.19222222</v>
      </c>
      <c r="P375" s="6" t="str">
        <f t="shared" si="2"/>
        <v>Post-Shift</v>
      </c>
      <c r="Q375" s="3">
        <f t="shared" si="3"/>
        <v>32</v>
      </c>
    </row>
    <row r="376">
      <c r="A376" s="4">
        <v>45413.0</v>
      </c>
      <c r="B376" s="2" t="s">
        <v>38</v>
      </c>
      <c r="C376" s="2" t="s">
        <v>41</v>
      </c>
      <c r="D376" s="2" t="s">
        <v>45</v>
      </c>
      <c r="E376" s="2" t="s">
        <v>33</v>
      </c>
      <c r="F376" s="5">
        <v>88732.0</v>
      </c>
      <c r="G376" s="5">
        <v>1579.0</v>
      </c>
      <c r="H376" s="5">
        <v>0.0178</v>
      </c>
      <c r="I376" s="5">
        <v>0.44</v>
      </c>
      <c r="J376" s="5">
        <v>694.76</v>
      </c>
      <c r="K376" s="5">
        <v>32.0</v>
      </c>
      <c r="L376" s="5">
        <v>21.71</v>
      </c>
      <c r="M376" s="5">
        <v>4757.82</v>
      </c>
      <c r="N376" s="5">
        <v>6.85</v>
      </c>
      <c r="O376" s="6">
        <f t="shared" si="1"/>
        <v>21.71125</v>
      </c>
      <c r="P376" s="6" t="str">
        <f t="shared" si="2"/>
        <v>Baseline</v>
      </c>
      <c r="Q376" s="3">
        <f t="shared" si="3"/>
        <v>1</v>
      </c>
    </row>
    <row r="377">
      <c r="A377" s="4" t="s">
        <v>193</v>
      </c>
      <c r="B377" s="2" t="s">
        <v>38</v>
      </c>
      <c r="C377" s="2" t="s">
        <v>27</v>
      </c>
      <c r="D377" s="2" t="s">
        <v>24</v>
      </c>
      <c r="E377" s="2" t="s">
        <v>33</v>
      </c>
      <c r="F377" s="5">
        <v>29502.0</v>
      </c>
      <c r="G377" s="5">
        <v>604.0</v>
      </c>
      <c r="H377" s="5">
        <v>0.0205</v>
      </c>
      <c r="I377" s="5">
        <v>1.61</v>
      </c>
      <c r="J377" s="5">
        <v>972.44</v>
      </c>
      <c r="K377" s="5">
        <v>30.0</v>
      </c>
      <c r="L377" s="5">
        <v>32.41</v>
      </c>
      <c r="M377" s="5">
        <v>5842.59</v>
      </c>
      <c r="N377" s="5">
        <v>6.01</v>
      </c>
      <c r="O377" s="6">
        <f t="shared" si="1"/>
        <v>32.41466667</v>
      </c>
      <c r="P377" s="6" t="str">
        <f t="shared" si="2"/>
        <v>Post-Shift</v>
      </c>
      <c r="Q377" s="3">
        <f t="shared" si="3"/>
        <v>25</v>
      </c>
    </row>
    <row r="378">
      <c r="A378" s="4" t="s">
        <v>149</v>
      </c>
      <c r="B378" s="2" t="s">
        <v>23</v>
      </c>
      <c r="C378" s="2" t="s">
        <v>19</v>
      </c>
      <c r="D378" s="2" t="s">
        <v>45</v>
      </c>
      <c r="E378" s="2" t="s">
        <v>36</v>
      </c>
      <c r="F378" s="5">
        <v>198085.0</v>
      </c>
      <c r="G378" s="5">
        <v>14460.0</v>
      </c>
      <c r="H378" s="5">
        <v>0.073</v>
      </c>
      <c r="I378" s="5">
        <v>0.82</v>
      </c>
      <c r="J378" s="5">
        <v>11857.2</v>
      </c>
      <c r="K378" s="5">
        <v>1133.0</v>
      </c>
      <c r="L378" s="5">
        <v>10.47</v>
      </c>
      <c r="M378" s="5">
        <v>295028.3</v>
      </c>
      <c r="N378" s="5">
        <v>24.88</v>
      </c>
      <c r="O378" s="6">
        <f t="shared" si="1"/>
        <v>10.46531333</v>
      </c>
      <c r="P378" s="6" t="str">
        <f t="shared" si="2"/>
        <v>Post-Shift</v>
      </c>
      <c r="Q378" s="3">
        <f t="shared" si="3"/>
        <v>37</v>
      </c>
    </row>
    <row r="379">
      <c r="A379" s="4" t="s">
        <v>94</v>
      </c>
      <c r="B379" s="2" t="s">
        <v>38</v>
      </c>
      <c r="C379" s="2" t="s">
        <v>31</v>
      </c>
      <c r="D379" s="2" t="s">
        <v>29</v>
      </c>
      <c r="E379" s="2" t="s">
        <v>30</v>
      </c>
      <c r="F379" s="5">
        <v>111802.0</v>
      </c>
      <c r="G379" s="5">
        <v>2247.0</v>
      </c>
      <c r="H379" s="5">
        <v>0.0201</v>
      </c>
      <c r="I379" s="5">
        <v>1.65</v>
      </c>
      <c r="J379" s="5">
        <v>3707.55</v>
      </c>
      <c r="K379" s="5">
        <v>163.0</v>
      </c>
      <c r="L379" s="5">
        <v>22.75</v>
      </c>
      <c r="M379" s="5">
        <v>6163.84</v>
      </c>
      <c r="N379" s="5">
        <v>1.66</v>
      </c>
      <c r="O379" s="6">
        <f t="shared" si="1"/>
        <v>22.74570552</v>
      </c>
      <c r="P379" s="6" t="str">
        <f t="shared" si="2"/>
        <v>Post-Shift</v>
      </c>
      <c r="Q379" s="3">
        <f t="shared" si="3"/>
        <v>29</v>
      </c>
    </row>
    <row r="380">
      <c r="A380" s="4">
        <v>45299.0</v>
      </c>
      <c r="B380" s="2" t="s">
        <v>18</v>
      </c>
      <c r="C380" s="2" t="s">
        <v>31</v>
      </c>
      <c r="D380" s="2" t="s">
        <v>24</v>
      </c>
      <c r="E380" s="2" t="s">
        <v>21</v>
      </c>
      <c r="F380" s="5">
        <v>65186.0</v>
      </c>
      <c r="G380" s="5">
        <v>1955.0</v>
      </c>
      <c r="H380" s="5">
        <v>0.03</v>
      </c>
      <c r="I380" s="5">
        <v>2.26</v>
      </c>
      <c r="J380" s="5">
        <v>4418.3</v>
      </c>
      <c r="K380" s="5">
        <v>89.0</v>
      </c>
      <c r="L380" s="5">
        <v>49.64</v>
      </c>
      <c r="M380" s="5">
        <v>13375.79</v>
      </c>
      <c r="N380" s="5">
        <v>3.03</v>
      </c>
      <c r="O380" s="6">
        <f t="shared" si="1"/>
        <v>49.64382022</v>
      </c>
      <c r="P380" s="6" t="str">
        <f t="shared" si="2"/>
        <v>Baseline</v>
      </c>
      <c r="Q380" s="3">
        <f t="shared" si="3"/>
        <v>31</v>
      </c>
    </row>
    <row r="381">
      <c r="A381" s="4" t="s">
        <v>26</v>
      </c>
      <c r="B381" s="2" t="s">
        <v>23</v>
      </c>
      <c r="C381" s="2" t="s">
        <v>27</v>
      </c>
      <c r="D381" s="2" t="s">
        <v>24</v>
      </c>
      <c r="E381" s="2" t="s">
        <v>25</v>
      </c>
      <c r="F381" s="5">
        <v>101176.0</v>
      </c>
      <c r="G381" s="5">
        <v>6505.0</v>
      </c>
      <c r="H381" s="5">
        <v>0.0643</v>
      </c>
      <c r="I381" s="5">
        <v>0.96</v>
      </c>
      <c r="J381" s="5">
        <v>6244.8</v>
      </c>
      <c r="K381" s="5">
        <v>459.0</v>
      </c>
      <c r="L381" s="5">
        <v>13.61</v>
      </c>
      <c r="M381" s="5">
        <v>44008.34</v>
      </c>
      <c r="N381" s="5">
        <v>7.05</v>
      </c>
      <c r="O381" s="6">
        <f t="shared" si="1"/>
        <v>13.60522876</v>
      </c>
      <c r="P381" s="6" t="str">
        <f t="shared" si="2"/>
        <v>Post-Shift</v>
      </c>
      <c r="Q381" s="3">
        <f t="shared" si="3"/>
        <v>24</v>
      </c>
    </row>
    <row r="382">
      <c r="A382" s="4">
        <v>45481.0</v>
      </c>
      <c r="B382" s="2" t="s">
        <v>23</v>
      </c>
      <c r="C382" s="2" t="s">
        <v>27</v>
      </c>
      <c r="D382" s="2" t="s">
        <v>32</v>
      </c>
      <c r="E382" s="2" t="s">
        <v>21</v>
      </c>
      <c r="F382" s="5">
        <v>41307.0</v>
      </c>
      <c r="G382" s="5">
        <v>1367.0</v>
      </c>
      <c r="H382" s="5">
        <v>0.0331</v>
      </c>
      <c r="I382" s="5">
        <v>0.57</v>
      </c>
      <c r="J382" s="5">
        <v>779.19</v>
      </c>
      <c r="K382" s="5">
        <v>92.0</v>
      </c>
      <c r="L382" s="5">
        <v>8.47</v>
      </c>
      <c r="M382" s="5">
        <v>6211.99</v>
      </c>
      <c r="N382" s="5">
        <v>7.97</v>
      </c>
      <c r="O382" s="6">
        <f t="shared" si="1"/>
        <v>8.469456522</v>
      </c>
      <c r="P382" s="6" t="str">
        <f t="shared" si="2"/>
        <v>Post-Shift</v>
      </c>
      <c r="Q382" s="3">
        <f t="shared" si="3"/>
        <v>32</v>
      </c>
    </row>
    <row r="383">
      <c r="A383" s="4">
        <v>45631.0</v>
      </c>
      <c r="B383" s="2" t="s">
        <v>38</v>
      </c>
      <c r="C383" s="2" t="s">
        <v>27</v>
      </c>
      <c r="D383" s="2" t="s">
        <v>24</v>
      </c>
      <c r="E383" s="2" t="s">
        <v>25</v>
      </c>
      <c r="F383" s="5">
        <v>174579.0</v>
      </c>
      <c r="G383" s="5">
        <v>3247.0</v>
      </c>
      <c r="H383" s="5">
        <v>0.0186</v>
      </c>
      <c r="I383" s="5">
        <v>1.33</v>
      </c>
      <c r="J383" s="5">
        <v>4318.51</v>
      </c>
      <c r="K383" s="5">
        <v>187.0</v>
      </c>
      <c r="L383" s="5">
        <v>23.09</v>
      </c>
      <c r="M383" s="5">
        <v>41760.07</v>
      </c>
      <c r="N383" s="5">
        <v>9.67</v>
      </c>
      <c r="O383" s="6">
        <f t="shared" si="1"/>
        <v>23.09363636</v>
      </c>
      <c r="P383" s="6" t="str">
        <f t="shared" si="2"/>
        <v>Post-Shift</v>
      </c>
      <c r="Q383" s="3">
        <f t="shared" si="3"/>
        <v>20</v>
      </c>
    </row>
    <row r="384">
      <c r="A384" s="4" t="s">
        <v>93</v>
      </c>
      <c r="B384" s="2" t="s">
        <v>38</v>
      </c>
      <c r="C384" s="2" t="s">
        <v>27</v>
      </c>
      <c r="D384" s="2" t="s">
        <v>32</v>
      </c>
      <c r="E384" s="2" t="s">
        <v>56</v>
      </c>
      <c r="F384" s="5">
        <v>83137.0</v>
      </c>
      <c r="G384" s="5">
        <v>2045.0</v>
      </c>
      <c r="H384" s="5">
        <v>0.0246</v>
      </c>
      <c r="I384" s="5">
        <v>1.01</v>
      </c>
      <c r="J384" s="5">
        <v>2065.45</v>
      </c>
      <c r="K384" s="5">
        <v>37.0</v>
      </c>
      <c r="L384" s="5">
        <v>55.82</v>
      </c>
      <c r="M384" s="5">
        <v>1798.59</v>
      </c>
      <c r="N384" s="5">
        <v>0.87</v>
      </c>
      <c r="O384" s="6">
        <f t="shared" si="1"/>
        <v>55.82297297</v>
      </c>
      <c r="P384" s="6" t="str">
        <f t="shared" si="2"/>
        <v>Post-Shift</v>
      </c>
      <c r="Q384" s="3">
        <f t="shared" si="3"/>
        <v>7</v>
      </c>
    </row>
    <row r="385">
      <c r="A385" s="4">
        <v>45383.0</v>
      </c>
      <c r="B385" s="2" t="s">
        <v>38</v>
      </c>
      <c r="C385" s="2" t="s">
        <v>19</v>
      </c>
      <c r="D385" s="2" t="s">
        <v>29</v>
      </c>
      <c r="E385" s="2" t="s">
        <v>25</v>
      </c>
      <c r="F385" s="5">
        <v>122897.0</v>
      </c>
      <c r="G385" s="5">
        <v>2040.0</v>
      </c>
      <c r="H385" s="5">
        <v>0.0166</v>
      </c>
      <c r="I385" s="5">
        <v>0.77</v>
      </c>
      <c r="J385" s="5">
        <v>1570.8</v>
      </c>
      <c r="K385" s="5">
        <v>159.0</v>
      </c>
      <c r="L385" s="5">
        <v>9.88</v>
      </c>
      <c r="M385" s="5">
        <v>45753.83</v>
      </c>
      <c r="N385" s="5">
        <v>29.13</v>
      </c>
      <c r="O385" s="6">
        <f t="shared" si="1"/>
        <v>9.879245283</v>
      </c>
      <c r="P385" s="6" t="str">
        <f t="shared" si="2"/>
        <v>Baseline</v>
      </c>
      <c r="Q385" s="3">
        <f t="shared" si="3"/>
        <v>1</v>
      </c>
    </row>
    <row r="386">
      <c r="A386" s="4" t="s">
        <v>150</v>
      </c>
      <c r="B386" s="2" t="s">
        <v>23</v>
      </c>
      <c r="C386" s="2" t="s">
        <v>19</v>
      </c>
      <c r="D386" s="2" t="s">
        <v>29</v>
      </c>
      <c r="E386" s="2" t="s">
        <v>56</v>
      </c>
      <c r="F386" s="5">
        <v>47462.0</v>
      </c>
      <c r="G386" s="5">
        <v>1803.0</v>
      </c>
      <c r="H386" s="5">
        <v>0.038</v>
      </c>
      <c r="I386" s="5">
        <v>0.53</v>
      </c>
      <c r="J386" s="5">
        <v>955.59</v>
      </c>
      <c r="K386" s="5">
        <v>98.0</v>
      </c>
      <c r="L386" s="5">
        <v>9.75</v>
      </c>
      <c r="M386" s="5">
        <v>29213.28</v>
      </c>
      <c r="N386" s="5">
        <v>30.57</v>
      </c>
      <c r="O386" s="6">
        <f t="shared" si="1"/>
        <v>9.750918367</v>
      </c>
      <c r="P386" s="6" t="str">
        <f t="shared" si="2"/>
        <v>Post-Shift</v>
      </c>
      <c r="Q386" s="3">
        <f t="shared" si="3"/>
        <v>42</v>
      </c>
    </row>
    <row r="387">
      <c r="A387" s="4" t="s">
        <v>194</v>
      </c>
      <c r="B387" s="2" t="s">
        <v>23</v>
      </c>
      <c r="C387" s="2" t="s">
        <v>41</v>
      </c>
      <c r="D387" s="2" t="s">
        <v>24</v>
      </c>
      <c r="E387" s="2" t="s">
        <v>33</v>
      </c>
      <c r="F387" s="5">
        <v>99202.0</v>
      </c>
      <c r="G387" s="5">
        <v>6428.0</v>
      </c>
      <c r="H387" s="5">
        <v>0.0648</v>
      </c>
      <c r="I387" s="5">
        <v>1.54</v>
      </c>
      <c r="J387" s="5">
        <v>9899.12</v>
      </c>
      <c r="K387" s="5">
        <v>165.0</v>
      </c>
      <c r="L387" s="5">
        <v>59.99</v>
      </c>
      <c r="M387" s="5">
        <v>34456.26</v>
      </c>
      <c r="N387" s="5">
        <v>3.48</v>
      </c>
      <c r="O387" s="6">
        <f t="shared" si="1"/>
        <v>59.99466667</v>
      </c>
      <c r="P387" s="6" t="str">
        <f t="shared" si="2"/>
        <v>Post-Shift</v>
      </c>
      <c r="Q387" s="3">
        <f t="shared" si="3"/>
        <v>25</v>
      </c>
    </row>
    <row r="388">
      <c r="A388" s="4" t="s">
        <v>195</v>
      </c>
      <c r="B388" s="2" t="s">
        <v>38</v>
      </c>
      <c r="C388" s="2" t="s">
        <v>31</v>
      </c>
      <c r="D388" s="2" t="s">
        <v>32</v>
      </c>
      <c r="E388" s="2" t="s">
        <v>30</v>
      </c>
      <c r="F388" s="5">
        <v>125871.0</v>
      </c>
      <c r="G388" s="5">
        <v>3083.0</v>
      </c>
      <c r="H388" s="5">
        <v>0.0245</v>
      </c>
      <c r="I388" s="5">
        <v>1.72</v>
      </c>
      <c r="J388" s="5">
        <v>5302.76</v>
      </c>
      <c r="K388" s="5">
        <v>185.0</v>
      </c>
      <c r="L388" s="5">
        <v>28.66</v>
      </c>
      <c r="M388" s="5">
        <v>27759.15</v>
      </c>
      <c r="N388" s="5">
        <v>5.23</v>
      </c>
      <c r="O388" s="6">
        <f t="shared" si="1"/>
        <v>28.66356757</v>
      </c>
      <c r="P388" s="6" t="str">
        <f t="shared" si="2"/>
        <v>Post-Shift</v>
      </c>
      <c r="Q388" s="3">
        <f t="shared" si="3"/>
        <v>9</v>
      </c>
    </row>
    <row r="389">
      <c r="A389" s="4">
        <v>45568.0</v>
      </c>
      <c r="B389" s="2" t="s">
        <v>18</v>
      </c>
      <c r="C389" s="2" t="s">
        <v>19</v>
      </c>
      <c r="D389" s="2" t="s">
        <v>29</v>
      </c>
      <c r="E389" s="2" t="s">
        <v>25</v>
      </c>
      <c r="F389" s="5">
        <v>8880.0</v>
      </c>
      <c r="G389" s="5">
        <v>216.0</v>
      </c>
      <c r="H389" s="5">
        <v>0.0244</v>
      </c>
      <c r="I389" s="5">
        <v>2.06</v>
      </c>
      <c r="J389" s="5">
        <v>444.96</v>
      </c>
      <c r="K389" s="5">
        <v>6.0</v>
      </c>
      <c r="L389" s="5">
        <v>74.16</v>
      </c>
      <c r="M389" s="5">
        <v>1186.19</v>
      </c>
      <c r="N389" s="5">
        <v>2.67</v>
      </c>
      <c r="O389" s="6">
        <f t="shared" si="1"/>
        <v>74.16</v>
      </c>
      <c r="P389" s="6" t="str">
        <f t="shared" si="2"/>
        <v>Post-Shift</v>
      </c>
      <c r="Q389" s="3">
        <f t="shared" si="3"/>
        <v>11</v>
      </c>
    </row>
    <row r="390">
      <c r="A390" s="4" t="s">
        <v>167</v>
      </c>
      <c r="B390" s="2" t="s">
        <v>18</v>
      </c>
      <c r="C390" s="2" t="s">
        <v>31</v>
      </c>
      <c r="D390" s="2" t="s">
        <v>24</v>
      </c>
      <c r="E390" s="2" t="s">
        <v>30</v>
      </c>
      <c r="F390" s="5">
        <v>156388.0</v>
      </c>
      <c r="G390" s="5">
        <v>7021.0</v>
      </c>
      <c r="H390" s="5">
        <v>0.0449</v>
      </c>
      <c r="I390" s="5">
        <v>1.64</v>
      </c>
      <c r="J390" s="5">
        <v>11514.44</v>
      </c>
      <c r="K390" s="5">
        <v>315.0</v>
      </c>
      <c r="L390" s="5">
        <v>36.55</v>
      </c>
      <c r="M390" s="5">
        <v>34670.52</v>
      </c>
      <c r="N390" s="5">
        <v>3.01</v>
      </c>
      <c r="O390" s="6">
        <f t="shared" si="1"/>
        <v>36.55377778</v>
      </c>
      <c r="P390" s="6" t="str">
        <f t="shared" si="2"/>
        <v>Post-Shift</v>
      </c>
      <c r="Q390" s="3">
        <f t="shared" si="3"/>
        <v>48</v>
      </c>
    </row>
    <row r="391">
      <c r="A391" s="4" t="s">
        <v>112</v>
      </c>
      <c r="B391" s="2" t="s">
        <v>18</v>
      </c>
      <c r="C391" s="2" t="s">
        <v>27</v>
      </c>
      <c r="D391" s="2" t="s">
        <v>24</v>
      </c>
      <c r="E391" s="2" t="s">
        <v>25</v>
      </c>
      <c r="F391" s="5">
        <v>109672.0</v>
      </c>
      <c r="G391" s="5">
        <v>2675.0</v>
      </c>
      <c r="H391" s="5">
        <v>0.0244</v>
      </c>
      <c r="I391" s="5">
        <v>2.55</v>
      </c>
      <c r="J391" s="5">
        <v>6821.25</v>
      </c>
      <c r="K391" s="5">
        <v>50.0</v>
      </c>
      <c r="L391" s="5">
        <v>136.43</v>
      </c>
      <c r="M391" s="5">
        <v>11521.03</v>
      </c>
      <c r="N391" s="5">
        <v>1.69</v>
      </c>
      <c r="O391" s="6">
        <f t="shared" si="1"/>
        <v>136.425</v>
      </c>
      <c r="P391" s="6" t="str">
        <f t="shared" si="2"/>
        <v>Post-Shift</v>
      </c>
      <c r="Q391" s="3">
        <f t="shared" si="3"/>
        <v>13</v>
      </c>
    </row>
    <row r="392">
      <c r="A392" s="4">
        <v>45478.0</v>
      </c>
      <c r="B392" s="2" t="s">
        <v>38</v>
      </c>
      <c r="C392" s="2" t="s">
        <v>41</v>
      </c>
      <c r="D392" s="2" t="s">
        <v>32</v>
      </c>
      <c r="E392" s="2" t="s">
        <v>21</v>
      </c>
      <c r="F392" s="5">
        <v>70030.0</v>
      </c>
      <c r="G392" s="5">
        <v>1470.0</v>
      </c>
      <c r="H392" s="5">
        <v>0.021</v>
      </c>
      <c r="I392" s="5">
        <v>1.68</v>
      </c>
      <c r="J392" s="5">
        <v>2469.6</v>
      </c>
      <c r="K392" s="5">
        <v>90.0</v>
      </c>
      <c r="L392" s="5">
        <v>27.44</v>
      </c>
      <c r="M392" s="5">
        <v>9384.9</v>
      </c>
      <c r="N392" s="5">
        <v>3.8</v>
      </c>
      <c r="O392" s="6">
        <f t="shared" si="1"/>
        <v>27.44</v>
      </c>
      <c r="P392" s="6" t="str">
        <f t="shared" si="2"/>
        <v>Post-Shift</v>
      </c>
      <c r="Q392" s="3">
        <f t="shared" si="3"/>
        <v>19</v>
      </c>
    </row>
    <row r="393">
      <c r="A393" s="4">
        <v>45352.0</v>
      </c>
      <c r="B393" s="2" t="s">
        <v>38</v>
      </c>
      <c r="C393" s="2" t="s">
        <v>27</v>
      </c>
      <c r="D393" s="2" t="s">
        <v>24</v>
      </c>
      <c r="E393" s="2" t="s">
        <v>56</v>
      </c>
      <c r="F393" s="5">
        <v>149375.0</v>
      </c>
      <c r="G393" s="5">
        <v>6109.0</v>
      </c>
      <c r="H393" s="5">
        <v>0.0409</v>
      </c>
      <c r="I393" s="5">
        <v>2.18</v>
      </c>
      <c r="J393" s="5">
        <v>13317.62</v>
      </c>
      <c r="K393" s="5">
        <v>89.0</v>
      </c>
      <c r="L393" s="5">
        <v>149.64</v>
      </c>
      <c r="M393" s="5">
        <v>22418.8</v>
      </c>
      <c r="N393" s="5">
        <v>1.68</v>
      </c>
      <c r="O393" s="6">
        <f t="shared" si="1"/>
        <v>149.6361798</v>
      </c>
      <c r="P393" s="6" t="str">
        <f t="shared" si="2"/>
        <v>Baseline</v>
      </c>
      <c r="Q393" s="3">
        <f t="shared" si="3"/>
        <v>1</v>
      </c>
    </row>
    <row r="394">
      <c r="A394" s="4">
        <v>45479.0</v>
      </c>
      <c r="B394" s="2" t="s">
        <v>38</v>
      </c>
      <c r="C394" s="2" t="s">
        <v>19</v>
      </c>
      <c r="D394" s="2" t="s">
        <v>20</v>
      </c>
      <c r="E394" s="2" t="s">
        <v>36</v>
      </c>
      <c r="F394" s="5">
        <v>123171.0</v>
      </c>
      <c r="G394" s="5">
        <v>3756.0</v>
      </c>
      <c r="H394" s="5">
        <v>0.0305</v>
      </c>
      <c r="I394" s="5">
        <v>1.86</v>
      </c>
      <c r="J394" s="5">
        <v>6986.16</v>
      </c>
      <c r="K394" s="5">
        <v>52.0</v>
      </c>
      <c r="L394" s="5">
        <v>134.35</v>
      </c>
      <c r="M394" s="5">
        <v>7553.6</v>
      </c>
      <c r="N394" s="5">
        <v>1.08</v>
      </c>
      <c r="O394" s="6">
        <f t="shared" si="1"/>
        <v>134.3492308</v>
      </c>
      <c r="P394" s="6" t="str">
        <f t="shared" si="2"/>
        <v>Post-Shift</v>
      </c>
      <c r="Q394" s="3">
        <f t="shared" si="3"/>
        <v>23</v>
      </c>
    </row>
    <row r="395">
      <c r="A395" s="4" t="s">
        <v>196</v>
      </c>
      <c r="B395" s="2" t="s">
        <v>38</v>
      </c>
      <c r="C395" s="2" t="s">
        <v>19</v>
      </c>
      <c r="D395" s="2" t="s">
        <v>32</v>
      </c>
      <c r="E395" s="2" t="s">
        <v>25</v>
      </c>
      <c r="F395" s="5">
        <v>52779.0</v>
      </c>
      <c r="G395" s="5">
        <v>596.0</v>
      </c>
      <c r="H395" s="5">
        <v>0.0113</v>
      </c>
      <c r="I395" s="5">
        <v>1.09</v>
      </c>
      <c r="J395" s="5">
        <v>649.64</v>
      </c>
      <c r="K395" s="5">
        <v>35.0</v>
      </c>
      <c r="L395" s="5">
        <v>18.56</v>
      </c>
      <c r="M395" s="5">
        <v>3583.95</v>
      </c>
      <c r="N395" s="5">
        <v>5.52</v>
      </c>
      <c r="O395" s="6">
        <f t="shared" si="1"/>
        <v>18.56114286</v>
      </c>
      <c r="P395" s="6" t="str">
        <f t="shared" si="2"/>
        <v>Post-Shift</v>
      </c>
      <c r="Q395" s="3">
        <f t="shared" si="3"/>
        <v>11</v>
      </c>
    </row>
    <row r="396">
      <c r="A396" s="4" t="s">
        <v>61</v>
      </c>
      <c r="B396" s="2" t="s">
        <v>18</v>
      </c>
      <c r="C396" s="2" t="s">
        <v>41</v>
      </c>
      <c r="D396" s="2" t="s">
        <v>20</v>
      </c>
      <c r="E396" s="2" t="s">
        <v>30</v>
      </c>
      <c r="F396" s="5">
        <v>117036.0</v>
      </c>
      <c r="G396" s="5">
        <v>3569.0</v>
      </c>
      <c r="H396" s="5">
        <v>0.0305</v>
      </c>
      <c r="I396" s="5">
        <v>2.13</v>
      </c>
      <c r="J396" s="5">
        <v>7601.97</v>
      </c>
      <c r="K396" s="5">
        <v>178.0</v>
      </c>
      <c r="L396" s="5">
        <v>42.71</v>
      </c>
      <c r="M396" s="5">
        <v>11935.14</v>
      </c>
      <c r="N396" s="5">
        <v>1.57</v>
      </c>
      <c r="O396" s="6">
        <f t="shared" si="1"/>
        <v>42.70769663</v>
      </c>
      <c r="P396" s="6" t="str">
        <f t="shared" si="2"/>
        <v>Post-Shift</v>
      </c>
      <c r="Q396" s="3">
        <f t="shared" si="3"/>
        <v>21</v>
      </c>
    </row>
    <row r="397">
      <c r="A397" s="4" t="s">
        <v>197</v>
      </c>
      <c r="B397" s="2" t="s">
        <v>23</v>
      </c>
      <c r="C397" s="2" t="s">
        <v>31</v>
      </c>
      <c r="D397" s="2" t="s">
        <v>45</v>
      </c>
      <c r="E397" s="2" t="s">
        <v>21</v>
      </c>
      <c r="F397" s="5">
        <v>177517.0</v>
      </c>
      <c r="G397" s="5">
        <v>13917.0</v>
      </c>
      <c r="H397" s="5">
        <v>0.0784</v>
      </c>
      <c r="I397" s="5">
        <v>0.91</v>
      </c>
      <c r="J397" s="5">
        <v>12664.47</v>
      </c>
      <c r="K397" s="5">
        <v>671.0</v>
      </c>
      <c r="L397" s="5">
        <v>18.87</v>
      </c>
      <c r="M397" s="5">
        <v>36680.47</v>
      </c>
      <c r="N397" s="5">
        <v>2.9</v>
      </c>
      <c r="O397" s="6">
        <f t="shared" si="1"/>
        <v>18.87402385</v>
      </c>
      <c r="P397" s="6" t="str">
        <f t="shared" si="2"/>
        <v>Post-Shift</v>
      </c>
      <c r="Q397" s="3">
        <f t="shared" si="3"/>
        <v>29</v>
      </c>
    </row>
    <row r="398">
      <c r="A398" s="4" t="s">
        <v>55</v>
      </c>
      <c r="B398" s="2" t="s">
        <v>23</v>
      </c>
      <c r="C398" s="2" t="s">
        <v>19</v>
      </c>
      <c r="D398" s="2" t="s">
        <v>24</v>
      </c>
      <c r="E398" s="2" t="s">
        <v>33</v>
      </c>
      <c r="F398" s="5">
        <v>196349.0</v>
      </c>
      <c r="G398" s="5">
        <v>8325.0</v>
      </c>
      <c r="H398" s="5">
        <v>0.0424</v>
      </c>
      <c r="I398" s="5">
        <v>0.69</v>
      </c>
      <c r="J398" s="5">
        <v>5744.25</v>
      </c>
      <c r="K398" s="5">
        <v>398.0</v>
      </c>
      <c r="L398" s="5">
        <v>14.43</v>
      </c>
      <c r="M398" s="5">
        <v>42464.91</v>
      </c>
      <c r="N398" s="5">
        <v>7.39</v>
      </c>
      <c r="O398" s="6">
        <f t="shared" si="1"/>
        <v>14.43278894</v>
      </c>
      <c r="P398" s="6" t="str">
        <f t="shared" si="2"/>
        <v>Post-Shift</v>
      </c>
      <c r="Q398" s="3">
        <f t="shared" si="3"/>
        <v>53</v>
      </c>
    </row>
    <row r="399">
      <c r="A399" s="4" t="s">
        <v>198</v>
      </c>
      <c r="B399" s="2" t="s">
        <v>23</v>
      </c>
      <c r="C399" s="2" t="s">
        <v>19</v>
      </c>
      <c r="D399" s="2" t="s">
        <v>32</v>
      </c>
      <c r="E399" s="2" t="s">
        <v>21</v>
      </c>
      <c r="F399" s="5">
        <v>174898.0</v>
      </c>
      <c r="G399" s="5">
        <v>13029.0</v>
      </c>
      <c r="H399" s="5">
        <v>0.0745</v>
      </c>
      <c r="I399" s="5">
        <v>1.26</v>
      </c>
      <c r="J399" s="5">
        <v>16416.54</v>
      </c>
      <c r="K399" s="5">
        <v>822.0</v>
      </c>
      <c r="L399" s="5">
        <v>19.97</v>
      </c>
      <c r="M399" s="5">
        <v>162206.8</v>
      </c>
      <c r="N399" s="5">
        <v>9.88</v>
      </c>
      <c r="O399" s="6">
        <f t="shared" si="1"/>
        <v>19.97145985</v>
      </c>
      <c r="P399" s="6" t="str">
        <f t="shared" si="2"/>
        <v>Post-Shift</v>
      </c>
      <c r="Q399" s="3">
        <f t="shared" si="3"/>
        <v>44</v>
      </c>
    </row>
    <row r="400">
      <c r="A400" s="4" t="s">
        <v>76</v>
      </c>
      <c r="B400" s="2" t="s">
        <v>18</v>
      </c>
      <c r="C400" s="2" t="s">
        <v>41</v>
      </c>
      <c r="D400" s="2" t="s">
        <v>24</v>
      </c>
      <c r="E400" s="2" t="s">
        <v>30</v>
      </c>
      <c r="F400" s="5">
        <v>83972.0</v>
      </c>
      <c r="G400" s="5">
        <v>4903.0</v>
      </c>
      <c r="H400" s="5">
        <v>0.0584</v>
      </c>
      <c r="I400" s="5">
        <v>2.9</v>
      </c>
      <c r="J400" s="5">
        <v>14218.7</v>
      </c>
      <c r="K400" s="5">
        <v>341.0</v>
      </c>
      <c r="L400" s="5">
        <v>41.7</v>
      </c>
      <c r="M400" s="5">
        <v>36574.45</v>
      </c>
      <c r="N400" s="5">
        <v>2.57</v>
      </c>
      <c r="O400" s="6">
        <f t="shared" si="1"/>
        <v>41.69706745</v>
      </c>
      <c r="P400" s="6" t="str">
        <f t="shared" si="2"/>
        <v>Post-Shift</v>
      </c>
      <c r="Q400" s="3">
        <f t="shared" si="3"/>
        <v>27</v>
      </c>
    </row>
    <row r="401">
      <c r="A401" s="4" t="s">
        <v>199</v>
      </c>
      <c r="B401" s="2" t="s">
        <v>38</v>
      </c>
      <c r="C401" s="2" t="s">
        <v>19</v>
      </c>
      <c r="D401" s="2" t="s">
        <v>20</v>
      </c>
      <c r="E401" s="2" t="s">
        <v>30</v>
      </c>
      <c r="F401" s="5">
        <v>165371.0</v>
      </c>
      <c r="G401" s="5">
        <v>2993.0</v>
      </c>
      <c r="H401" s="5">
        <v>0.0181</v>
      </c>
      <c r="I401" s="5">
        <v>1.51</v>
      </c>
      <c r="J401" s="5">
        <v>4519.43</v>
      </c>
      <c r="K401" s="5">
        <v>32.0</v>
      </c>
      <c r="L401" s="5">
        <v>141.23</v>
      </c>
      <c r="M401" s="5">
        <v>8918.68</v>
      </c>
      <c r="N401" s="5">
        <v>1.97</v>
      </c>
      <c r="O401" s="6">
        <f t="shared" si="1"/>
        <v>141.2321875</v>
      </c>
      <c r="P401" s="6" t="str">
        <f t="shared" si="2"/>
        <v>Post-Shift</v>
      </c>
      <c r="Q401" s="3">
        <f t="shared" si="3"/>
        <v>17</v>
      </c>
    </row>
    <row r="402">
      <c r="A402" s="4" t="s">
        <v>200</v>
      </c>
      <c r="B402" s="2" t="s">
        <v>23</v>
      </c>
      <c r="C402" s="2" t="s">
        <v>31</v>
      </c>
      <c r="D402" s="2" t="s">
        <v>20</v>
      </c>
      <c r="E402" s="2" t="s">
        <v>30</v>
      </c>
      <c r="F402" s="5">
        <v>133949.0</v>
      </c>
      <c r="G402" s="5">
        <v>7219.0</v>
      </c>
      <c r="H402" s="5">
        <v>0.0539</v>
      </c>
      <c r="I402" s="5">
        <v>1.52</v>
      </c>
      <c r="J402" s="5">
        <v>10972.88</v>
      </c>
      <c r="K402" s="5">
        <v>73.0</v>
      </c>
      <c r="L402" s="5">
        <v>150.31</v>
      </c>
      <c r="M402" s="5">
        <v>21583.28</v>
      </c>
      <c r="N402" s="5">
        <v>1.97</v>
      </c>
      <c r="O402" s="6">
        <f t="shared" si="1"/>
        <v>150.3134247</v>
      </c>
      <c r="P402" s="6" t="str">
        <f t="shared" si="2"/>
        <v>Post-Shift</v>
      </c>
      <c r="Q402" s="3">
        <f t="shared" si="3"/>
        <v>35</v>
      </c>
    </row>
    <row r="403">
      <c r="A403" s="4" t="s">
        <v>123</v>
      </c>
      <c r="B403" s="2" t="s">
        <v>23</v>
      </c>
      <c r="C403" s="2" t="s">
        <v>41</v>
      </c>
      <c r="D403" s="2" t="s">
        <v>20</v>
      </c>
      <c r="E403" s="2" t="s">
        <v>58</v>
      </c>
      <c r="F403" s="5">
        <v>105400.0</v>
      </c>
      <c r="G403" s="5">
        <v>7704.0</v>
      </c>
      <c r="H403" s="5">
        <v>0.0731</v>
      </c>
      <c r="I403" s="5">
        <v>1.11</v>
      </c>
      <c r="J403" s="5">
        <v>8551.44</v>
      </c>
      <c r="K403" s="5">
        <v>442.0</v>
      </c>
      <c r="L403" s="5">
        <v>19.35</v>
      </c>
      <c r="M403" s="5">
        <v>49251.38</v>
      </c>
      <c r="N403" s="5">
        <v>5.76</v>
      </c>
      <c r="O403" s="6">
        <f t="shared" si="1"/>
        <v>19.34714932</v>
      </c>
      <c r="P403" s="6" t="str">
        <f t="shared" si="2"/>
        <v>Post-Shift</v>
      </c>
      <c r="Q403" s="3">
        <f t="shared" si="3"/>
        <v>38</v>
      </c>
    </row>
    <row r="404">
      <c r="A404" s="4">
        <v>45390.0</v>
      </c>
      <c r="B404" s="2" t="s">
        <v>18</v>
      </c>
      <c r="C404" s="2" t="s">
        <v>31</v>
      </c>
      <c r="D404" s="2" t="s">
        <v>24</v>
      </c>
      <c r="E404" s="2" t="s">
        <v>30</v>
      </c>
      <c r="F404" s="5">
        <v>63959.0</v>
      </c>
      <c r="G404" s="5">
        <v>2014.0</v>
      </c>
      <c r="H404" s="5">
        <v>0.0315</v>
      </c>
      <c r="I404" s="5">
        <v>2.28</v>
      </c>
      <c r="J404" s="5">
        <v>4591.92</v>
      </c>
      <c r="K404" s="5">
        <v>150.0</v>
      </c>
      <c r="L404" s="5">
        <v>30.61</v>
      </c>
      <c r="M404" s="5">
        <v>37769.59</v>
      </c>
      <c r="N404" s="5">
        <v>8.23</v>
      </c>
      <c r="O404" s="6">
        <f t="shared" si="1"/>
        <v>30.6128</v>
      </c>
      <c r="P404" s="6" t="str">
        <f t="shared" si="2"/>
        <v>Baseline</v>
      </c>
      <c r="Q404" s="3">
        <f t="shared" si="3"/>
        <v>32</v>
      </c>
    </row>
    <row r="405">
      <c r="A405" s="4">
        <v>45446.0</v>
      </c>
      <c r="B405" s="2" t="s">
        <v>18</v>
      </c>
      <c r="C405" s="2" t="s">
        <v>19</v>
      </c>
      <c r="D405" s="2" t="s">
        <v>32</v>
      </c>
      <c r="E405" s="2" t="s">
        <v>56</v>
      </c>
      <c r="F405" s="5">
        <v>6044.0</v>
      </c>
      <c r="G405" s="5">
        <v>146.0</v>
      </c>
      <c r="H405" s="5">
        <v>0.0242</v>
      </c>
      <c r="I405" s="5">
        <v>1.13</v>
      </c>
      <c r="J405" s="5">
        <v>164.98</v>
      </c>
      <c r="K405" s="5">
        <v>5.0</v>
      </c>
      <c r="L405" s="5">
        <v>33.0</v>
      </c>
      <c r="M405" s="5">
        <v>611.36</v>
      </c>
      <c r="N405" s="5">
        <v>3.71</v>
      </c>
      <c r="O405" s="6">
        <f t="shared" si="1"/>
        <v>32.996</v>
      </c>
      <c r="P405" s="6" t="str">
        <f t="shared" si="2"/>
        <v>Baseline</v>
      </c>
      <c r="Q405" s="3">
        <f t="shared" si="3"/>
        <v>10</v>
      </c>
    </row>
    <row r="406">
      <c r="A406" s="4">
        <v>45508.0</v>
      </c>
      <c r="B406" s="2" t="s">
        <v>18</v>
      </c>
      <c r="C406" s="2" t="s">
        <v>31</v>
      </c>
      <c r="D406" s="2" t="s">
        <v>20</v>
      </c>
      <c r="E406" s="2" t="s">
        <v>30</v>
      </c>
      <c r="F406" s="5">
        <v>90945.0</v>
      </c>
      <c r="G406" s="5">
        <v>3637.0</v>
      </c>
      <c r="H406" s="5">
        <v>0.04</v>
      </c>
      <c r="I406" s="5">
        <v>3.02</v>
      </c>
      <c r="J406" s="5">
        <v>10983.74</v>
      </c>
      <c r="K406" s="5">
        <v>145.0</v>
      </c>
      <c r="L406" s="5">
        <v>75.75</v>
      </c>
      <c r="M406" s="5">
        <v>21488.5</v>
      </c>
      <c r="N406" s="5">
        <v>1.96</v>
      </c>
      <c r="O406" s="6">
        <f t="shared" si="1"/>
        <v>75.74993103</v>
      </c>
      <c r="P406" s="6" t="str">
        <f t="shared" si="2"/>
        <v>Post-Shift</v>
      </c>
      <c r="Q406" s="3">
        <f t="shared" si="3"/>
        <v>15</v>
      </c>
    </row>
    <row r="407">
      <c r="A407" s="4">
        <v>45293.0</v>
      </c>
      <c r="B407" s="2" t="s">
        <v>18</v>
      </c>
      <c r="C407" s="2" t="s">
        <v>19</v>
      </c>
      <c r="D407" s="2" t="s">
        <v>32</v>
      </c>
      <c r="E407" s="2" t="s">
        <v>25</v>
      </c>
      <c r="F407" s="5">
        <v>73681.0</v>
      </c>
      <c r="G407" s="5">
        <v>4457.0</v>
      </c>
      <c r="H407" s="5">
        <v>0.0605</v>
      </c>
      <c r="I407" s="5">
        <v>1.77</v>
      </c>
      <c r="J407" s="5">
        <v>7888.89</v>
      </c>
      <c r="K407" s="5">
        <v>95.0</v>
      </c>
      <c r="L407" s="5">
        <v>83.04</v>
      </c>
      <c r="M407" s="5">
        <v>11815.26</v>
      </c>
      <c r="N407" s="5">
        <v>1.5</v>
      </c>
      <c r="O407" s="6">
        <f t="shared" si="1"/>
        <v>83.04094737</v>
      </c>
      <c r="P407" s="6" t="str">
        <f t="shared" si="2"/>
        <v>Baseline</v>
      </c>
      <c r="Q407" s="3">
        <f t="shared" si="3"/>
        <v>5</v>
      </c>
    </row>
    <row r="408">
      <c r="A408" s="4" t="s">
        <v>57</v>
      </c>
      <c r="B408" s="2" t="s">
        <v>18</v>
      </c>
      <c r="C408" s="2" t="s">
        <v>41</v>
      </c>
      <c r="D408" s="2" t="s">
        <v>29</v>
      </c>
      <c r="E408" s="2" t="s">
        <v>58</v>
      </c>
      <c r="F408" s="5">
        <v>195545.0</v>
      </c>
      <c r="G408" s="5">
        <v>8799.0</v>
      </c>
      <c r="H408" s="5">
        <v>0.045</v>
      </c>
      <c r="I408" s="5">
        <v>2.98</v>
      </c>
      <c r="J408" s="5">
        <v>26221.02</v>
      </c>
      <c r="K408" s="5">
        <v>444.0</v>
      </c>
      <c r="L408" s="5">
        <v>59.06</v>
      </c>
      <c r="M408" s="5">
        <v>122723.1</v>
      </c>
      <c r="N408" s="5">
        <v>4.68</v>
      </c>
      <c r="O408" s="6">
        <f t="shared" si="1"/>
        <v>59.05635135</v>
      </c>
      <c r="P408" s="6" t="str">
        <f t="shared" si="2"/>
        <v>Post-Shift</v>
      </c>
      <c r="Q408" s="3">
        <f t="shared" si="3"/>
        <v>50</v>
      </c>
    </row>
    <row r="409">
      <c r="A409" s="4" t="s">
        <v>94</v>
      </c>
      <c r="B409" s="2" t="s">
        <v>18</v>
      </c>
      <c r="C409" s="2" t="s">
        <v>31</v>
      </c>
      <c r="D409" s="2" t="s">
        <v>45</v>
      </c>
      <c r="E409" s="2" t="s">
        <v>30</v>
      </c>
      <c r="F409" s="5">
        <v>46846.0</v>
      </c>
      <c r="G409" s="5">
        <v>2183.0</v>
      </c>
      <c r="H409" s="5">
        <v>0.0466</v>
      </c>
      <c r="I409" s="5">
        <v>3.36</v>
      </c>
      <c r="J409" s="5">
        <v>7334.88</v>
      </c>
      <c r="K409" s="5">
        <v>46.0</v>
      </c>
      <c r="L409" s="5">
        <v>159.45</v>
      </c>
      <c r="M409" s="5">
        <v>5098.84</v>
      </c>
      <c r="N409" s="5">
        <v>0.7</v>
      </c>
      <c r="O409" s="6">
        <f t="shared" si="1"/>
        <v>159.453913</v>
      </c>
      <c r="P409" s="6" t="str">
        <f t="shared" si="2"/>
        <v>Post-Shift</v>
      </c>
      <c r="Q409" s="3">
        <f t="shared" si="3"/>
        <v>29</v>
      </c>
    </row>
    <row r="410">
      <c r="A410" s="4">
        <v>45358.0</v>
      </c>
      <c r="B410" s="2" t="s">
        <v>18</v>
      </c>
      <c r="C410" s="2" t="s">
        <v>31</v>
      </c>
      <c r="D410" s="2" t="s">
        <v>29</v>
      </c>
      <c r="E410" s="2" t="s">
        <v>36</v>
      </c>
      <c r="F410" s="5">
        <v>183428.0</v>
      </c>
      <c r="G410" s="5">
        <v>4549.0</v>
      </c>
      <c r="H410" s="5">
        <v>0.0248</v>
      </c>
      <c r="I410" s="5">
        <v>2.11</v>
      </c>
      <c r="J410" s="5">
        <v>9598.39</v>
      </c>
      <c r="K410" s="5">
        <v>135.0</v>
      </c>
      <c r="L410" s="5">
        <v>71.1</v>
      </c>
      <c r="M410" s="5">
        <v>6604.0</v>
      </c>
      <c r="N410" s="5">
        <v>0.69</v>
      </c>
      <c r="O410" s="6">
        <f t="shared" si="1"/>
        <v>71.09918519</v>
      </c>
      <c r="P410" s="6" t="str">
        <f t="shared" si="2"/>
        <v>Baseline</v>
      </c>
      <c r="Q410" s="3">
        <f t="shared" si="3"/>
        <v>27</v>
      </c>
    </row>
    <row r="411">
      <c r="A411" s="4">
        <v>45540.0</v>
      </c>
      <c r="B411" s="2" t="s">
        <v>18</v>
      </c>
      <c r="C411" s="2" t="s">
        <v>31</v>
      </c>
      <c r="D411" s="2" t="s">
        <v>24</v>
      </c>
      <c r="E411" s="2" t="s">
        <v>58</v>
      </c>
      <c r="F411" s="5">
        <v>173913.0</v>
      </c>
      <c r="G411" s="5">
        <v>5860.0</v>
      </c>
      <c r="H411" s="5">
        <v>0.0337</v>
      </c>
      <c r="I411" s="5">
        <v>3.46</v>
      </c>
      <c r="J411" s="5">
        <v>20275.6</v>
      </c>
      <c r="K411" s="5">
        <v>111.0</v>
      </c>
      <c r="L411" s="5">
        <v>182.66</v>
      </c>
      <c r="M411" s="5">
        <v>20779.66</v>
      </c>
      <c r="N411" s="5">
        <v>1.02</v>
      </c>
      <c r="O411" s="6">
        <f t="shared" si="1"/>
        <v>182.6630631</v>
      </c>
      <c r="P411" s="6" t="str">
        <f t="shared" si="2"/>
        <v>Post-Shift</v>
      </c>
      <c r="Q411" s="3">
        <f t="shared" si="3"/>
        <v>19</v>
      </c>
    </row>
    <row r="412">
      <c r="A412" s="4">
        <v>45417.0</v>
      </c>
      <c r="B412" s="2" t="s">
        <v>18</v>
      </c>
      <c r="C412" s="2" t="s">
        <v>27</v>
      </c>
      <c r="D412" s="2" t="s">
        <v>32</v>
      </c>
      <c r="E412" s="2" t="s">
        <v>30</v>
      </c>
      <c r="F412" s="5">
        <v>190541.0</v>
      </c>
      <c r="G412" s="5">
        <v>9527.0</v>
      </c>
      <c r="H412" s="5">
        <v>0.05</v>
      </c>
      <c r="I412" s="5">
        <v>2.17</v>
      </c>
      <c r="J412" s="5">
        <v>20673.59</v>
      </c>
      <c r="K412" s="5">
        <v>157.0</v>
      </c>
      <c r="L412" s="5">
        <v>131.68</v>
      </c>
      <c r="M412" s="5">
        <v>5416.71</v>
      </c>
      <c r="N412" s="5">
        <v>0.26</v>
      </c>
      <c r="O412" s="6">
        <f t="shared" si="1"/>
        <v>131.6789172</v>
      </c>
      <c r="P412" s="6" t="str">
        <f t="shared" si="2"/>
        <v>Baseline</v>
      </c>
      <c r="Q412" s="3">
        <f t="shared" si="3"/>
        <v>19</v>
      </c>
    </row>
    <row r="413">
      <c r="A413" s="4">
        <v>45605.0</v>
      </c>
      <c r="B413" s="2" t="s">
        <v>23</v>
      </c>
      <c r="C413" s="2" t="s">
        <v>27</v>
      </c>
      <c r="D413" s="2" t="s">
        <v>32</v>
      </c>
      <c r="E413" s="2" t="s">
        <v>36</v>
      </c>
      <c r="F413" s="5">
        <v>122116.0</v>
      </c>
      <c r="G413" s="5">
        <v>5507.0</v>
      </c>
      <c r="H413" s="5">
        <v>0.0451</v>
      </c>
      <c r="I413" s="5">
        <v>0.98</v>
      </c>
      <c r="J413" s="5">
        <v>5396.86</v>
      </c>
      <c r="K413" s="5">
        <v>110.0</v>
      </c>
      <c r="L413" s="5">
        <v>49.06</v>
      </c>
      <c r="M413" s="5">
        <v>3555.98</v>
      </c>
      <c r="N413" s="5">
        <v>0.66</v>
      </c>
      <c r="O413" s="6">
        <f t="shared" si="1"/>
        <v>49.06236364</v>
      </c>
      <c r="P413" s="6" t="str">
        <f t="shared" si="2"/>
        <v>Post-Shift</v>
      </c>
      <c r="Q413" s="3">
        <f t="shared" si="3"/>
        <v>37</v>
      </c>
    </row>
    <row r="414">
      <c r="A414" s="4" t="s">
        <v>201</v>
      </c>
      <c r="B414" s="2" t="s">
        <v>18</v>
      </c>
      <c r="C414" s="2" t="s">
        <v>41</v>
      </c>
      <c r="D414" s="2" t="s">
        <v>20</v>
      </c>
      <c r="E414" s="2" t="s">
        <v>56</v>
      </c>
      <c r="F414" s="5">
        <v>47879.0</v>
      </c>
      <c r="G414" s="5">
        <v>1149.0</v>
      </c>
      <c r="H414" s="5">
        <v>0.024</v>
      </c>
      <c r="I414" s="5">
        <v>3.06</v>
      </c>
      <c r="J414" s="5">
        <v>3515.94</v>
      </c>
      <c r="K414" s="5">
        <v>25.0</v>
      </c>
      <c r="L414" s="5">
        <v>140.64</v>
      </c>
      <c r="M414" s="5">
        <v>3124.11</v>
      </c>
      <c r="N414" s="5">
        <v>0.89</v>
      </c>
      <c r="O414" s="6">
        <f t="shared" si="1"/>
        <v>140.6376</v>
      </c>
      <c r="P414" s="6" t="str">
        <f t="shared" si="2"/>
        <v>Post-Shift</v>
      </c>
      <c r="Q414" s="3">
        <f t="shared" si="3"/>
        <v>12</v>
      </c>
    </row>
    <row r="415">
      <c r="A415" s="4">
        <v>45514.0</v>
      </c>
      <c r="B415" s="2" t="s">
        <v>38</v>
      </c>
      <c r="C415" s="2" t="s">
        <v>19</v>
      </c>
      <c r="D415" s="2" t="s">
        <v>29</v>
      </c>
      <c r="E415" s="2" t="s">
        <v>30</v>
      </c>
      <c r="F415" s="5">
        <v>164876.0</v>
      </c>
      <c r="G415" s="5">
        <v>5820.0</v>
      </c>
      <c r="H415" s="5">
        <v>0.0353</v>
      </c>
      <c r="I415" s="5">
        <v>0.74</v>
      </c>
      <c r="J415" s="5">
        <v>4306.8</v>
      </c>
      <c r="K415" s="5">
        <v>463.0</v>
      </c>
      <c r="L415" s="5">
        <v>9.3</v>
      </c>
      <c r="M415" s="5">
        <v>73917.74</v>
      </c>
      <c r="N415" s="5">
        <v>17.16</v>
      </c>
      <c r="O415" s="6">
        <f t="shared" si="1"/>
        <v>9.301943844</v>
      </c>
      <c r="P415" s="6" t="str">
        <f t="shared" si="2"/>
        <v>Post-Shift</v>
      </c>
      <c r="Q415" s="3">
        <f t="shared" si="3"/>
        <v>41</v>
      </c>
    </row>
    <row r="416">
      <c r="A416" s="4" t="s">
        <v>80</v>
      </c>
      <c r="B416" s="2" t="s">
        <v>38</v>
      </c>
      <c r="C416" s="2" t="s">
        <v>41</v>
      </c>
      <c r="D416" s="2" t="s">
        <v>32</v>
      </c>
      <c r="E416" s="2" t="s">
        <v>30</v>
      </c>
      <c r="F416" s="5">
        <v>163253.0</v>
      </c>
      <c r="G416" s="5">
        <v>1779.0</v>
      </c>
      <c r="H416" s="5">
        <v>0.0109</v>
      </c>
      <c r="I416" s="5">
        <v>0.51</v>
      </c>
      <c r="J416" s="5">
        <v>907.29</v>
      </c>
      <c r="K416" s="5">
        <v>121.0</v>
      </c>
      <c r="L416" s="5">
        <v>7.5</v>
      </c>
      <c r="M416" s="5">
        <v>18762.73</v>
      </c>
      <c r="N416" s="5">
        <v>20.68</v>
      </c>
      <c r="O416" s="6">
        <f t="shared" si="1"/>
        <v>7.498264463</v>
      </c>
      <c r="P416" s="6" t="str">
        <f t="shared" si="2"/>
        <v>Post-Shift</v>
      </c>
      <c r="Q416" s="3">
        <f t="shared" si="3"/>
        <v>20</v>
      </c>
    </row>
    <row r="417">
      <c r="A417" s="4">
        <v>45392.0</v>
      </c>
      <c r="B417" s="2" t="s">
        <v>38</v>
      </c>
      <c r="C417" s="2" t="s">
        <v>31</v>
      </c>
      <c r="D417" s="2" t="s">
        <v>20</v>
      </c>
      <c r="E417" s="2" t="s">
        <v>56</v>
      </c>
      <c r="F417" s="5">
        <v>120631.0</v>
      </c>
      <c r="G417" s="5">
        <v>1532.0</v>
      </c>
      <c r="H417" s="5">
        <v>0.0127</v>
      </c>
      <c r="I417" s="5">
        <v>0.77</v>
      </c>
      <c r="J417" s="5">
        <v>1179.64</v>
      </c>
      <c r="K417" s="5">
        <v>114.0</v>
      </c>
      <c r="L417" s="5">
        <v>10.35</v>
      </c>
      <c r="M417" s="5">
        <v>25286.78</v>
      </c>
      <c r="N417" s="5">
        <v>21.44</v>
      </c>
      <c r="O417" s="6">
        <f t="shared" si="1"/>
        <v>10.3477193</v>
      </c>
      <c r="P417" s="6" t="str">
        <f t="shared" si="2"/>
        <v>Baseline</v>
      </c>
      <c r="Q417" s="3">
        <f t="shared" si="3"/>
        <v>40</v>
      </c>
    </row>
    <row r="418">
      <c r="A418" s="4" t="s">
        <v>79</v>
      </c>
      <c r="B418" s="2" t="s">
        <v>38</v>
      </c>
      <c r="C418" s="2" t="s">
        <v>41</v>
      </c>
      <c r="D418" s="2" t="s">
        <v>20</v>
      </c>
      <c r="E418" s="2" t="s">
        <v>58</v>
      </c>
      <c r="F418" s="5">
        <v>12610.0</v>
      </c>
      <c r="G418" s="5">
        <v>197.0</v>
      </c>
      <c r="H418" s="5">
        <v>0.0157</v>
      </c>
      <c r="I418" s="5">
        <v>0.66</v>
      </c>
      <c r="J418" s="5">
        <v>130.02</v>
      </c>
      <c r="K418" s="5">
        <v>11.0</v>
      </c>
      <c r="L418" s="5">
        <v>11.82</v>
      </c>
      <c r="M418" s="5">
        <v>2637.16</v>
      </c>
      <c r="N418" s="5">
        <v>20.28</v>
      </c>
      <c r="O418" s="6">
        <f t="shared" si="1"/>
        <v>11.82</v>
      </c>
      <c r="P418" s="6" t="str">
        <f t="shared" si="2"/>
        <v>Post-Shift</v>
      </c>
      <c r="Q418" s="3">
        <f t="shared" si="3"/>
        <v>18</v>
      </c>
    </row>
    <row r="419">
      <c r="A419" s="4">
        <v>45627.0</v>
      </c>
      <c r="B419" s="2" t="s">
        <v>38</v>
      </c>
      <c r="C419" s="2" t="s">
        <v>27</v>
      </c>
      <c r="D419" s="2" t="s">
        <v>29</v>
      </c>
      <c r="E419" s="2" t="s">
        <v>25</v>
      </c>
      <c r="F419" s="5">
        <v>62676.0</v>
      </c>
      <c r="G419" s="5">
        <v>595.0</v>
      </c>
      <c r="H419" s="5">
        <v>0.0095</v>
      </c>
      <c r="I419" s="5">
        <v>2.42</v>
      </c>
      <c r="J419" s="5">
        <v>1439.9</v>
      </c>
      <c r="K419" s="5">
        <v>32.0</v>
      </c>
      <c r="L419" s="5">
        <v>45.0</v>
      </c>
      <c r="M419" s="5">
        <v>1319.08</v>
      </c>
      <c r="N419" s="5">
        <v>0.92</v>
      </c>
      <c r="O419" s="6">
        <f t="shared" si="1"/>
        <v>44.996875</v>
      </c>
      <c r="P419" s="6" t="str">
        <f t="shared" si="2"/>
        <v>Post-Shift</v>
      </c>
      <c r="Q419" s="3">
        <f t="shared" si="3"/>
        <v>2</v>
      </c>
    </row>
    <row r="420">
      <c r="A420" s="4">
        <v>45572.0</v>
      </c>
      <c r="B420" s="2" t="s">
        <v>18</v>
      </c>
      <c r="C420" s="2" t="s">
        <v>19</v>
      </c>
      <c r="D420" s="2" t="s">
        <v>20</v>
      </c>
      <c r="E420" s="2" t="s">
        <v>25</v>
      </c>
      <c r="F420" s="5">
        <v>59943.0</v>
      </c>
      <c r="G420" s="5">
        <v>2163.0</v>
      </c>
      <c r="H420" s="5">
        <v>0.0361</v>
      </c>
      <c r="I420" s="5">
        <v>3.29</v>
      </c>
      <c r="J420" s="5">
        <v>7116.27</v>
      </c>
      <c r="K420" s="5">
        <v>114.0</v>
      </c>
      <c r="L420" s="5">
        <v>62.42</v>
      </c>
      <c r="M420" s="5">
        <v>4800.81</v>
      </c>
      <c r="N420" s="5">
        <v>0.67</v>
      </c>
      <c r="O420" s="6">
        <f t="shared" si="1"/>
        <v>62.42342105</v>
      </c>
      <c r="P420" s="6" t="str">
        <f t="shared" si="2"/>
        <v>Post-Shift</v>
      </c>
      <c r="Q420" s="3">
        <f t="shared" si="3"/>
        <v>28</v>
      </c>
    </row>
    <row r="421">
      <c r="A421" s="4" t="s">
        <v>166</v>
      </c>
      <c r="B421" s="2" t="s">
        <v>38</v>
      </c>
      <c r="C421" s="2" t="s">
        <v>41</v>
      </c>
      <c r="D421" s="2" t="s">
        <v>32</v>
      </c>
      <c r="E421" s="2" t="s">
        <v>30</v>
      </c>
      <c r="F421" s="5">
        <v>78302.0</v>
      </c>
      <c r="G421" s="5">
        <v>900.0</v>
      </c>
      <c r="H421" s="5">
        <v>0.0115</v>
      </c>
      <c r="I421" s="5">
        <v>0.49</v>
      </c>
      <c r="J421" s="5">
        <v>441.0</v>
      </c>
      <c r="K421" s="5">
        <v>52.0</v>
      </c>
      <c r="L421" s="5">
        <v>8.48</v>
      </c>
      <c r="M421" s="5">
        <v>6354.23</v>
      </c>
      <c r="N421" s="5">
        <v>14.41</v>
      </c>
      <c r="O421" s="6">
        <f t="shared" si="1"/>
        <v>8.480769231</v>
      </c>
      <c r="P421" s="6" t="str">
        <f t="shared" si="2"/>
        <v>Post-Shift</v>
      </c>
      <c r="Q421" s="3">
        <f t="shared" si="3"/>
        <v>43</v>
      </c>
    </row>
    <row r="422">
      <c r="A422" s="4">
        <v>45391.0</v>
      </c>
      <c r="B422" s="2" t="s">
        <v>18</v>
      </c>
      <c r="C422" s="2" t="s">
        <v>27</v>
      </c>
      <c r="D422" s="2" t="s">
        <v>24</v>
      </c>
      <c r="E422" s="2" t="s">
        <v>25</v>
      </c>
      <c r="F422" s="5">
        <v>154805.0</v>
      </c>
      <c r="G422" s="5">
        <v>9535.0</v>
      </c>
      <c r="H422" s="5">
        <v>0.0616</v>
      </c>
      <c r="I422" s="5">
        <v>0.96</v>
      </c>
      <c r="J422" s="5">
        <v>9153.6</v>
      </c>
      <c r="K422" s="5">
        <v>525.0</v>
      </c>
      <c r="L422" s="5">
        <v>17.44</v>
      </c>
      <c r="M422" s="5">
        <v>18155.37</v>
      </c>
      <c r="N422" s="5">
        <v>1.98</v>
      </c>
      <c r="O422" s="6">
        <f t="shared" si="1"/>
        <v>17.43542857</v>
      </c>
      <c r="P422" s="6" t="str">
        <f t="shared" si="2"/>
        <v>Baseline</v>
      </c>
      <c r="Q422" s="3">
        <f t="shared" si="3"/>
        <v>36</v>
      </c>
    </row>
    <row r="423">
      <c r="A423" s="4">
        <v>45540.0</v>
      </c>
      <c r="B423" s="2" t="s">
        <v>23</v>
      </c>
      <c r="C423" s="2" t="s">
        <v>27</v>
      </c>
      <c r="D423" s="2" t="s">
        <v>20</v>
      </c>
      <c r="E423" s="2" t="s">
        <v>58</v>
      </c>
      <c r="F423" s="5">
        <v>41839.0</v>
      </c>
      <c r="G423" s="5">
        <v>2991.0</v>
      </c>
      <c r="H423" s="5">
        <v>0.0715</v>
      </c>
      <c r="I423" s="5">
        <v>0.99</v>
      </c>
      <c r="J423" s="5">
        <v>2961.09</v>
      </c>
      <c r="K423" s="5">
        <v>45.0</v>
      </c>
      <c r="L423" s="5">
        <v>65.8</v>
      </c>
      <c r="M423" s="5">
        <v>9665.89</v>
      </c>
      <c r="N423" s="5">
        <v>3.26</v>
      </c>
      <c r="O423" s="6">
        <f t="shared" si="1"/>
        <v>65.802</v>
      </c>
      <c r="P423" s="6" t="str">
        <f t="shared" si="2"/>
        <v>Post-Shift</v>
      </c>
      <c r="Q423" s="3">
        <f t="shared" si="3"/>
        <v>19</v>
      </c>
    </row>
    <row r="424">
      <c r="A424" s="4" t="s">
        <v>144</v>
      </c>
      <c r="B424" s="2" t="s">
        <v>38</v>
      </c>
      <c r="C424" s="2" t="s">
        <v>31</v>
      </c>
      <c r="D424" s="2" t="s">
        <v>32</v>
      </c>
      <c r="E424" s="2" t="s">
        <v>56</v>
      </c>
      <c r="F424" s="5">
        <v>127872.0</v>
      </c>
      <c r="G424" s="5">
        <v>2953.0</v>
      </c>
      <c r="H424" s="5">
        <v>0.0231</v>
      </c>
      <c r="I424" s="5">
        <v>0.59</v>
      </c>
      <c r="J424" s="5">
        <v>1742.27</v>
      </c>
      <c r="K424" s="5">
        <v>150.0</v>
      </c>
      <c r="L424" s="5">
        <v>11.62</v>
      </c>
      <c r="M424" s="5">
        <v>15282.38</v>
      </c>
      <c r="N424" s="5">
        <v>8.77</v>
      </c>
      <c r="O424" s="6">
        <f t="shared" si="1"/>
        <v>11.61513333</v>
      </c>
      <c r="P424" s="6" t="str">
        <f t="shared" si="2"/>
        <v>Post-Shift</v>
      </c>
      <c r="Q424" s="3">
        <f t="shared" si="3"/>
        <v>25</v>
      </c>
    </row>
    <row r="425">
      <c r="A425" s="4">
        <v>45393.0</v>
      </c>
      <c r="B425" s="2" t="s">
        <v>18</v>
      </c>
      <c r="C425" s="2" t="s">
        <v>41</v>
      </c>
      <c r="D425" s="2" t="s">
        <v>20</v>
      </c>
      <c r="E425" s="2" t="s">
        <v>33</v>
      </c>
      <c r="F425" s="5">
        <v>146779.0</v>
      </c>
      <c r="G425" s="5">
        <v>5019.0</v>
      </c>
      <c r="H425" s="5">
        <v>0.0342</v>
      </c>
      <c r="I425" s="5">
        <v>2.22</v>
      </c>
      <c r="J425" s="5">
        <v>11142.18</v>
      </c>
      <c r="K425" s="5">
        <v>349.0</v>
      </c>
      <c r="L425" s="5">
        <v>31.93</v>
      </c>
      <c r="M425" s="5">
        <v>91145.36</v>
      </c>
      <c r="N425" s="5">
        <v>8.18</v>
      </c>
      <c r="O425" s="6">
        <f t="shared" si="1"/>
        <v>31.92601719</v>
      </c>
      <c r="P425" s="6" t="str">
        <f t="shared" si="2"/>
        <v>Baseline</v>
      </c>
      <c r="Q425" s="3">
        <f t="shared" si="3"/>
        <v>45</v>
      </c>
    </row>
    <row r="426">
      <c r="A426" s="4" t="s">
        <v>202</v>
      </c>
      <c r="B426" s="2" t="s">
        <v>18</v>
      </c>
      <c r="C426" s="2" t="s">
        <v>31</v>
      </c>
      <c r="D426" s="2" t="s">
        <v>24</v>
      </c>
      <c r="E426" s="2" t="s">
        <v>30</v>
      </c>
      <c r="F426" s="5">
        <v>133588.0</v>
      </c>
      <c r="G426" s="5">
        <v>6545.0</v>
      </c>
      <c r="H426" s="5">
        <v>0.049</v>
      </c>
      <c r="I426" s="5">
        <v>1.68</v>
      </c>
      <c r="J426" s="5">
        <v>10995.6</v>
      </c>
      <c r="K426" s="5">
        <v>241.0</v>
      </c>
      <c r="L426" s="5">
        <v>45.62</v>
      </c>
      <c r="M426" s="5">
        <v>34421.71</v>
      </c>
      <c r="N426" s="5">
        <v>3.13</v>
      </c>
      <c r="O426" s="6">
        <f t="shared" si="1"/>
        <v>45.62489627</v>
      </c>
      <c r="P426" s="6" t="str">
        <f t="shared" si="2"/>
        <v>Post-Shift</v>
      </c>
      <c r="Q426" s="3">
        <f t="shared" si="3"/>
        <v>26</v>
      </c>
    </row>
    <row r="427">
      <c r="A427" s="4" t="s">
        <v>177</v>
      </c>
      <c r="B427" s="2" t="s">
        <v>18</v>
      </c>
      <c r="C427" s="2" t="s">
        <v>27</v>
      </c>
      <c r="D427" s="2" t="s">
        <v>20</v>
      </c>
      <c r="E427" s="2" t="s">
        <v>25</v>
      </c>
      <c r="F427" s="5">
        <v>82462.0</v>
      </c>
      <c r="G427" s="5">
        <v>3916.0</v>
      </c>
      <c r="H427" s="5">
        <v>0.0475</v>
      </c>
      <c r="I427" s="5">
        <v>2.1</v>
      </c>
      <c r="J427" s="5">
        <v>8223.6</v>
      </c>
      <c r="K427" s="5">
        <v>199.0</v>
      </c>
      <c r="L427" s="5">
        <v>41.32</v>
      </c>
      <c r="M427" s="5">
        <v>48785.37</v>
      </c>
      <c r="N427" s="5">
        <v>5.93</v>
      </c>
      <c r="O427" s="6">
        <f t="shared" si="1"/>
        <v>41.32462312</v>
      </c>
      <c r="P427" s="6" t="str">
        <f t="shared" si="2"/>
        <v>Post-Shift</v>
      </c>
      <c r="Q427" s="3">
        <f t="shared" si="3"/>
        <v>5</v>
      </c>
    </row>
    <row r="428">
      <c r="A428" s="4" t="s">
        <v>185</v>
      </c>
      <c r="B428" s="2" t="s">
        <v>18</v>
      </c>
      <c r="C428" s="2" t="s">
        <v>41</v>
      </c>
      <c r="D428" s="2" t="s">
        <v>45</v>
      </c>
      <c r="E428" s="2" t="s">
        <v>58</v>
      </c>
      <c r="F428" s="5">
        <v>55248.0</v>
      </c>
      <c r="G428" s="5">
        <v>1646.0</v>
      </c>
      <c r="H428" s="5">
        <v>0.0298</v>
      </c>
      <c r="I428" s="5">
        <v>2.6</v>
      </c>
      <c r="J428" s="5">
        <v>4279.6</v>
      </c>
      <c r="K428" s="5">
        <v>43.0</v>
      </c>
      <c r="L428" s="5">
        <v>99.53</v>
      </c>
      <c r="M428" s="5">
        <v>12311.15</v>
      </c>
      <c r="N428" s="5">
        <v>2.88</v>
      </c>
      <c r="O428" s="6">
        <f t="shared" si="1"/>
        <v>99.5255814</v>
      </c>
      <c r="P428" s="6" t="str">
        <f t="shared" si="2"/>
        <v>Post-Shift</v>
      </c>
      <c r="Q428" s="3">
        <f t="shared" si="3"/>
        <v>3</v>
      </c>
    </row>
    <row r="429">
      <c r="A429" s="4">
        <v>45543.0</v>
      </c>
      <c r="B429" s="2" t="s">
        <v>18</v>
      </c>
      <c r="C429" s="2" t="s">
        <v>41</v>
      </c>
      <c r="D429" s="2" t="s">
        <v>29</v>
      </c>
      <c r="E429" s="2" t="s">
        <v>21</v>
      </c>
      <c r="F429" s="5">
        <v>90374.0</v>
      </c>
      <c r="G429" s="5">
        <v>2349.0</v>
      </c>
      <c r="H429" s="5">
        <v>0.026</v>
      </c>
      <c r="I429" s="5">
        <v>0.97</v>
      </c>
      <c r="J429" s="5">
        <v>2278.53</v>
      </c>
      <c r="K429" s="5">
        <v>69.0</v>
      </c>
      <c r="L429" s="5">
        <v>33.02</v>
      </c>
      <c r="M429" s="5">
        <v>5506.03</v>
      </c>
      <c r="N429" s="5">
        <v>2.42</v>
      </c>
      <c r="O429" s="6">
        <f t="shared" si="1"/>
        <v>33.02217391</v>
      </c>
      <c r="P429" s="6" t="str">
        <f t="shared" si="2"/>
        <v>Post-Shift</v>
      </c>
      <c r="Q429" s="3">
        <f t="shared" si="3"/>
        <v>32</v>
      </c>
    </row>
    <row r="430">
      <c r="A430" s="4">
        <v>45446.0</v>
      </c>
      <c r="B430" s="2" t="s">
        <v>38</v>
      </c>
      <c r="C430" s="2" t="s">
        <v>27</v>
      </c>
      <c r="D430" s="2" t="s">
        <v>24</v>
      </c>
      <c r="E430" s="2" t="s">
        <v>30</v>
      </c>
      <c r="F430" s="5">
        <v>104976.0</v>
      </c>
      <c r="G430" s="5">
        <v>1238.0</v>
      </c>
      <c r="H430" s="5">
        <v>0.0118</v>
      </c>
      <c r="I430" s="5">
        <v>1.52</v>
      </c>
      <c r="J430" s="5">
        <v>1881.76</v>
      </c>
      <c r="K430" s="5">
        <v>16.0</v>
      </c>
      <c r="L430" s="5">
        <v>117.61</v>
      </c>
      <c r="M430" s="5">
        <v>4162.98</v>
      </c>
      <c r="N430" s="5">
        <v>2.21</v>
      </c>
      <c r="O430" s="6">
        <f t="shared" si="1"/>
        <v>117.61</v>
      </c>
      <c r="P430" s="6" t="str">
        <f t="shared" si="2"/>
        <v>Baseline</v>
      </c>
      <c r="Q430" s="3">
        <f t="shared" si="3"/>
        <v>10</v>
      </c>
    </row>
    <row r="431">
      <c r="A431" s="4">
        <v>45576.0</v>
      </c>
      <c r="B431" s="2" t="s">
        <v>18</v>
      </c>
      <c r="C431" s="2" t="s">
        <v>41</v>
      </c>
      <c r="D431" s="2" t="s">
        <v>32</v>
      </c>
      <c r="E431" s="2" t="s">
        <v>58</v>
      </c>
      <c r="F431" s="5">
        <v>124774.0</v>
      </c>
      <c r="G431" s="5">
        <v>3481.0</v>
      </c>
      <c r="H431" s="5">
        <v>0.0279</v>
      </c>
      <c r="I431" s="5">
        <v>1.21</v>
      </c>
      <c r="J431" s="5">
        <v>4212.01</v>
      </c>
      <c r="K431" s="5">
        <v>113.0</v>
      </c>
      <c r="L431" s="5">
        <v>37.27</v>
      </c>
      <c r="M431" s="5">
        <v>4447.19</v>
      </c>
      <c r="N431" s="5">
        <v>1.06</v>
      </c>
      <c r="O431" s="6">
        <f t="shared" si="1"/>
        <v>37.27442478</v>
      </c>
      <c r="P431" s="6" t="str">
        <f t="shared" si="2"/>
        <v>Post-Shift</v>
      </c>
      <c r="Q431" s="3">
        <f t="shared" si="3"/>
        <v>46</v>
      </c>
    </row>
    <row r="432">
      <c r="A432" s="4" t="s">
        <v>37</v>
      </c>
      <c r="B432" s="2" t="s">
        <v>18</v>
      </c>
      <c r="C432" s="2" t="s">
        <v>19</v>
      </c>
      <c r="D432" s="2" t="s">
        <v>32</v>
      </c>
      <c r="E432" s="2" t="s">
        <v>30</v>
      </c>
      <c r="F432" s="5">
        <v>109263.0</v>
      </c>
      <c r="G432" s="5">
        <v>2829.0</v>
      </c>
      <c r="H432" s="5">
        <v>0.0259</v>
      </c>
      <c r="I432" s="5">
        <v>0.88</v>
      </c>
      <c r="J432" s="5">
        <v>2489.52</v>
      </c>
      <c r="K432" s="5">
        <v>129.0</v>
      </c>
      <c r="L432" s="5">
        <v>19.3</v>
      </c>
      <c r="M432" s="5">
        <v>14321.34</v>
      </c>
      <c r="N432" s="5">
        <v>5.75</v>
      </c>
      <c r="O432" s="6">
        <f t="shared" si="1"/>
        <v>19.29860465</v>
      </c>
      <c r="P432" s="6" t="str">
        <f t="shared" si="2"/>
        <v>Post-Shift</v>
      </c>
      <c r="Q432" s="3">
        <f t="shared" si="3"/>
        <v>33</v>
      </c>
    </row>
    <row r="433">
      <c r="A433" s="4" t="s">
        <v>78</v>
      </c>
      <c r="B433" s="2" t="s">
        <v>18</v>
      </c>
      <c r="C433" s="2" t="s">
        <v>27</v>
      </c>
      <c r="D433" s="2" t="s">
        <v>20</v>
      </c>
      <c r="E433" s="2" t="s">
        <v>21</v>
      </c>
      <c r="F433" s="5">
        <v>105814.0</v>
      </c>
      <c r="G433" s="5">
        <v>6126.0</v>
      </c>
      <c r="H433" s="5">
        <v>0.0579</v>
      </c>
      <c r="I433" s="5">
        <v>2.79</v>
      </c>
      <c r="J433" s="5">
        <v>17091.54</v>
      </c>
      <c r="K433" s="5">
        <v>289.0</v>
      </c>
      <c r="L433" s="5">
        <v>59.14</v>
      </c>
      <c r="M433" s="5">
        <v>45447.24</v>
      </c>
      <c r="N433" s="5">
        <v>2.66</v>
      </c>
      <c r="O433" s="6">
        <f t="shared" si="1"/>
        <v>59.14027682</v>
      </c>
      <c r="P433" s="6" t="str">
        <f t="shared" si="2"/>
        <v>Post-Shift</v>
      </c>
      <c r="Q433" s="3">
        <f t="shared" si="3"/>
        <v>24</v>
      </c>
    </row>
    <row r="434">
      <c r="A434" s="4" t="s">
        <v>69</v>
      </c>
      <c r="B434" s="2" t="s">
        <v>23</v>
      </c>
      <c r="C434" s="2" t="s">
        <v>31</v>
      </c>
      <c r="D434" s="2" t="s">
        <v>29</v>
      </c>
      <c r="E434" s="2" t="s">
        <v>36</v>
      </c>
      <c r="F434" s="5">
        <v>41113.0</v>
      </c>
      <c r="G434" s="5">
        <v>2347.0</v>
      </c>
      <c r="H434" s="5">
        <v>0.0571</v>
      </c>
      <c r="I434" s="5">
        <v>0.96</v>
      </c>
      <c r="J434" s="5">
        <v>2253.12</v>
      </c>
      <c r="K434" s="5">
        <v>33.0</v>
      </c>
      <c r="L434" s="5">
        <v>68.28</v>
      </c>
      <c r="M434" s="5">
        <v>2659.26</v>
      </c>
      <c r="N434" s="5">
        <v>1.18</v>
      </c>
      <c r="O434" s="6">
        <f t="shared" si="1"/>
        <v>68.27636364</v>
      </c>
      <c r="P434" s="6" t="str">
        <f t="shared" si="2"/>
        <v>Post-Shift</v>
      </c>
      <c r="Q434" s="3">
        <f t="shared" si="3"/>
        <v>33</v>
      </c>
    </row>
    <row r="435">
      <c r="A435" s="4" t="s">
        <v>203</v>
      </c>
      <c r="B435" s="2" t="s">
        <v>18</v>
      </c>
      <c r="C435" s="2" t="s">
        <v>19</v>
      </c>
      <c r="D435" s="2" t="s">
        <v>32</v>
      </c>
      <c r="E435" s="2" t="s">
        <v>36</v>
      </c>
      <c r="F435" s="5">
        <v>43098.0</v>
      </c>
      <c r="G435" s="5">
        <v>1620.0</v>
      </c>
      <c r="H435" s="5">
        <v>0.0376</v>
      </c>
      <c r="I435" s="5">
        <v>2.73</v>
      </c>
      <c r="J435" s="5">
        <v>4422.6</v>
      </c>
      <c r="K435" s="5">
        <v>39.0</v>
      </c>
      <c r="L435" s="5">
        <v>113.4</v>
      </c>
      <c r="M435" s="5">
        <v>7135.44</v>
      </c>
      <c r="N435" s="5">
        <v>1.61</v>
      </c>
      <c r="O435" s="6">
        <f t="shared" si="1"/>
        <v>113.4</v>
      </c>
      <c r="P435" s="6" t="str">
        <f t="shared" si="2"/>
        <v>Post-Shift</v>
      </c>
      <c r="Q435" s="3">
        <f t="shared" si="3"/>
        <v>3</v>
      </c>
    </row>
    <row r="436">
      <c r="A436" s="4" t="s">
        <v>136</v>
      </c>
      <c r="B436" s="2" t="s">
        <v>38</v>
      </c>
      <c r="C436" s="2" t="s">
        <v>41</v>
      </c>
      <c r="D436" s="2" t="s">
        <v>45</v>
      </c>
      <c r="E436" s="2" t="s">
        <v>36</v>
      </c>
      <c r="F436" s="5">
        <v>25991.0</v>
      </c>
      <c r="G436" s="5">
        <v>309.0</v>
      </c>
      <c r="H436" s="5">
        <v>0.0119</v>
      </c>
      <c r="I436" s="5">
        <v>1.52</v>
      </c>
      <c r="J436" s="5">
        <v>469.68</v>
      </c>
      <c r="K436" s="5">
        <v>14.0</v>
      </c>
      <c r="L436" s="5">
        <v>33.55</v>
      </c>
      <c r="M436" s="5">
        <v>2306.63</v>
      </c>
      <c r="N436" s="5">
        <v>4.91</v>
      </c>
      <c r="O436" s="6">
        <f t="shared" si="1"/>
        <v>33.54857143</v>
      </c>
      <c r="P436" s="6" t="str">
        <f t="shared" si="2"/>
        <v>Post-Shift</v>
      </c>
      <c r="Q436" s="3">
        <f t="shared" si="3"/>
        <v>35</v>
      </c>
    </row>
    <row r="437">
      <c r="A437" s="4" t="s">
        <v>204</v>
      </c>
      <c r="B437" s="2" t="s">
        <v>18</v>
      </c>
      <c r="C437" s="2" t="s">
        <v>41</v>
      </c>
      <c r="D437" s="2" t="s">
        <v>24</v>
      </c>
      <c r="E437" s="2" t="s">
        <v>56</v>
      </c>
      <c r="F437" s="5">
        <v>150778.0</v>
      </c>
      <c r="G437" s="5">
        <v>2985.0</v>
      </c>
      <c r="H437" s="5">
        <v>0.0198</v>
      </c>
      <c r="I437" s="5">
        <v>1.39</v>
      </c>
      <c r="J437" s="5">
        <v>4149.15</v>
      </c>
      <c r="K437" s="5">
        <v>59.0</v>
      </c>
      <c r="L437" s="5">
        <v>70.32</v>
      </c>
      <c r="M437" s="5">
        <v>16435.61</v>
      </c>
      <c r="N437" s="5">
        <v>3.96</v>
      </c>
      <c r="O437" s="6">
        <f t="shared" si="1"/>
        <v>70.32457627</v>
      </c>
      <c r="P437" s="6" t="str">
        <f t="shared" si="2"/>
        <v>Post-Shift</v>
      </c>
      <c r="Q437" s="3">
        <f t="shared" si="3"/>
        <v>47</v>
      </c>
    </row>
    <row r="438">
      <c r="A438" s="4" t="s">
        <v>197</v>
      </c>
      <c r="B438" s="2" t="s">
        <v>18</v>
      </c>
      <c r="C438" s="2" t="s">
        <v>27</v>
      </c>
      <c r="D438" s="2" t="s">
        <v>24</v>
      </c>
      <c r="E438" s="2" t="s">
        <v>33</v>
      </c>
      <c r="F438" s="5">
        <v>113500.0</v>
      </c>
      <c r="G438" s="5">
        <v>7604.0</v>
      </c>
      <c r="H438" s="5">
        <v>0.067</v>
      </c>
      <c r="I438" s="5">
        <v>1.3</v>
      </c>
      <c r="J438" s="5">
        <v>9885.2</v>
      </c>
      <c r="K438" s="5">
        <v>340.0</v>
      </c>
      <c r="L438" s="5">
        <v>29.07</v>
      </c>
      <c r="M438" s="5">
        <v>21520.64</v>
      </c>
      <c r="N438" s="5">
        <v>2.18</v>
      </c>
      <c r="O438" s="6">
        <f t="shared" si="1"/>
        <v>29.07411765</v>
      </c>
      <c r="P438" s="6" t="str">
        <f t="shared" si="2"/>
        <v>Post-Shift</v>
      </c>
      <c r="Q438" s="3">
        <f t="shared" si="3"/>
        <v>29</v>
      </c>
    </row>
    <row r="439">
      <c r="A439" s="4" t="s">
        <v>198</v>
      </c>
      <c r="B439" s="2" t="s">
        <v>38</v>
      </c>
      <c r="C439" s="2" t="s">
        <v>27</v>
      </c>
      <c r="D439" s="2" t="s">
        <v>24</v>
      </c>
      <c r="E439" s="2" t="s">
        <v>21</v>
      </c>
      <c r="F439" s="5">
        <v>140453.0</v>
      </c>
      <c r="G439" s="5">
        <v>4213.0</v>
      </c>
      <c r="H439" s="5">
        <v>0.03</v>
      </c>
      <c r="I439" s="5">
        <v>1.09</v>
      </c>
      <c r="J439" s="5">
        <v>4592.17</v>
      </c>
      <c r="K439" s="5">
        <v>56.0</v>
      </c>
      <c r="L439" s="5">
        <v>82.0</v>
      </c>
      <c r="M439" s="5">
        <v>4347.77</v>
      </c>
      <c r="N439" s="5">
        <v>0.95</v>
      </c>
      <c r="O439" s="6">
        <f t="shared" si="1"/>
        <v>82.00303571</v>
      </c>
      <c r="P439" s="6" t="str">
        <f t="shared" si="2"/>
        <v>Post-Shift</v>
      </c>
      <c r="Q439" s="3">
        <f t="shared" si="3"/>
        <v>44</v>
      </c>
    </row>
    <row r="440">
      <c r="A440" s="4" t="s">
        <v>205</v>
      </c>
      <c r="B440" s="2" t="s">
        <v>23</v>
      </c>
      <c r="C440" s="2" t="s">
        <v>41</v>
      </c>
      <c r="D440" s="2" t="s">
        <v>32</v>
      </c>
      <c r="E440" s="2" t="s">
        <v>33</v>
      </c>
      <c r="F440" s="5">
        <v>27936.0</v>
      </c>
      <c r="G440" s="5">
        <v>1402.0</v>
      </c>
      <c r="H440" s="5">
        <v>0.0502</v>
      </c>
      <c r="I440" s="5">
        <v>1.32</v>
      </c>
      <c r="J440" s="5">
        <v>1850.64</v>
      </c>
      <c r="K440" s="5">
        <v>99.0</v>
      </c>
      <c r="L440" s="5">
        <v>18.69</v>
      </c>
      <c r="M440" s="5">
        <v>26865.9</v>
      </c>
      <c r="N440" s="5">
        <v>14.52</v>
      </c>
      <c r="O440" s="6">
        <f t="shared" si="1"/>
        <v>18.69333333</v>
      </c>
      <c r="P440" s="6" t="str">
        <f t="shared" si="2"/>
        <v>Post-Shift</v>
      </c>
      <c r="Q440" s="3">
        <f t="shared" si="3"/>
        <v>17</v>
      </c>
    </row>
    <row r="441">
      <c r="A441" s="4" t="s">
        <v>64</v>
      </c>
      <c r="B441" s="2" t="s">
        <v>23</v>
      </c>
      <c r="C441" s="2" t="s">
        <v>41</v>
      </c>
      <c r="D441" s="2" t="s">
        <v>32</v>
      </c>
      <c r="E441" s="2" t="s">
        <v>25</v>
      </c>
      <c r="F441" s="5">
        <v>133303.0</v>
      </c>
      <c r="G441" s="5">
        <v>4225.0</v>
      </c>
      <c r="H441" s="5">
        <v>0.0317</v>
      </c>
      <c r="I441" s="5">
        <v>1.53</v>
      </c>
      <c r="J441" s="5">
        <v>6464.25</v>
      </c>
      <c r="K441" s="5">
        <v>139.0</v>
      </c>
      <c r="L441" s="5">
        <v>46.51</v>
      </c>
      <c r="M441" s="5">
        <v>8508.68</v>
      </c>
      <c r="N441" s="5">
        <v>1.32</v>
      </c>
      <c r="O441" s="6">
        <f t="shared" si="1"/>
        <v>46.50539568</v>
      </c>
      <c r="P441" s="6" t="str">
        <f t="shared" si="2"/>
        <v>Post-Shift</v>
      </c>
      <c r="Q441" s="3">
        <f t="shared" si="3"/>
        <v>9</v>
      </c>
    </row>
    <row r="442">
      <c r="A442" s="4">
        <v>45327.0</v>
      </c>
      <c r="B442" s="2" t="s">
        <v>18</v>
      </c>
      <c r="C442" s="2" t="s">
        <v>27</v>
      </c>
      <c r="D442" s="2" t="s">
        <v>24</v>
      </c>
      <c r="E442" s="2" t="s">
        <v>21</v>
      </c>
      <c r="F442" s="5">
        <v>117333.0</v>
      </c>
      <c r="G442" s="5">
        <v>2898.0</v>
      </c>
      <c r="H442" s="5">
        <v>0.0247</v>
      </c>
      <c r="I442" s="5">
        <v>3.93</v>
      </c>
      <c r="J442" s="5">
        <v>11389.14</v>
      </c>
      <c r="K442" s="5">
        <v>48.0</v>
      </c>
      <c r="L442" s="5">
        <v>237.27</v>
      </c>
      <c r="M442" s="5">
        <v>5367.73</v>
      </c>
      <c r="N442" s="5">
        <v>0.47</v>
      </c>
      <c r="O442" s="6">
        <f t="shared" si="1"/>
        <v>237.27375</v>
      </c>
      <c r="P442" s="6" t="str">
        <f t="shared" si="2"/>
        <v>Baseline</v>
      </c>
      <c r="Q442" s="3">
        <f t="shared" si="3"/>
        <v>18</v>
      </c>
    </row>
    <row r="443">
      <c r="A443" s="4" t="s">
        <v>149</v>
      </c>
      <c r="B443" s="2" t="s">
        <v>38</v>
      </c>
      <c r="C443" s="2" t="s">
        <v>41</v>
      </c>
      <c r="D443" s="2" t="s">
        <v>32</v>
      </c>
      <c r="E443" s="2" t="s">
        <v>30</v>
      </c>
      <c r="F443" s="5">
        <v>152680.0</v>
      </c>
      <c r="G443" s="5">
        <v>6214.0</v>
      </c>
      <c r="H443" s="5">
        <v>0.0407</v>
      </c>
      <c r="I443" s="5">
        <v>2.1</v>
      </c>
      <c r="J443" s="5">
        <v>13049.4</v>
      </c>
      <c r="K443" s="5">
        <v>283.0</v>
      </c>
      <c r="L443" s="5">
        <v>46.11</v>
      </c>
      <c r="M443" s="5">
        <v>13261.37</v>
      </c>
      <c r="N443" s="5">
        <v>1.02</v>
      </c>
      <c r="O443" s="6">
        <f t="shared" si="1"/>
        <v>46.11095406</v>
      </c>
      <c r="P443" s="6" t="str">
        <f t="shared" si="2"/>
        <v>Post-Shift</v>
      </c>
      <c r="Q443" s="3">
        <f t="shared" si="3"/>
        <v>37</v>
      </c>
    </row>
    <row r="444">
      <c r="A444" s="4" t="s">
        <v>206</v>
      </c>
      <c r="B444" s="2" t="s">
        <v>18</v>
      </c>
      <c r="C444" s="2" t="s">
        <v>41</v>
      </c>
      <c r="D444" s="2" t="s">
        <v>29</v>
      </c>
      <c r="E444" s="2" t="s">
        <v>30</v>
      </c>
      <c r="F444" s="5">
        <v>168384.0</v>
      </c>
      <c r="G444" s="5">
        <v>4681.0</v>
      </c>
      <c r="H444" s="5">
        <v>0.0278</v>
      </c>
      <c r="I444" s="5">
        <v>2.57</v>
      </c>
      <c r="J444" s="5">
        <v>12030.17</v>
      </c>
      <c r="K444" s="5">
        <v>267.0</v>
      </c>
      <c r="L444" s="5">
        <v>45.06</v>
      </c>
      <c r="M444" s="5">
        <v>58628.48</v>
      </c>
      <c r="N444" s="5">
        <v>4.87</v>
      </c>
      <c r="O444" s="6">
        <f t="shared" si="1"/>
        <v>45.05681648</v>
      </c>
      <c r="P444" s="6" t="str">
        <f t="shared" si="2"/>
        <v>Post-Shift</v>
      </c>
      <c r="Q444" s="3">
        <f t="shared" si="3"/>
        <v>38</v>
      </c>
    </row>
    <row r="445">
      <c r="A445" s="4" t="s">
        <v>207</v>
      </c>
      <c r="B445" s="2" t="s">
        <v>18</v>
      </c>
      <c r="C445" s="2" t="s">
        <v>41</v>
      </c>
      <c r="D445" s="2" t="s">
        <v>20</v>
      </c>
      <c r="E445" s="2" t="s">
        <v>58</v>
      </c>
      <c r="F445" s="5">
        <v>106026.0</v>
      </c>
      <c r="G445" s="5">
        <v>5152.0</v>
      </c>
      <c r="H445" s="5">
        <v>0.0486</v>
      </c>
      <c r="I445" s="5">
        <v>1.72</v>
      </c>
      <c r="J445" s="5">
        <v>8861.44</v>
      </c>
      <c r="K445" s="5">
        <v>240.0</v>
      </c>
      <c r="L445" s="5">
        <v>36.92</v>
      </c>
      <c r="M445" s="5">
        <v>50663.13</v>
      </c>
      <c r="N445" s="5">
        <v>5.72</v>
      </c>
      <c r="O445" s="6">
        <f t="shared" si="1"/>
        <v>36.92266667</v>
      </c>
      <c r="P445" s="6" t="str">
        <f t="shared" si="2"/>
        <v>Post-Shift</v>
      </c>
      <c r="Q445" s="3">
        <f t="shared" si="3"/>
        <v>34</v>
      </c>
    </row>
    <row r="446">
      <c r="A446" s="4" t="s">
        <v>44</v>
      </c>
      <c r="B446" s="2" t="s">
        <v>18</v>
      </c>
      <c r="C446" s="2" t="s">
        <v>19</v>
      </c>
      <c r="D446" s="2" t="s">
        <v>45</v>
      </c>
      <c r="E446" s="2" t="s">
        <v>33</v>
      </c>
      <c r="F446" s="5">
        <v>107364.0</v>
      </c>
      <c r="G446" s="5">
        <v>4895.0</v>
      </c>
      <c r="H446" s="5">
        <v>0.0456</v>
      </c>
      <c r="I446" s="5">
        <v>2.65</v>
      </c>
      <c r="J446" s="5">
        <v>12971.75</v>
      </c>
      <c r="K446" s="5">
        <v>200.0</v>
      </c>
      <c r="L446" s="5">
        <v>64.86</v>
      </c>
      <c r="M446" s="5">
        <v>42108.23</v>
      </c>
      <c r="N446" s="5">
        <v>3.25</v>
      </c>
      <c r="O446" s="6">
        <f t="shared" si="1"/>
        <v>64.85875</v>
      </c>
      <c r="P446" s="6" t="str">
        <f t="shared" si="2"/>
        <v>Post-Shift</v>
      </c>
      <c r="Q446" s="3">
        <f t="shared" si="3"/>
        <v>17</v>
      </c>
    </row>
    <row r="447">
      <c r="A447" s="4" t="s">
        <v>151</v>
      </c>
      <c r="B447" s="2" t="s">
        <v>18</v>
      </c>
      <c r="C447" s="2" t="s">
        <v>27</v>
      </c>
      <c r="D447" s="2" t="s">
        <v>24</v>
      </c>
      <c r="E447" s="2" t="s">
        <v>25</v>
      </c>
      <c r="F447" s="5">
        <v>132152.0</v>
      </c>
      <c r="G447" s="5">
        <v>7572.0</v>
      </c>
      <c r="H447" s="5">
        <v>0.0573</v>
      </c>
      <c r="I447" s="5">
        <v>1.14</v>
      </c>
      <c r="J447" s="5">
        <v>8632.08</v>
      </c>
      <c r="K447" s="5">
        <v>552.0</v>
      </c>
      <c r="L447" s="5">
        <v>15.64</v>
      </c>
      <c r="M447" s="5">
        <v>115644.5</v>
      </c>
      <c r="N447" s="5">
        <v>13.4</v>
      </c>
      <c r="O447" s="6">
        <f t="shared" si="1"/>
        <v>15.63782609</v>
      </c>
      <c r="P447" s="6" t="str">
        <f t="shared" si="2"/>
        <v>Post-Shift</v>
      </c>
      <c r="Q447" s="3">
        <f t="shared" si="3"/>
        <v>26</v>
      </c>
    </row>
    <row r="448">
      <c r="A448" s="4" t="s">
        <v>94</v>
      </c>
      <c r="B448" s="2" t="s">
        <v>18</v>
      </c>
      <c r="C448" s="2" t="s">
        <v>31</v>
      </c>
      <c r="D448" s="2" t="s">
        <v>20</v>
      </c>
      <c r="E448" s="2" t="s">
        <v>58</v>
      </c>
      <c r="F448" s="5">
        <v>116695.0</v>
      </c>
      <c r="G448" s="5">
        <v>5799.0</v>
      </c>
      <c r="H448" s="5">
        <v>0.0497</v>
      </c>
      <c r="I448" s="5">
        <v>3.13</v>
      </c>
      <c r="J448" s="5">
        <v>18150.87</v>
      </c>
      <c r="K448" s="5">
        <v>372.0</v>
      </c>
      <c r="L448" s="5">
        <v>48.79</v>
      </c>
      <c r="M448" s="5">
        <v>56034.95</v>
      </c>
      <c r="N448" s="5">
        <v>3.09</v>
      </c>
      <c r="O448" s="6">
        <f t="shared" si="1"/>
        <v>48.79266129</v>
      </c>
      <c r="P448" s="6" t="str">
        <f t="shared" si="2"/>
        <v>Post-Shift</v>
      </c>
      <c r="Q448" s="3">
        <f t="shared" si="3"/>
        <v>29</v>
      </c>
    </row>
    <row r="449">
      <c r="A449" s="4" t="s">
        <v>208</v>
      </c>
      <c r="B449" s="2" t="s">
        <v>38</v>
      </c>
      <c r="C449" s="2" t="s">
        <v>19</v>
      </c>
      <c r="D449" s="2" t="s">
        <v>45</v>
      </c>
      <c r="E449" s="2" t="s">
        <v>25</v>
      </c>
      <c r="F449" s="5">
        <v>116030.0</v>
      </c>
      <c r="G449" s="5">
        <v>4177.0</v>
      </c>
      <c r="H449" s="5">
        <v>0.036</v>
      </c>
      <c r="I449" s="5">
        <v>0.9</v>
      </c>
      <c r="J449" s="5">
        <v>3759.3</v>
      </c>
      <c r="K449" s="5">
        <v>188.0</v>
      </c>
      <c r="L449" s="5">
        <v>20.0</v>
      </c>
      <c r="M449" s="5">
        <v>8691.11</v>
      </c>
      <c r="N449" s="5">
        <v>2.31</v>
      </c>
      <c r="O449" s="6">
        <f t="shared" si="1"/>
        <v>19.9962766</v>
      </c>
      <c r="P449" s="6" t="str">
        <f t="shared" si="2"/>
        <v>Post-Shift</v>
      </c>
      <c r="Q449" s="3">
        <f t="shared" si="3"/>
        <v>48</v>
      </c>
    </row>
    <row r="450">
      <c r="A450" s="4">
        <v>45604.0</v>
      </c>
      <c r="B450" s="2" t="s">
        <v>23</v>
      </c>
      <c r="C450" s="2" t="s">
        <v>19</v>
      </c>
      <c r="D450" s="2" t="s">
        <v>45</v>
      </c>
      <c r="E450" s="2" t="s">
        <v>58</v>
      </c>
      <c r="F450" s="5">
        <v>164599.0</v>
      </c>
      <c r="G450" s="5">
        <v>11209.0</v>
      </c>
      <c r="H450" s="5">
        <v>0.0681</v>
      </c>
      <c r="I450" s="5">
        <v>0.41</v>
      </c>
      <c r="J450" s="5">
        <v>4595.69</v>
      </c>
      <c r="K450" s="5">
        <v>653.0</v>
      </c>
      <c r="L450" s="5">
        <v>7.04</v>
      </c>
      <c r="M450" s="5">
        <v>133415.0</v>
      </c>
      <c r="N450" s="5">
        <v>29.03</v>
      </c>
      <c r="O450" s="6">
        <f t="shared" si="1"/>
        <v>7.037810107</v>
      </c>
      <c r="P450" s="6" t="str">
        <f t="shared" si="2"/>
        <v>Post-Shift</v>
      </c>
      <c r="Q450" s="3">
        <f t="shared" si="3"/>
        <v>33</v>
      </c>
    </row>
    <row r="451">
      <c r="A451" s="4" t="s">
        <v>139</v>
      </c>
      <c r="B451" s="2" t="s">
        <v>23</v>
      </c>
      <c r="C451" s="2" t="s">
        <v>27</v>
      </c>
      <c r="D451" s="2" t="s">
        <v>20</v>
      </c>
      <c r="E451" s="2" t="s">
        <v>56</v>
      </c>
      <c r="F451" s="5">
        <v>188844.0</v>
      </c>
      <c r="G451" s="5">
        <v>12860.0</v>
      </c>
      <c r="H451" s="5">
        <v>0.0681</v>
      </c>
      <c r="I451" s="5">
        <v>0.98</v>
      </c>
      <c r="J451" s="5">
        <v>12602.8</v>
      </c>
      <c r="K451" s="5">
        <v>892.0</v>
      </c>
      <c r="L451" s="5">
        <v>14.13</v>
      </c>
      <c r="M451" s="5">
        <v>133607.6</v>
      </c>
      <c r="N451" s="5">
        <v>10.6</v>
      </c>
      <c r="O451" s="6">
        <f t="shared" si="1"/>
        <v>14.12869955</v>
      </c>
      <c r="P451" s="6" t="str">
        <f t="shared" si="2"/>
        <v>Post-Shift</v>
      </c>
      <c r="Q451" s="3">
        <f t="shared" si="3"/>
        <v>16</v>
      </c>
    </row>
    <row r="452">
      <c r="A452" s="4">
        <v>45574.0</v>
      </c>
      <c r="B452" s="2" t="s">
        <v>23</v>
      </c>
      <c r="C452" s="2" t="s">
        <v>19</v>
      </c>
      <c r="D452" s="2" t="s">
        <v>45</v>
      </c>
      <c r="E452" s="2" t="s">
        <v>36</v>
      </c>
      <c r="F452" s="5">
        <v>90468.0</v>
      </c>
      <c r="G452" s="5">
        <v>5753.0</v>
      </c>
      <c r="H452" s="5">
        <v>0.0636</v>
      </c>
      <c r="I452" s="5">
        <v>0.8</v>
      </c>
      <c r="J452" s="5">
        <v>4602.4</v>
      </c>
      <c r="K452" s="5">
        <v>141.0</v>
      </c>
      <c r="L452" s="5">
        <v>32.64</v>
      </c>
      <c r="M452" s="5">
        <v>12042.73</v>
      </c>
      <c r="N452" s="5">
        <v>2.62</v>
      </c>
      <c r="O452" s="6">
        <f t="shared" si="1"/>
        <v>32.64113475</v>
      </c>
      <c r="P452" s="6" t="str">
        <f t="shared" si="2"/>
        <v>Post-Shift</v>
      </c>
      <c r="Q452" s="3">
        <f t="shared" si="3"/>
        <v>37</v>
      </c>
    </row>
    <row r="453">
      <c r="A453" s="4" t="s">
        <v>91</v>
      </c>
      <c r="B453" s="2" t="s">
        <v>18</v>
      </c>
      <c r="C453" s="2" t="s">
        <v>27</v>
      </c>
      <c r="D453" s="2" t="s">
        <v>45</v>
      </c>
      <c r="E453" s="2" t="s">
        <v>58</v>
      </c>
      <c r="F453" s="5">
        <v>117223.0</v>
      </c>
      <c r="G453" s="5">
        <v>7935.0</v>
      </c>
      <c r="H453" s="5">
        <v>0.0677</v>
      </c>
      <c r="I453" s="5">
        <v>2.02</v>
      </c>
      <c r="J453" s="5">
        <v>16028.7</v>
      </c>
      <c r="K453" s="5">
        <v>166.0</v>
      </c>
      <c r="L453" s="5">
        <v>96.56</v>
      </c>
      <c r="M453" s="5">
        <v>47449.87</v>
      </c>
      <c r="N453" s="5">
        <v>2.96</v>
      </c>
      <c r="O453" s="6">
        <f t="shared" si="1"/>
        <v>96.55843373</v>
      </c>
      <c r="P453" s="6" t="str">
        <f t="shared" si="2"/>
        <v>Post-Shift</v>
      </c>
      <c r="Q453" s="3">
        <f t="shared" si="3"/>
        <v>26</v>
      </c>
    </row>
    <row r="454">
      <c r="A454" s="4" t="s">
        <v>82</v>
      </c>
      <c r="B454" s="2" t="s">
        <v>23</v>
      </c>
      <c r="C454" s="2" t="s">
        <v>31</v>
      </c>
      <c r="D454" s="2" t="s">
        <v>32</v>
      </c>
      <c r="E454" s="2" t="s">
        <v>33</v>
      </c>
      <c r="F454" s="5">
        <v>93478.0</v>
      </c>
      <c r="G454" s="5">
        <v>5786.0</v>
      </c>
      <c r="H454" s="5">
        <v>0.0619</v>
      </c>
      <c r="I454" s="5">
        <v>0.42</v>
      </c>
      <c r="J454" s="5">
        <v>2430.12</v>
      </c>
      <c r="K454" s="5">
        <v>272.0</v>
      </c>
      <c r="L454" s="5">
        <v>8.93</v>
      </c>
      <c r="M454" s="5">
        <v>27905.19</v>
      </c>
      <c r="N454" s="5">
        <v>11.48</v>
      </c>
      <c r="O454" s="6">
        <f t="shared" si="1"/>
        <v>8.934264706</v>
      </c>
      <c r="P454" s="6" t="str">
        <f t="shared" si="2"/>
        <v>Post-Shift</v>
      </c>
      <c r="Q454" s="3">
        <f t="shared" si="3"/>
        <v>13</v>
      </c>
    </row>
    <row r="455">
      <c r="A455" s="4" t="s">
        <v>72</v>
      </c>
      <c r="B455" s="2" t="s">
        <v>18</v>
      </c>
      <c r="C455" s="2" t="s">
        <v>27</v>
      </c>
      <c r="D455" s="2" t="s">
        <v>24</v>
      </c>
      <c r="E455" s="2" t="s">
        <v>36</v>
      </c>
      <c r="F455" s="5">
        <v>9134.0</v>
      </c>
      <c r="G455" s="5">
        <v>228.0</v>
      </c>
      <c r="H455" s="5">
        <v>0.025</v>
      </c>
      <c r="I455" s="5">
        <v>1.39</v>
      </c>
      <c r="J455" s="5">
        <v>316.92</v>
      </c>
      <c r="K455" s="5">
        <v>2.0</v>
      </c>
      <c r="L455" s="5">
        <v>158.46</v>
      </c>
      <c r="M455" s="5">
        <v>329.55</v>
      </c>
      <c r="N455" s="5">
        <v>1.04</v>
      </c>
      <c r="O455" s="6">
        <f t="shared" si="1"/>
        <v>158.46</v>
      </c>
      <c r="P455" s="6" t="str">
        <f t="shared" si="2"/>
        <v>Post-Shift</v>
      </c>
      <c r="Q455" s="3">
        <f t="shared" si="3"/>
        <v>48</v>
      </c>
    </row>
    <row r="456">
      <c r="A456" s="4">
        <v>45570.0</v>
      </c>
      <c r="B456" s="2" t="s">
        <v>38</v>
      </c>
      <c r="C456" s="2" t="s">
        <v>41</v>
      </c>
      <c r="D456" s="2" t="s">
        <v>45</v>
      </c>
      <c r="E456" s="2" t="s">
        <v>21</v>
      </c>
      <c r="F456" s="5">
        <v>29485.0</v>
      </c>
      <c r="G456" s="5">
        <v>1341.0</v>
      </c>
      <c r="H456" s="5">
        <v>0.0455</v>
      </c>
      <c r="I456" s="5">
        <v>1.41</v>
      </c>
      <c r="J456" s="5">
        <v>1890.81</v>
      </c>
      <c r="K456" s="5">
        <v>46.0</v>
      </c>
      <c r="L456" s="5">
        <v>41.1</v>
      </c>
      <c r="M456" s="5">
        <v>4626.55</v>
      </c>
      <c r="N456" s="5">
        <v>2.45</v>
      </c>
      <c r="O456" s="6">
        <f t="shared" si="1"/>
        <v>41.10456522</v>
      </c>
      <c r="P456" s="6" t="str">
        <f t="shared" si="2"/>
        <v>Post-Shift</v>
      </c>
      <c r="Q456" s="3">
        <f t="shared" si="3"/>
        <v>19</v>
      </c>
    </row>
    <row r="457">
      <c r="A457" s="4" t="s">
        <v>148</v>
      </c>
      <c r="B457" s="2" t="s">
        <v>23</v>
      </c>
      <c r="C457" s="2" t="s">
        <v>27</v>
      </c>
      <c r="D457" s="2" t="s">
        <v>32</v>
      </c>
      <c r="E457" s="2" t="s">
        <v>36</v>
      </c>
      <c r="F457" s="5">
        <v>22221.0</v>
      </c>
      <c r="G457" s="5">
        <v>1706.0</v>
      </c>
      <c r="H457" s="5">
        <v>0.0768</v>
      </c>
      <c r="I457" s="5">
        <v>0.5</v>
      </c>
      <c r="J457" s="5">
        <v>853.0</v>
      </c>
      <c r="K457" s="5">
        <v>74.0</v>
      </c>
      <c r="L457" s="5">
        <v>11.53</v>
      </c>
      <c r="M457" s="5">
        <v>14659.06</v>
      </c>
      <c r="N457" s="5">
        <v>17.19</v>
      </c>
      <c r="O457" s="6">
        <f t="shared" si="1"/>
        <v>11.52702703</v>
      </c>
      <c r="P457" s="6" t="str">
        <f t="shared" si="2"/>
        <v>Post-Shift</v>
      </c>
      <c r="Q457" s="3">
        <f t="shared" si="3"/>
        <v>52</v>
      </c>
    </row>
    <row r="458">
      <c r="A458" s="4" t="s">
        <v>194</v>
      </c>
      <c r="B458" s="2" t="s">
        <v>18</v>
      </c>
      <c r="C458" s="2" t="s">
        <v>41</v>
      </c>
      <c r="D458" s="2" t="s">
        <v>32</v>
      </c>
      <c r="E458" s="2" t="s">
        <v>33</v>
      </c>
      <c r="F458" s="5">
        <v>178567.0</v>
      </c>
      <c r="G458" s="5">
        <v>8374.0</v>
      </c>
      <c r="H458" s="5">
        <v>0.0469</v>
      </c>
      <c r="I458" s="5">
        <v>1.33</v>
      </c>
      <c r="J458" s="5">
        <v>11137.42</v>
      </c>
      <c r="K458" s="5">
        <v>98.0</v>
      </c>
      <c r="L458" s="5">
        <v>113.65</v>
      </c>
      <c r="M458" s="5">
        <v>8808.29</v>
      </c>
      <c r="N458" s="5">
        <v>0.79</v>
      </c>
      <c r="O458" s="6">
        <f t="shared" si="1"/>
        <v>113.6471429</v>
      </c>
      <c r="P458" s="6" t="str">
        <f t="shared" si="2"/>
        <v>Post-Shift</v>
      </c>
      <c r="Q458" s="3">
        <f t="shared" si="3"/>
        <v>25</v>
      </c>
    </row>
    <row r="459">
      <c r="A459" s="4">
        <v>45453.0</v>
      </c>
      <c r="B459" s="2" t="s">
        <v>23</v>
      </c>
      <c r="C459" s="2" t="s">
        <v>41</v>
      </c>
      <c r="D459" s="2" t="s">
        <v>45</v>
      </c>
      <c r="E459" s="2" t="s">
        <v>58</v>
      </c>
      <c r="F459" s="5">
        <v>93074.0</v>
      </c>
      <c r="G459" s="5">
        <v>4225.0</v>
      </c>
      <c r="H459" s="5">
        <v>0.0454</v>
      </c>
      <c r="I459" s="5">
        <v>1.54</v>
      </c>
      <c r="J459" s="5">
        <v>6506.5</v>
      </c>
      <c r="K459" s="5">
        <v>300.0</v>
      </c>
      <c r="L459" s="5">
        <v>21.69</v>
      </c>
      <c r="M459" s="5">
        <v>11467.08</v>
      </c>
      <c r="N459" s="5">
        <v>1.76</v>
      </c>
      <c r="O459" s="6">
        <f t="shared" si="1"/>
        <v>21.68833333</v>
      </c>
      <c r="P459" s="6" t="str">
        <f t="shared" si="2"/>
        <v>Baseline</v>
      </c>
      <c r="Q459" s="3">
        <f t="shared" si="3"/>
        <v>41</v>
      </c>
    </row>
    <row r="460">
      <c r="A460" s="4" t="s">
        <v>117</v>
      </c>
      <c r="B460" s="2" t="s">
        <v>18</v>
      </c>
      <c r="C460" s="2" t="s">
        <v>19</v>
      </c>
      <c r="D460" s="2" t="s">
        <v>29</v>
      </c>
      <c r="E460" s="2" t="s">
        <v>58</v>
      </c>
      <c r="F460" s="5">
        <v>155840.0</v>
      </c>
      <c r="G460" s="5">
        <v>4566.0</v>
      </c>
      <c r="H460" s="5">
        <v>0.0293</v>
      </c>
      <c r="I460" s="5">
        <v>1.12</v>
      </c>
      <c r="J460" s="5">
        <v>5113.92</v>
      </c>
      <c r="K460" s="5">
        <v>312.0</v>
      </c>
      <c r="L460" s="5">
        <v>16.39</v>
      </c>
      <c r="M460" s="5">
        <v>40138.5</v>
      </c>
      <c r="N460" s="5">
        <v>7.85</v>
      </c>
      <c r="O460" s="6">
        <f t="shared" si="1"/>
        <v>16.39076923</v>
      </c>
      <c r="P460" s="6" t="str">
        <f t="shared" si="2"/>
        <v>Post-Shift</v>
      </c>
      <c r="Q460" s="3">
        <f t="shared" si="3"/>
        <v>52</v>
      </c>
    </row>
    <row r="461">
      <c r="A461" s="4" t="s">
        <v>209</v>
      </c>
      <c r="B461" s="2" t="s">
        <v>23</v>
      </c>
      <c r="C461" s="2" t="s">
        <v>41</v>
      </c>
      <c r="D461" s="2" t="s">
        <v>45</v>
      </c>
      <c r="E461" s="2" t="s">
        <v>56</v>
      </c>
      <c r="F461" s="5">
        <v>21956.0</v>
      </c>
      <c r="G461" s="5">
        <v>1611.0</v>
      </c>
      <c r="H461" s="5">
        <v>0.0734</v>
      </c>
      <c r="I461" s="5">
        <v>1.41</v>
      </c>
      <c r="J461" s="5">
        <v>2271.51</v>
      </c>
      <c r="K461" s="5">
        <v>79.0</v>
      </c>
      <c r="L461" s="5">
        <v>28.75</v>
      </c>
      <c r="M461" s="5">
        <v>9545.28</v>
      </c>
      <c r="N461" s="5">
        <v>4.2</v>
      </c>
      <c r="O461" s="6">
        <f t="shared" si="1"/>
        <v>28.75329114</v>
      </c>
      <c r="P461" s="6" t="str">
        <f t="shared" si="2"/>
        <v>Post-Shift</v>
      </c>
      <c r="Q461" s="3">
        <f t="shared" si="3"/>
        <v>30</v>
      </c>
    </row>
    <row r="462">
      <c r="A462" s="4">
        <v>45448.0</v>
      </c>
      <c r="B462" s="2" t="s">
        <v>38</v>
      </c>
      <c r="C462" s="2" t="s">
        <v>19</v>
      </c>
      <c r="D462" s="2" t="s">
        <v>45</v>
      </c>
      <c r="E462" s="2" t="s">
        <v>30</v>
      </c>
      <c r="F462" s="5">
        <v>177224.0</v>
      </c>
      <c r="G462" s="5">
        <v>2374.0</v>
      </c>
      <c r="H462" s="5">
        <v>0.0134</v>
      </c>
      <c r="I462" s="5">
        <v>1.57</v>
      </c>
      <c r="J462" s="5">
        <v>3727.18</v>
      </c>
      <c r="K462" s="5">
        <v>142.0</v>
      </c>
      <c r="L462" s="5">
        <v>26.25</v>
      </c>
      <c r="M462" s="5">
        <v>18303.42</v>
      </c>
      <c r="N462" s="5">
        <v>4.91</v>
      </c>
      <c r="O462" s="6">
        <f t="shared" si="1"/>
        <v>26.24774648</v>
      </c>
      <c r="P462" s="6" t="str">
        <f t="shared" si="2"/>
        <v>Baseline</v>
      </c>
      <c r="Q462" s="3">
        <f t="shared" si="3"/>
        <v>19</v>
      </c>
    </row>
    <row r="463">
      <c r="A463" s="4">
        <v>45393.0</v>
      </c>
      <c r="B463" s="2" t="s">
        <v>18</v>
      </c>
      <c r="C463" s="2" t="s">
        <v>19</v>
      </c>
      <c r="D463" s="2" t="s">
        <v>24</v>
      </c>
      <c r="E463" s="2" t="s">
        <v>21</v>
      </c>
      <c r="F463" s="5">
        <v>93720.0</v>
      </c>
      <c r="G463" s="5">
        <v>2661.0</v>
      </c>
      <c r="H463" s="5">
        <v>0.0284</v>
      </c>
      <c r="I463" s="5">
        <v>1.7</v>
      </c>
      <c r="J463" s="5">
        <v>4523.7</v>
      </c>
      <c r="K463" s="5">
        <v>104.0</v>
      </c>
      <c r="L463" s="5">
        <v>43.5</v>
      </c>
      <c r="M463" s="5">
        <v>18904.07</v>
      </c>
      <c r="N463" s="5">
        <v>4.18</v>
      </c>
      <c r="O463" s="6">
        <f t="shared" si="1"/>
        <v>43.49711538</v>
      </c>
      <c r="P463" s="6" t="str">
        <f t="shared" si="2"/>
        <v>Baseline</v>
      </c>
      <c r="Q463" s="3">
        <f t="shared" si="3"/>
        <v>45</v>
      </c>
    </row>
    <row r="464">
      <c r="A464" s="4" t="s">
        <v>81</v>
      </c>
      <c r="B464" s="2" t="s">
        <v>18</v>
      </c>
      <c r="C464" s="2" t="s">
        <v>41</v>
      </c>
      <c r="D464" s="2" t="s">
        <v>24</v>
      </c>
      <c r="E464" s="2" t="s">
        <v>30</v>
      </c>
      <c r="F464" s="5">
        <v>169909.0</v>
      </c>
      <c r="G464" s="5">
        <v>7781.0</v>
      </c>
      <c r="H464" s="5">
        <v>0.0458</v>
      </c>
      <c r="I464" s="5">
        <v>2.5</v>
      </c>
      <c r="J464" s="5">
        <v>19452.5</v>
      </c>
      <c r="K464" s="5">
        <v>124.0</v>
      </c>
      <c r="L464" s="5">
        <v>156.88</v>
      </c>
      <c r="M464" s="5">
        <v>26123.28</v>
      </c>
      <c r="N464" s="5">
        <v>1.34</v>
      </c>
      <c r="O464" s="6">
        <f t="shared" si="1"/>
        <v>156.875</v>
      </c>
      <c r="P464" s="6" t="str">
        <f t="shared" si="2"/>
        <v>Post-Shift</v>
      </c>
      <c r="Q464" s="3">
        <f t="shared" si="3"/>
        <v>22</v>
      </c>
    </row>
    <row r="465">
      <c r="A465" s="4">
        <v>45420.0</v>
      </c>
      <c r="B465" s="2" t="s">
        <v>38</v>
      </c>
      <c r="C465" s="2" t="s">
        <v>27</v>
      </c>
      <c r="D465" s="2" t="s">
        <v>29</v>
      </c>
      <c r="E465" s="2" t="s">
        <v>30</v>
      </c>
      <c r="F465" s="5">
        <v>46548.0</v>
      </c>
      <c r="G465" s="5">
        <v>1047.0</v>
      </c>
      <c r="H465" s="5">
        <v>0.0225</v>
      </c>
      <c r="I465" s="5">
        <v>1.55</v>
      </c>
      <c r="J465" s="5">
        <v>1622.85</v>
      </c>
      <c r="K465" s="5">
        <v>28.0</v>
      </c>
      <c r="L465" s="5">
        <v>57.96</v>
      </c>
      <c r="M465" s="5">
        <v>7800.92</v>
      </c>
      <c r="N465" s="5">
        <v>4.81</v>
      </c>
      <c r="O465" s="6">
        <f t="shared" si="1"/>
        <v>57.95892857</v>
      </c>
      <c r="P465" s="6" t="str">
        <f t="shared" si="2"/>
        <v>Baseline</v>
      </c>
      <c r="Q465" s="3">
        <f t="shared" si="3"/>
        <v>32</v>
      </c>
    </row>
    <row r="466">
      <c r="A466" s="4">
        <v>45516.0</v>
      </c>
      <c r="B466" s="2" t="s">
        <v>38</v>
      </c>
      <c r="C466" s="2" t="s">
        <v>19</v>
      </c>
      <c r="D466" s="2" t="s">
        <v>29</v>
      </c>
      <c r="E466" s="2" t="s">
        <v>30</v>
      </c>
      <c r="F466" s="5">
        <v>6875.0</v>
      </c>
      <c r="G466" s="5">
        <v>158.0</v>
      </c>
      <c r="H466" s="5">
        <v>0.0231</v>
      </c>
      <c r="I466" s="5">
        <v>1.83</v>
      </c>
      <c r="J466" s="5">
        <v>289.14</v>
      </c>
      <c r="K466" s="5">
        <v>2.0</v>
      </c>
      <c r="L466" s="5">
        <v>144.57</v>
      </c>
      <c r="M466" s="5">
        <v>386.94</v>
      </c>
      <c r="N466" s="5">
        <v>1.34</v>
      </c>
      <c r="O466" s="6">
        <f t="shared" si="1"/>
        <v>144.57</v>
      </c>
      <c r="P466" s="6" t="str">
        <f t="shared" si="2"/>
        <v>Post-Shift</v>
      </c>
      <c r="Q466" s="3">
        <f t="shared" si="3"/>
        <v>50</v>
      </c>
    </row>
    <row r="467">
      <c r="A467" s="4" t="s">
        <v>60</v>
      </c>
      <c r="B467" s="2" t="s">
        <v>18</v>
      </c>
      <c r="C467" s="2" t="s">
        <v>19</v>
      </c>
      <c r="D467" s="2" t="s">
        <v>32</v>
      </c>
      <c r="E467" s="2" t="s">
        <v>56</v>
      </c>
      <c r="F467" s="5">
        <v>106975.0</v>
      </c>
      <c r="G467" s="5">
        <v>4300.0</v>
      </c>
      <c r="H467" s="5">
        <v>0.0402</v>
      </c>
      <c r="I467" s="5">
        <v>2.39</v>
      </c>
      <c r="J467" s="5">
        <v>10277.0</v>
      </c>
      <c r="K467" s="5">
        <v>335.0</v>
      </c>
      <c r="L467" s="5">
        <v>30.68</v>
      </c>
      <c r="M467" s="5">
        <v>35904.36</v>
      </c>
      <c r="N467" s="5">
        <v>3.49</v>
      </c>
      <c r="O467" s="6">
        <f t="shared" si="1"/>
        <v>30.67761194</v>
      </c>
      <c r="P467" s="6" t="str">
        <f t="shared" si="2"/>
        <v>Post-Shift</v>
      </c>
      <c r="Q467" s="3">
        <f t="shared" si="3"/>
        <v>52</v>
      </c>
    </row>
    <row r="468">
      <c r="A468" s="4">
        <v>45506.0</v>
      </c>
      <c r="B468" s="2" t="s">
        <v>18</v>
      </c>
      <c r="C468" s="2" t="s">
        <v>31</v>
      </c>
      <c r="D468" s="2" t="s">
        <v>32</v>
      </c>
      <c r="E468" s="2" t="s">
        <v>25</v>
      </c>
      <c r="F468" s="5">
        <v>10574.0</v>
      </c>
      <c r="G468" s="5">
        <v>389.0</v>
      </c>
      <c r="H468" s="5">
        <v>0.0368</v>
      </c>
      <c r="I468" s="5">
        <v>2.59</v>
      </c>
      <c r="J468" s="5">
        <v>1007.51</v>
      </c>
      <c r="K468" s="5">
        <v>6.0</v>
      </c>
      <c r="L468" s="5">
        <v>167.92</v>
      </c>
      <c r="M468" s="5">
        <v>908.68</v>
      </c>
      <c r="N468" s="5">
        <v>0.9</v>
      </c>
      <c r="O468" s="6">
        <f t="shared" si="1"/>
        <v>167.9183333</v>
      </c>
      <c r="P468" s="6" t="str">
        <f t="shared" si="2"/>
        <v>Post-Shift</v>
      </c>
      <c r="Q468" s="3">
        <f t="shared" si="3"/>
        <v>6</v>
      </c>
    </row>
    <row r="469">
      <c r="A469" s="4" t="s">
        <v>187</v>
      </c>
      <c r="B469" s="2" t="s">
        <v>23</v>
      </c>
      <c r="C469" s="2" t="s">
        <v>27</v>
      </c>
      <c r="D469" s="2" t="s">
        <v>20</v>
      </c>
      <c r="E469" s="2" t="s">
        <v>58</v>
      </c>
      <c r="F469" s="5">
        <v>147658.0</v>
      </c>
      <c r="G469" s="5">
        <v>6939.0</v>
      </c>
      <c r="H469" s="5">
        <v>0.047</v>
      </c>
      <c r="I469" s="5">
        <v>0.86</v>
      </c>
      <c r="J469" s="5">
        <v>5967.54</v>
      </c>
      <c r="K469" s="5">
        <v>282.0</v>
      </c>
      <c r="L469" s="5">
        <v>21.16</v>
      </c>
      <c r="M469" s="5">
        <v>39581.75</v>
      </c>
      <c r="N469" s="5">
        <v>6.63</v>
      </c>
      <c r="O469" s="6">
        <f t="shared" si="1"/>
        <v>21.16148936</v>
      </c>
      <c r="P469" s="6" t="str">
        <f t="shared" si="2"/>
        <v>Post-Shift</v>
      </c>
      <c r="Q469" s="3">
        <f t="shared" si="3"/>
        <v>29</v>
      </c>
    </row>
    <row r="470">
      <c r="A470" s="4">
        <v>45328.0</v>
      </c>
      <c r="B470" s="2" t="s">
        <v>38</v>
      </c>
      <c r="C470" s="2" t="s">
        <v>31</v>
      </c>
      <c r="D470" s="2" t="s">
        <v>32</v>
      </c>
      <c r="E470" s="2" t="s">
        <v>36</v>
      </c>
      <c r="F470" s="5">
        <v>52013.0</v>
      </c>
      <c r="G470" s="5">
        <v>1565.0</v>
      </c>
      <c r="H470" s="5">
        <v>0.0301</v>
      </c>
      <c r="I470" s="5">
        <v>1.03</v>
      </c>
      <c r="J470" s="5">
        <v>1611.95</v>
      </c>
      <c r="K470" s="5">
        <v>23.0</v>
      </c>
      <c r="L470" s="5">
        <v>70.08</v>
      </c>
      <c r="M470" s="5">
        <v>6481.69</v>
      </c>
      <c r="N470" s="5">
        <v>4.02</v>
      </c>
      <c r="O470" s="6">
        <f t="shared" si="1"/>
        <v>70.08478261</v>
      </c>
      <c r="P470" s="6" t="str">
        <f t="shared" si="2"/>
        <v>Baseline</v>
      </c>
      <c r="Q470" s="3">
        <f t="shared" si="3"/>
        <v>23</v>
      </c>
    </row>
    <row r="471">
      <c r="A471" s="4" t="s">
        <v>210</v>
      </c>
      <c r="B471" s="2" t="s">
        <v>18</v>
      </c>
      <c r="C471" s="2" t="s">
        <v>19</v>
      </c>
      <c r="D471" s="2" t="s">
        <v>45</v>
      </c>
      <c r="E471" s="2" t="s">
        <v>56</v>
      </c>
      <c r="F471" s="5">
        <v>49484.0</v>
      </c>
      <c r="G471" s="5">
        <v>1118.0</v>
      </c>
      <c r="H471" s="5">
        <v>0.0226</v>
      </c>
      <c r="I471" s="5">
        <v>2.05</v>
      </c>
      <c r="J471" s="5">
        <v>2291.9</v>
      </c>
      <c r="K471" s="5">
        <v>79.0</v>
      </c>
      <c r="L471" s="5">
        <v>29.01</v>
      </c>
      <c r="M471" s="5">
        <v>18417.53</v>
      </c>
      <c r="N471" s="5">
        <v>8.04</v>
      </c>
      <c r="O471" s="6">
        <f t="shared" si="1"/>
        <v>29.01139241</v>
      </c>
      <c r="P471" s="6" t="str">
        <f t="shared" si="2"/>
        <v>Post-Shift</v>
      </c>
      <c r="Q471" s="3">
        <f t="shared" si="3"/>
        <v>42</v>
      </c>
    </row>
    <row r="472">
      <c r="A472" s="4">
        <v>45389.0</v>
      </c>
      <c r="B472" s="2" t="s">
        <v>18</v>
      </c>
      <c r="C472" s="2" t="s">
        <v>19</v>
      </c>
      <c r="D472" s="2" t="s">
        <v>29</v>
      </c>
      <c r="E472" s="2" t="s">
        <v>30</v>
      </c>
      <c r="F472" s="5">
        <v>18877.0</v>
      </c>
      <c r="G472" s="5">
        <v>545.0</v>
      </c>
      <c r="H472" s="5">
        <v>0.0289</v>
      </c>
      <c r="I472" s="5">
        <v>3.2</v>
      </c>
      <c r="J472" s="5">
        <v>1744.0</v>
      </c>
      <c r="K472" s="5">
        <v>26.0</v>
      </c>
      <c r="L472" s="5">
        <v>67.08</v>
      </c>
      <c r="M472" s="5">
        <v>5981.0</v>
      </c>
      <c r="N472" s="5">
        <v>3.43</v>
      </c>
      <c r="O472" s="6">
        <f t="shared" si="1"/>
        <v>67.07692308</v>
      </c>
      <c r="P472" s="6" t="str">
        <f t="shared" si="2"/>
        <v>Baseline</v>
      </c>
      <c r="Q472" s="3">
        <f t="shared" si="3"/>
        <v>27</v>
      </c>
    </row>
    <row r="473">
      <c r="A473" s="4" t="s">
        <v>98</v>
      </c>
      <c r="B473" s="2" t="s">
        <v>38</v>
      </c>
      <c r="C473" s="2" t="s">
        <v>31</v>
      </c>
      <c r="D473" s="2" t="s">
        <v>29</v>
      </c>
      <c r="E473" s="2" t="s">
        <v>25</v>
      </c>
      <c r="F473" s="5">
        <v>106505.0</v>
      </c>
      <c r="G473" s="5">
        <v>1022.0</v>
      </c>
      <c r="H473" s="5">
        <v>0.0096</v>
      </c>
      <c r="I473" s="5">
        <v>1.8</v>
      </c>
      <c r="J473" s="5">
        <v>1839.6</v>
      </c>
      <c r="K473" s="5">
        <v>27.0</v>
      </c>
      <c r="L473" s="5">
        <v>68.13</v>
      </c>
      <c r="M473" s="5">
        <v>2467.18</v>
      </c>
      <c r="N473" s="5">
        <v>1.34</v>
      </c>
      <c r="O473" s="6">
        <f t="shared" si="1"/>
        <v>68.13333333</v>
      </c>
      <c r="P473" s="6" t="str">
        <f t="shared" si="2"/>
        <v>Post-Shift</v>
      </c>
      <c r="Q473" s="3">
        <f t="shared" si="3"/>
        <v>16</v>
      </c>
    </row>
    <row r="474">
      <c r="A474" s="4" t="s">
        <v>116</v>
      </c>
      <c r="B474" s="2" t="s">
        <v>18</v>
      </c>
      <c r="C474" s="2" t="s">
        <v>19</v>
      </c>
      <c r="D474" s="2" t="s">
        <v>45</v>
      </c>
      <c r="E474" s="2" t="s">
        <v>56</v>
      </c>
      <c r="F474" s="5">
        <v>65107.0</v>
      </c>
      <c r="G474" s="5">
        <v>1777.0</v>
      </c>
      <c r="H474" s="5">
        <v>0.0273</v>
      </c>
      <c r="I474" s="5">
        <v>1.63</v>
      </c>
      <c r="J474" s="5">
        <v>2896.51</v>
      </c>
      <c r="K474" s="5">
        <v>128.0</v>
      </c>
      <c r="L474" s="5">
        <v>22.63</v>
      </c>
      <c r="M474" s="5">
        <v>29612.56</v>
      </c>
      <c r="N474" s="5">
        <v>10.22</v>
      </c>
      <c r="O474" s="6">
        <f t="shared" si="1"/>
        <v>22.62898438</v>
      </c>
      <c r="P474" s="6" t="str">
        <f t="shared" si="2"/>
        <v>Post-Shift</v>
      </c>
      <c r="Q474" s="3">
        <f t="shared" si="3"/>
        <v>21</v>
      </c>
    </row>
    <row r="475">
      <c r="A475" s="4">
        <v>45325.0</v>
      </c>
      <c r="B475" s="2" t="s">
        <v>18</v>
      </c>
      <c r="C475" s="2" t="s">
        <v>31</v>
      </c>
      <c r="D475" s="2" t="s">
        <v>32</v>
      </c>
      <c r="E475" s="2" t="s">
        <v>56</v>
      </c>
      <c r="F475" s="5">
        <v>69839.0</v>
      </c>
      <c r="G475" s="5">
        <v>1620.0</v>
      </c>
      <c r="H475" s="5">
        <v>0.0232</v>
      </c>
      <c r="I475" s="5">
        <v>1.26</v>
      </c>
      <c r="J475" s="5">
        <v>2041.2</v>
      </c>
      <c r="K475" s="5">
        <v>80.0</v>
      </c>
      <c r="L475" s="5">
        <v>25.52</v>
      </c>
      <c r="M475" s="5">
        <v>22785.52</v>
      </c>
      <c r="N475" s="5">
        <v>11.16</v>
      </c>
      <c r="O475" s="6">
        <f t="shared" si="1"/>
        <v>25.515</v>
      </c>
      <c r="P475" s="6" t="str">
        <f t="shared" si="2"/>
        <v>Baseline</v>
      </c>
      <c r="Q475" s="3">
        <f t="shared" si="3"/>
        <v>9</v>
      </c>
    </row>
    <row r="476">
      <c r="A476" s="4" t="s">
        <v>64</v>
      </c>
      <c r="B476" s="2" t="s">
        <v>18</v>
      </c>
      <c r="C476" s="2" t="s">
        <v>27</v>
      </c>
      <c r="D476" s="2" t="s">
        <v>32</v>
      </c>
      <c r="E476" s="2" t="s">
        <v>30</v>
      </c>
      <c r="F476" s="5">
        <v>104794.0</v>
      </c>
      <c r="G476" s="5">
        <v>5920.0</v>
      </c>
      <c r="H476" s="5">
        <v>0.0565</v>
      </c>
      <c r="I476" s="5">
        <v>3.66</v>
      </c>
      <c r="J476" s="5">
        <v>21667.2</v>
      </c>
      <c r="K476" s="5">
        <v>359.0</v>
      </c>
      <c r="L476" s="5">
        <v>60.35</v>
      </c>
      <c r="M476" s="5">
        <v>21837.83</v>
      </c>
      <c r="N476" s="5">
        <v>1.01</v>
      </c>
      <c r="O476" s="6">
        <f t="shared" si="1"/>
        <v>60.35431755</v>
      </c>
      <c r="P476" s="6" t="str">
        <f t="shared" si="2"/>
        <v>Post-Shift</v>
      </c>
      <c r="Q476" s="3">
        <f t="shared" si="3"/>
        <v>9</v>
      </c>
    </row>
    <row r="477">
      <c r="A477" s="4" t="s">
        <v>184</v>
      </c>
      <c r="B477" s="2" t="s">
        <v>38</v>
      </c>
      <c r="C477" s="2" t="s">
        <v>27</v>
      </c>
      <c r="D477" s="2" t="s">
        <v>24</v>
      </c>
      <c r="E477" s="2" t="s">
        <v>30</v>
      </c>
      <c r="F477" s="5">
        <v>33549.0</v>
      </c>
      <c r="G477" s="5">
        <v>1224.0</v>
      </c>
      <c r="H477" s="5">
        <v>0.0365</v>
      </c>
      <c r="I477" s="5">
        <v>0.76</v>
      </c>
      <c r="J477" s="5">
        <v>930.24</v>
      </c>
      <c r="K477" s="5">
        <v>89.0</v>
      </c>
      <c r="L477" s="5">
        <v>10.45</v>
      </c>
      <c r="M477" s="5">
        <v>26101.34</v>
      </c>
      <c r="N477" s="5">
        <v>28.06</v>
      </c>
      <c r="O477" s="6">
        <f t="shared" si="1"/>
        <v>10.45213483</v>
      </c>
      <c r="P477" s="6" t="str">
        <f t="shared" si="2"/>
        <v>Post-Shift</v>
      </c>
      <c r="Q477" s="3">
        <f t="shared" si="3"/>
        <v>16</v>
      </c>
    </row>
    <row r="478">
      <c r="A478" s="4" t="s">
        <v>111</v>
      </c>
      <c r="B478" s="2" t="s">
        <v>18</v>
      </c>
      <c r="C478" s="2" t="s">
        <v>27</v>
      </c>
      <c r="D478" s="2" t="s">
        <v>32</v>
      </c>
      <c r="E478" s="2" t="s">
        <v>33</v>
      </c>
      <c r="F478" s="5">
        <v>133027.0</v>
      </c>
      <c r="G478" s="5">
        <v>7808.0</v>
      </c>
      <c r="H478" s="5">
        <v>0.0587</v>
      </c>
      <c r="I478" s="5">
        <v>1.26</v>
      </c>
      <c r="J478" s="5">
        <v>9838.08</v>
      </c>
      <c r="K478" s="5">
        <v>153.0</v>
      </c>
      <c r="L478" s="5">
        <v>64.3</v>
      </c>
      <c r="M478" s="5">
        <v>22193.12</v>
      </c>
      <c r="N478" s="5">
        <v>2.26</v>
      </c>
      <c r="O478" s="6">
        <f t="shared" si="1"/>
        <v>64.30117647</v>
      </c>
      <c r="P478" s="6" t="str">
        <f t="shared" si="2"/>
        <v>Post-Shift</v>
      </c>
      <c r="Q478" s="3">
        <f t="shared" si="3"/>
        <v>7</v>
      </c>
    </row>
    <row r="479">
      <c r="A479" s="4">
        <v>45637.0</v>
      </c>
      <c r="B479" s="2" t="s">
        <v>38</v>
      </c>
      <c r="C479" s="2" t="s">
        <v>27</v>
      </c>
      <c r="D479" s="2" t="s">
        <v>24</v>
      </c>
      <c r="E479" s="2" t="s">
        <v>33</v>
      </c>
      <c r="F479" s="5">
        <v>27419.0</v>
      </c>
      <c r="G479" s="5">
        <v>1192.0</v>
      </c>
      <c r="H479" s="5">
        <v>0.0435</v>
      </c>
      <c r="I479" s="5">
        <v>1.83</v>
      </c>
      <c r="J479" s="5">
        <v>2181.36</v>
      </c>
      <c r="K479" s="5">
        <v>38.0</v>
      </c>
      <c r="L479" s="5">
        <v>57.4</v>
      </c>
      <c r="M479" s="5">
        <v>5935.39</v>
      </c>
      <c r="N479" s="5">
        <v>2.72</v>
      </c>
      <c r="O479" s="6">
        <f t="shared" si="1"/>
        <v>57.40421053</v>
      </c>
      <c r="P479" s="6" t="str">
        <f t="shared" si="2"/>
        <v>Post-Shift</v>
      </c>
      <c r="Q479" s="3">
        <f t="shared" si="3"/>
        <v>46</v>
      </c>
    </row>
    <row r="480">
      <c r="A480" s="4" t="s">
        <v>65</v>
      </c>
      <c r="B480" s="2" t="s">
        <v>18</v>
      </c>
      <c r="C480" s="2" t="s">
        <v>27</v>
      </c>
      <c r="D480" s="2" t="s">
        <v>29</v>
      </c>
      <c r="E480" s="2" t="s">
        <v>36</v>
      </c>
      <c r="F480" s="5">
        <v>102648.0</v>
      </c>
      <c r="G480" s="5">
        <v>2330.0</v>
      </c>
      <c r="H480" s="5">
        <v>0.0227</v>
      </c>
      <c r="I480" s="5">
        <v>2.55</v>
      </c>
      <c r="J480" s="5">
        <v>5941.5</v>
      </c>
      <c r="K480" s="5">
        <v>157.0</v>
      </c>
      <c r="L480" s="5">
        <v>37.84</v>
      </c>
      <c r="M480" s="5">
        <v>28653.63</v>
      </c>
      <c r="N480" s="5">
        <v>4.82</v>
      </c>
      <c r="O480" s="6">
        <f t="shared" si="1"/>
        <v>37.84394904</v>
      </c>
      <c r="P480" s="6" t="str">
        <f t="shared" si="2"/>
        <v>Post-Shift</v>
      </c>
      <c r="Q480" s="3">
        <f t="shared" si="3"/>
        <v>21</v>
      </c>
    </row>
    <row r="481">
      <c r="A481" s="4" t="s">
        <v>115</v>
      </c>
      <c r="B481" s="2" t="s">
        <v>18</v>
      </c>
      <c r="C481" s="2" t="s">
        <v>41</v>
      </c>
      <c r="D481" s="2" t="s">
        <v>45</v>
      </c>
      <c r="E481" s="2" t="s">
        <v>36</v>
      </c>
      <c r="F481" s="5">
        <v>181687.0</v>
      </c>
      <c r="G481" s="5">
        <v>8321.0</v>
      </c>
      <c r="H481" s="5">
        <v>0.0458</v>
      </c>
      <c r="I481" s="5">
        <v>3.14</v>
      </c>
      <c r="J481" s="5">
        <v>26127.94</v>
      </c>
      <c r="K481" s="5">
        <v>651.0</v>
      </c>
      <c r="L481" s="5">
        <v>40.14</v>
      </c>
      <c r="M481" s="5">
        <v>189283.5</v>
      </c>
      <c r="N481" s="5">
        <v>7.24</v>
      </c>
      <c r="O481" s="6">
        <f t="shared" si="1"/>
        <v>40.13508449</v>
      </c>
      <c r="P481" s="6" t="str">
        <f t="shared" si="2"/>
        <v>Post-Shift</v>
      </c>
      <c r="Q481" s="3">
        <f t="shared" si="3"/>
        <v>3</v>
      </c>
    </row>
    <row r="482">
      <c r="A482" s="4" t="s">
        <v>211</v>
      </c>
      <c r="B482" s="2" t="s">
        <v>18</v>
      </c>
      <c r="C482" s="2" t="s">
        <v>41</v>
      </c>
      <c r="D482" s="2" t="s">
        <v>32</v>
      </c>
      <c r="E482" s="2" t="s">
        <v>25</v>
      </c>
      <c r="F482" s="5">
        <v>166792.0</v>
      </c>
      <c r="G482" s="5">
        <v>6071.0</v>
      </c>
      <c r="H482" s="5">
        <v>0.0364</v>
      </c>
      <c r="I482" s="5">
        <v>3.15</v>
      </c>
      <c r="J482" s="5">
        <v>19123.65</v>
      </c>
      <c r="K482" s="5">
        <v>323.0</v>
      </c>
      <c r="L482" s="5">
        <v>59.21</v>
      </c>
      <c r="M482" s="5">
        <v>23590.83</v>
      </c>
      <c r="N482" s="5">
        <v>1.23</v>
      </c>
      <c r="O482" s="6">
        <f t="shared" si="1"/>
        <v>59.20634675</v>
      </c>
      <c r="P482" s="6" t="str">
        <f t="shared" si="2"/>
        <v>Post-Shift</v>
      </c>
      <c r="Q482" s="3">
        <f t="shared" si="3"/>
        <v>30</v>
      </c>
    </row>
    <row r="483">
      <c r="A483" s="4" t="s">
        <v>202</v>
      </c>
      <c r="B483" s="2" t="s">
        <v>23</v>
      </c>
      <c r="C483" s="2" t="s">
        <v>19</v>
      </c>
      <c r="D483" s="2" t="s">
        <v>32</v>
      </c>
      <c r="E483" s="2" t="s">
        <v>30</v>
      </c>
      <c r="F483" s="5">
        <v>7889.0</v>
      </c>
      <c r="G483" s="5">
        <v>416.0</v>
      </c>
      <c r="H483" s="5">
        <v>0.0528</v>
      </c>
      <c r="I483" s="5">
        <v>1.0</v>
      </c>
      <c r="J483" s="5">
        <v>416.0</v>
      </c>
      <c r="K483" s="5">
        <v>16.0</v>
      </c>
      <c r="L483" s="5">
        <v>26.0</v>
      </c>
      <c r="M483" s="5">
        <v>2147.95</v>
      </c>
      <c r="N483" s="5">
        <v>5.16</v>
      </c>
      <c r="O483" s="6">
        <f t="shared" si="1"/>
        <v>26</v>
      </c>
      <c r="P483" s="6" t="str">
        <f t="shared" si="2"/>
        <v>Post-Shift</v>
      </c>
      <c r="Q483" s="3">
        <f t="shared" si="3"/>
        <v>26</v>
      </c>
    </row>
    <row r="484">
      <c r="A484" s="4" t="s">
        <v>212</v>
      </c>
      <c r="B484" s="2" t="s">
        <v>38</v>
      </c>
      <c r="C484" s="2" t="s">
        <v>27</v>
      </c>
      <c r="D484" s="2" t="s">
        <v>45</v>
      </c>
      <c r="E484" s="2" t="s">
        <v>56</v>
      </c>
      <c r="F484" s="5">
        <v>129746.0</v>
      </c>
      <c r="G484" s="5">
        <v>4891.0</v>
      </c>
      <c r="H484" s="5">
        <v>0.0377</v>
      </c>
      <c r="I484" s="5">
        <v>1.81</v>
      </c>
      <c r="J484" s="5">
        <v>8852.71</v>
      </c>
      <c r="K484" s="5">
        <v>117.0</v>
      </c>
      <c r="L484" s="5">
        <v>75.66</v>
      </c>
      <c r="M484" s="5">
        <v>26101.17</v>
      </c>
      <c r="N484" s="5">
        <v>2.95</v>
      </c>
      <c r="O484" s="6">
        <f t="shared" si="1"/>
        <v>75.66418803</v>
      </c>
      <c r="P484" s="6" t="str">
        <f t="shared" si="2"/>
        <v>Post-Shift</v>
      </c>
      <c r="Q484" s="3">
        <f t="shared" si="3"/>
        <v>46</v>
      </c>
    </row>
    <row r="485">
      <c r="A485" s="4" t="s">
        <v>161</v>
      </c>
      <c r="B485" s="2" t="s">
        <v>18</v>
      </c>
      <c r="C485" s="2" t="s">
        <v>41</v>
      </c>
      <c r="D485" s="2" t="s">
        <v>45</v>
      </c>
      <c r="E485" s="2" t="s">
        <v>33</v>
      </c>
      <c r="F485" s="5">
        <v>94506.0</v>
      </c>
      <c r="G485" s="5">
        <v>3269.0</v>
      </c>
      <c r="H485" s="5">
        <v>0.0346</v>
      </c>
      <c r="I485" s="5">
        <v>1.56</v>
      </c>
      <c r="J485" s="5">
        <v>5099.64</v>
      </c>
      <c r="K485" s="5">
        <v>193.0</v>
      </c>
      <c r="L485" s="5">
        <v>26.42</v>
      </c>
      <c r="M485" s="5">
        <v>7342.38</v>
      </c>
      <c r="N485" s="5">
        <v>1.44</v>
      </c>
      <c r="O485" s="6">
        <f t="shared" si="1"/>
        <v>26.42300518</v>
      </c>
      <c r="P485" s="6" t="str">
        <f t="shared" si="2"/>
        <v>Post-Shift</v>
      </c>
      <c r="Q485" s="3">
        <f t="shared" si="3"/>
        <v>12</v>
      </c>
    </row>
    <row r="486">
      <c r="A486" s="4" t="s">
        <v>71</v>
      </c>
      <c r="B486" s="2" t="s">
        <v>18</v>
      </c>
      <c r="C486" s="2" t="s">
        <v>41</v>
      </c>
      <c r="D486" s="2" t="s">
        <v>24</v>
      </c>
      <c r="E486" s="2" t="s">
        <v>36</v>
      </c>
      <c r="F486" s="5">
        <v>12086.0</v>
      </c>
      <c r="G486" s="5">
        <v>594.0</v>
      </c>
      <c r="H486" s="5">
        <v>0.0492</v>
      </c>
      <c r="I486" s="5">
        <v>2.46</v>
      </c>
      <c r="J486" s="5">
        <v>1461.24</v>
      </c>
      <c r="K486" s="5">
        <v>21.0</v>
      </c>
      <c r="L486" s="5">
        <v>69.58</v>
      </c>
      <c r="M486" s="5">
        <v>3418.15</v>
      </c>
      <c r="N486" s="5">
        <v>2.34</v>
      </c>
      <c r="O486" s="6">
        <f t="shared" si="1"/>
        <v>69.58285714</v>
      </c>
      <c r="P486" s="6" t="str">
        <f t="shared" si="2"/>
        <v>Post-Shift</v>
      </c>
      <c r="Q486" s="3">
        <f t="shared" si="3"/>
        <v>20</v>
      </c>
    </row>
    <row r="487">
      <c r="A487" s="4">
        <v>45478.0</v>
      </c>
      <c r="B487" s="2" t="s">
        <v>23</v>
      </c>
      <c r="C487" s="2" t="s">
        <v>41</v>
      </c>
      <c r="D487" s="2" t="s">
        <v>32</v>
      </c>
      <c r="E487" s="2" t="s">
        <v>25</v>
      </c>
      <c r="F487" s="5">
        <v>145497.0</v>
      </c>
      <c r="G487" s="5">
        <v>4743.0</v>
      </c>
      <c r="H487" s="5">
        <v>0.0326</v>
      </c>
      <c r="I487" s="5">
        <v>0.35</v>
      </c>
      <c r="J487" s="5">
        <v>1660.05</v>
      </c>
      <c r="K487" s="5">
        <v>313.0</v>
      </c>
      <c r="L487" s="5">
        <v>5.3</v>
      </c>
      <c r="M487" s="5">
        <v>81349.35</v>
      </c>
      <c r="N487" s="5">
        <v>49.0</v>
      </c>
      <c r="O487" s="6">
        <f t="shared" si="1"/>
        <v>5.303674121</v>
      </c>
      <c r="P487" s="6" t="str">
        <f t="shared" si="2"/>
        <v>Post-Shift</v>
      </c>
      <c r="Q487" s="3">
        <f t="shared" si="3"/>
        <v>19</v>
      </c>
    </row>
    <row r="488">
      <c r="A488" s="4" t="s">
        <v>213</v>
      </c>
      <c r="B488" s="2" t="s">
        <v>38</v>
      </c>
      <c r="C488" s="2" t="s">
        <v>19</v>
      </c>
      <c r="D488" s="2" t="s">
        <v>24</v>
      </c>
      <c r="E488" s="2" t="s">
        <v>21</v>
      </c>
      <c r="F488" s="5">
        <v>14491.0</v>
      </c>
      <c r="G488" s="5">
        <v>259.0</v>
      </c>
      <c r="H488" s="5">
        <v>0.0179</v>
      </c>
      <c r="I488" s="5">
        <v>1.7</v>
      </c>
      <c r="J488" s="5">
        <v>440.3</v>
      </c>
      <c r="K488" s="5">
        <v>3.0</v>
      </c>
      <c r="L488" s="5">
        <v>146.77</v>
      </c>
      <c r="M488" s="5">
        <v>260.32</v>
      </c>
      <c r="N488" s="5">
        <v>0.59</v>
      </c>
      <c r="O488" s="6">
        <f t="shared" si="1"/>
        <v>146.7666667</v>
      </c>
      <c r="P488" s="6" t="str">
        <f t="shared" si="2"/>
        <v>Post-Shift</v>
      </c>
      <c r="Q488" s="3">
        <f t="shared" si="3"/>
        <v>20</v>
      </c>
    </row>
    <row r="489">
      <c r="A489" s="4" t="s">
        <v>87</v>
      </c>
      <c r="B489" s="2" t="s">
        <v>38</v>
      </c>
      <c r="C489" s="2" t="s">
        <v>31</v>
      </c>
      <c r="D489" s="2" t="s">
        <v>20</v>
      </c>
      <c r="E489" s="2" t="s">
        <v>21</v>
      </c>
      <c r="F489" s="5">
        <v>156043.0</v>
      </c>
      <c r="G489" s="5">
        <v>4478.0</v>
      </c>
      <c r="H489" s="5">
        <v>0.0287</v>
      </c>
      <c r="I489" s="5">
        <v>1.33</v>
      </c>
      <c r="J489" s="5">
        <v>5955.74</v>
      </c>
      <c r="K489" s="5">
        <v>193.0</v>
      </c>
      <c r="L489" s="5">
        <v>30.86</v>
      </c>
      <c r="M489" s="5">
        <v>22322.38</v>
      </c>
      <c r="N489" s="5">
        <v>3.75</v>
      </c>
      <c r="O489" s="6">
        <f t="shared" si="1"/>
        <v>30.85875648</v>
      </c>
      <c r="P489" s="6" t="str">
        <f t="shared" si="2"/>
        <v>Post-Shift</v>
      </c>
      <c r="Q489" s="3">
        <f t="shared" si="3"/>
        <v>11</v>
      </c>
    </row>
    <row r="490">
      <c r="A490" s="4" t="s">
        <v>129</v>
      </c>
      <c r="B490" s="2" t="s">
        <v>23</v>
      </c>
      <c r="C490" s="2" t="s">
        <v>41</v>
      </c>
      <c r="D490" s="2" t="s">
        <v>29</v>
      </c>
      <c r="E490" s="2" t="s">
        <v>25</v>
      </c>
      <c r="F490" s="5">
        <v>115304.0</v>
      </c>
      <c r="G490" s="5">
        <v>3551.0</v>
      </c>
      <c r="H490" s="5">
        <v>0.0308</v>
      </c>
      <c r="I490" s="5">
        <v>1.56</v>
      </c>
      <c r="J490" s="5">
        <v>5539.56</v>
      </c>
      <c r="K490" s="5">
        <v>232.0</v>
      </c>
      <c r="L490" s="5">
        <v>23.88</v>
      </c>
      <c r="M490" s="5">
        <v>22178.1</v>
      </c>
      <c r="N490" s="5">
        <v>4.0</v>
      </c>
      <c r="O490" s="6">
        <f t="shared" si="1"/>
        <v>23.87741379</v>
      </c>
      <c r="P490" s="6" t="str">
        <f t="shared" si="2"/>
        <v>Post-Shift</v>
      </c>
      <c r="Q490" s="3">
        <f t="shared" si="3"/>
        <v>29</v>
      </c>
    </row>
    <row r="491">
      <c r="A491" s="4" t="s">
        <v>189</v>
      </c>
      <c r="B491" s="2" t="s">
        <v>23</v>
      </c>
      <c r="C491" s="2" t="s">
        <v>31</v>
      </c>
      <c r="D491" s="2" t="s">
        <v>20</v>
      </c>
      <c r="E491" s="2" t="s">
        <v>21</v>
      </c>
      <c r="F491" s="5">
        <v>132571.0</v>
      </c>
      <c r="G491" s="5">
        <v>9147.0</v>
      </c>
      <c r="H491" s="5">
        <v>0.069</v>
      </c>
      <c r="I491" s="5">
        <v>1.02</v>
      </c>
      <c r="J491" s="5">
        <v>9329.94</v>
      </c>
      <c r="K491" s="5">
        <v>502.0</v>
      </c>
      <c r="L491" s="5">
        <v>18.59</v>
      </c>
      <c r="M491" s="5">
        <v>55471.3</v>
      </c>
      <c r="N491" s="5">
        <v>5.95</v>
      </c>
      <c r="O491" s="6">
        <f t="shared" si="1"/>
        <v>18.58553785</v>
      </c>
      <c r="P491" s="6" t="str">
        <f t="shared" si="2"/>
        <v>Post-Shift</v>
      </c>
      <c r="Q491" s="3">
        <f t="shared" si="3"/>
        <v>39</v>
      </c>
    </row>
    <row r="492">
      <c r="A492" s="4" t="s">
        <v>43</v>
      </c>
      <c r="B492" s="2" t="s">
        <v>18</v>
      </c>
      <c r="C492" s="2" t="s">
        <v>41</v>
      </c>
      <c r="D492" s="2" t="s">
        <v>45</v>
      </c>
      <c r="E492" s="2" t="s">
        <v>21</v>
      </c>
      <c r="F492" s="5">
        <v>92502.0</v>
      </c>
      <c r="G492" s="5">
        <v>2960.0</v>
      </c>
      <c r="H492" s="5">
        <v>0.032</v>
      </c>
      <c r="I492" s="5">
        <v>2.06</v>
      </c>
      <c r="J492" s="5">
        <v>6097.6</v>
      </c>
      <c r="K492" s="5">
        <v>201.0</v>
      </c>
      <c r="L492" s="5">
        <v>30.34</v>
      </c>
      <c r="M492" s="5">
        <v>47885.36</v>
      </c>
      <c r="N492" s="5">
        <v>7.85</v>
      </c>
      <c r="O492" s="6">
        <f t="shared" si="1"/>
        <v>30.33631841</v>
      </c>
      <c r="P492" s="6" t="str">
        <f t="shared" si="2"/>
        <v>Post-Shift</v>
      </c>
      <c r="Q492" s="3">
        <f t="shared" si="3"/>
        <v>46</v>
      </c>
    </row>
    <row r="493">
      <c r="A493" s="4" t="s">
        <v>214</v>
      </c>
      <c r="B493" s="2" t="s">
        <v>18</v>
      </c>
      <c r="C493" s="2" t="s">
        <v>41</v>
      </c>
      <c r="D493" s="2" t="s">
        <v>24</v>
      </c>
      <c r="E493" s="2" t="s">
        <v>30</v>
      </c>
      <c r="F493" s="5">
        <v>133792.0</v>
      </c>
      <c r="G493" s="5">
        <v>6943.0</v>
      </c>
      <c r="H493" s="5">
        <v>0.0519</v>
      </c>
      <c r="I493" s="5">
        <v>2.35</v>
      </c>
      <c r="J493" s="5">
        <v>16316.05</v>
      </c>
      <c r="K493" s="5">
        <v>186.0</v>
      </c>
      <c r="L493" s="5">
        <v>87.72</v>
      </c>
      <c r="M493" s="5">
        <v>17630.23</v>
      </c>
      <c r="N493" s="5">
        <v>1.08</v>
      </c>
      <c r="O493" s="6">
        <f t="shared" si="1"/>
        <v>87.72069892</v>
      </c>
      <c r="P493" s="6" t="str">
        <f t="shared" si="2"/>
        <v>Post-Shift</v>
      </c>
      <c r="Q493" s="3">
        <f t="shared" si="3"/>
        <v>47</v>
      </c>
    </row>
    <row r="494">
      <c r="A494" s="4" t="s">
        <v>60</v>
      </c>
      <c r="B494" s="2" t="s">
        <v>18</v>
      </c>
      <c r="C494" s="2" t="s">
        <v>41</v>
      </c>
      <c r="D494" s="2" t="s">
        <v>24</v>
      </c>
      <c r="E494" s="2" t="s">
        <v>25</v>
      </c>
      <c r="F494" s="5">
        <v>77258.0</v>
      </c>
      <c r="G494" s="5">
        <v>3963.0</v>
      </c>
      <c r="H494" s="5">
        <v>0.0513</v>
      </c>
      <c r="I494" s="5">
        <v>1.8</v>
      </c>
      <c r="J494" s="5">
        <v>7133.4</v>
      </c>
      <c r="K494" s="5">
        <v>135.0</v>
      </c>
      <c r="L494" s="5">
        <v>52.84</v>
      </c>
      <c r="M494" s="5">
        <v>34518.13</v>
      </c>
      <c r="N494" s="5">
        <v>4.84</v>
      </c>
      <c r="O494" s="6">
        <f t="shared" si="1"/>
        <v>52.84</v>
      </c>
      <c r="P494" s="6" t="str">
        <f t="shared" si="2"/>
        <v>Post-Shift</v>
      </c>
      <c r="Q494" s="3">
        <f t="shared" si="3"/>
        <v>52</v>
      </c>
    </row>
    <row r="495">
      <c r="A495" s="4">
        <v>45570.0</v>
      </c>
      <c r="B495" s="2" t="s">
        <v>18</v>
      </c>
      <c r="C495" s="2" t="s">
        <v>41</v>
      </c>
      <c r="D495" s="2" t="s">
        <v>24</v>
      </c>
      <c r="E495" s="2" t="s">
        <v>21</v>
      </c>
      <c r="F495" s="5">
        <v>74672.0</v>
      </c>
      <c r="G495" s="5">
        <v>2665.0</v>
      </c>
      <c r="H495" s="5">
        <v>0.0357</v>
      </c>
      <c r="I495" s="5">
        <v>1.56</v>
      </c>
      <c r="J495" s="5">
        <v>4157.4</v>
      </c>
      <c r="K495" s="5">
        <v>129.0</v>
      </c>
      <c r="L495" s="5">
        <v>32.23</v>
      </c>
      <c r="M495" s="5">
        <v>32318.91</v>
      </c>
      <c r="N495" s="5">
        <v>7.77</v>
      </c>
      <c r="O495" s="6">
        <f t="shared" si="1"/>
        <v>32.22790698</v>
      </c>
      <c r="P495" s="6" t="str">
        <f t="shared" si="2"/>
        <v>Post-Shift</v>
      </c>
      <c r="Q495" s="3">
        <f t="shared" si="3"/>
        <v>19</v>
      </c>
    </row>
    <row r="496">
      <c r="A496" s="4" t="s">
        <v>139</v>
      </c>
      <c r="B496" s="2" t="s">
        <v>23</v>
      </c>
      <c r="C496" s="2" t="s">
        <v>19</v>
      </c>
      <c r="D496" s="2" t="s">
        <v>29</v>
      </c>
      <c r="E496" s="2" t="s">
        <v>58</v>
      </c>
      <c r="F496" s="5">
        <v>41558.0</v>
      </c>
      <c r="G496" s="5">
        <v>1757.0</v>
      </c>
      <c r="H496" s="5">
        <v>0.0423</v>
      </c>
      <c r="I496" s="5">
        <v>1.21</v>
      </c>
      <c r="J496" s="5">
        <v>2125.97</v>
      </c>
      <c r="K496" s="5">
        <v>72.0</v>
      </c>
      <c r="L496" s="5">
        <v>29.53</v>
      </c>
      <c r="M496" s="5">
        <v>18414.15</v>
      </c>
      <c r="N496" s="5">
        <v>8.66</v>
      </c>
      <c r="O496" s="6">
        <f t="shared" si="1"/>
        <v>29.52736111</v>
      </c>
      <c r="P496" s="6" t="str">
        <f t="shared" si="2"/>
        <v>Post-Shift</v>
      </c>
      <c r="Q496" s="3">
        <f t="shared" si="3"/>
        <v>16</v>
      </c>
    </row>
    <row r="497">
      <c r="A497" s="4">
        <v>45424.0</v>
      </c>
      <c r="B497" s="2" t="s">
        <v>18</v>
      </c>
      <c r="C497" s="2" t="s">
        <v>31</v>
      </c>
      <c r="D497" s="2" t="s">
        <v>29</v>
      </c>
      <c r="E497" s="2" t="s">
        <v>58</v>
      </c>
      <c r="F497" s="5">
        <v>134560.0</v>
      </c>
      <c r="G497" s="5">
        <v>5947.0</v>
      </c>
      <c r="H497" s="5">
        <v>0.0442</v>
      </c>
      <c r="I497" s="5">
        <v>2.84</v>
      </c>
      <c r="J497" s="5">
        <v>16889.48</v>
      </c>
      <c r="K497" s="5">
        <v>144.0</v>
      </c>
      <c r="L497" s="5">
        <v>117.29</v>
      </c>
      <c r="M497" s="5">
        <v>23257.77</v>
      </c>
      <c r="N497" s="5">
        <v>1.38</v>
      </c>
      <c r="O497" s="6">
        <f t="shared" si="1"/>
        <v>117.2880556</v>
      </c>
      <c r="P497" s="6" t="str">
        <f t="shared" si="2"/>
        <v>Baseline</v>
      </c>
      <c r="Q497" s="3">
        <f t="shared" si="3"/>
        <v>49</v>
      </c>
    </row>
    <row r="498">
      <c r="A498" s="4" t="s">
        <v>47</v>
      </c>
      <c r="B498" s="2" t="s">
        <v>23</v>
      </c>
      <c r="C498" s="2" t="s">
        <v>19</v>
      </c>
      <c r="D498" s="2" t="s">
        <v>45</v>
      </c>
      <c r="E498" s="2" t="s">
        <v>36</v>
      </c>
      <c r="F498" s="5">
        <v>143518.0</v>
      </c>
      <c r="G498" s="5">
        <v>10491.0</v>
      </c>
      <c r="H498" s="5">
        <v>0.0731</v>
      </c>
      <c r="I498" s="5">
        <v>0.85</v>
      </c>
      <c r="J498" s="5">
        <v>8917.35</v>
      </c>
      <c r="K498" s="5">
        <v>313.0</v>
      </c>
      <c r="L498" s="5">
        <v>28.49</v>
      </c>
      <c r="M498" s="5">
        <v>46285.52</v>
      </c>
      <c r="N498" s="5">
        <v>5.19</v>
      </c>
      <c r="O498" s="6">
        <f t="shared" si="1"/>
        <v>28.4899361</v>
      </c>
      <c r="P498" s="6" t="str">
        <f t="shared" si="2"/>
        <v>Post-Shift</v>
      </c>
      <c r="Q498" s="3">
        <f t="shared" si="3"/>
        <v>22</v>
      </c>
    </row>
    <row r="499">
      <c r="A499" s="4">
        <v>45545.0</v>
      </c>
      <c r="B499" s="2" t="s">
        <v>38</v>
      </c>
      <c r="C499" s="2" t="s">
        <v>27</v>
      </c>
      <c r="D499" s="2" t="s">
        <v>20</v>
      </c>
      <c r="E499" s="2" t="s">
        <v>25</v>
      </c>
      <c r="F499" s="5">
        <v>7402.0</v>
      </c>
      <c r="G499" s="5">
        <v>91.0</v>
      </c>
      <c r="H499" s="5">
        <v>0.0124</v>
      </c>
      <c r="I499" s="5">
        <v>2.08</v>
      </c>
      <c r="J499" s="5">
        <v>189.28</v>
      </c>
      <c r="K499" s="5">
        <v>6.0</v>
      </c>
      <c r="L499" s="5">
        <v>31.55</v>
      </c>
      <c r="M499" s="5">
        <v>1105.17</v>
      </c>
      <c r="N499" s="5">
        <v>5.84</v>
      </c>
      <c r="O499" s="6">
        <f t="shared" si="1"/>
        <v>31.54666667</v>
      </c>
      <c r="P499" s="6" t="str">
        <f t="shared" si="2"/>
        <v>Post-Shift</v>
      </c>
      <c r="Q499" s="3">
        <f t="shared" si="3"/>
        <v>41</v>
      </c>
    </row>
    <row r="500">
      <c r="A500" s="4" t="s">
        <v>135</v>
      </c>
      <c r="B500" s="2" t="s">
        <v>18</v>
      </c>
      <c r="C500" s="2" t="s">
        <v>31</v>
      </c>
      <c r="D500" s="2" t="s">
        <v>24</v>
      </c>
      <c r="E500" s="2" t="s">
        <v>58</v>
      </c>
      <c r="F500" s="5">
        <v>49225.0</v>
      </c>
      <c r="G500" s="5">
        <v>2367.0</v>
      </c>
      <c r="H500" s="5">
        <v>0.0481</v>
      </c>
      <c r="I500" s="5">
        <v>1.84</v>
      </c>
      <c r="J500" s="5">
        <v>4355.28</v>
      </c>
      <c r="K500" s="5">
        <v>137.0</v>
      </c>
      <c r="L500" s="5">
        <v>31.79</v>
      </c>
      <c r="M500" s="5">
        <v>8811.53</v>
      </c>
      <c r="N500" s="5">
        <v>2.02</v>
      </c>
      <c r="O500" s="6">
        <f t="shared" si="1"/>
        <v>31.79036496</v>
      </c>
      <c r="P500" s="6" t="str">
        <f t="shared" si="2"/>
        <v>Post-Shift</v>
      </c>
      <c r="Q500" s="3">
        <f t="shared" si="3"/>
        <v>39</v>
      </c>
    </row>
    <row r="501">
      <c r="A501" s="4" t="s">
        <v>165</v>
      </c>
      <c r="B501" s="2" t="s">
        <v>18</v>
      </c>
      <c r="C501" s="2" t="s">
        <v>27</v>
      </c>
      <c r="D501" s="2" t="s">
        <v>29</v>
      </c>
      <c r="E501" s="2" t="s">
        <v>56</v>
      </c>
      <c r="F501" s="5">
        <v>173678.0</v>
      </c>
      <c r="G501" s="5">
        <v>11428.0</v>
      </c>
      <c r="H501" s="5">
        <v>0.0658</v>
      </c>
      <c r="I501" s="5">
        <v>2.11</v>
      </c>
      <c r="J501" s="5">
        <v>24113.08</v>
      </c>
      <c r="K501" s="5">
        <v>310.0</v>
      </c>
      <c r="L501" s="5">
        <v>77.78</v>
      </c>
      <c r="M501" s="5">
        <v>83080.36</v>
      </c>
      <c r="N501" s="5">
        <v>3.45</v>
      </c>
      <c r="O501" s="6">
        <f t="shared" si="1"/>
        <v>77.78412903</v>
      </c>
      <c r="P501" s="6" t="str">
        <f t="shared" si="2"/>
        <v>Post-Shift</v>
      </c>
      <c r="Q501" s="3">
        <f t="shared" si="3"/>
        <v>31</v>
      </c>
    </row>
    <row r="502">
      <c r="A502" s="4">
        <v>45476.0</v>
      </c>
      <c r="B502" s="2" t="s">
        <v>38</v>
      </c>
      <c r="C502" s="2" t="s">
        <v>41</v>
      </c>
      <c r="D502" s="2" t="s">
        <v>29</v>
      </c>
      <c r="E502" s="2" t="s">
        <v>58</v>
      </c>
      <c r="F502" s="5">
        <v>92793.0</v>
      </c>
      <c r="G502" s="5">
        <v>1261.0</v>
      </c>
      <c r="H502" s="5">
        <v>0.0136</v>
      </c>
      <c r="I502" s="5">
        <v>0.37</v>
      </c>
      <c r="J502" s="5">
        <v>466.57</v>
      </c>
      <c r="K502" s="5">
        <v>80.0</v>
      </c>
      <c r="L502" s="5">
        <v>5.83</v>
      </c>
      <c r="M502" s="5">
        <v>13024.34</v>
      </c>
      <c r="N502" s="5">
        <v>27.92</v>
      </c>
      <c r="O502" s="6">
        <f t="shared" si="1"/>
        <v>5.832125</v>
      </c>
      <c r="P502" s="6" t="str">
        <f t="shared" si="2"/>
        <v>Post-Shift</v>
      </c>
      <c r="Q502" s="3">
        <f t="shared" si="3"/>
        <v>10</v>
      </c>
    </row>
    <row r="503">
      <c r="A503" s="4">
        <v>45543.0</v>
      </c>
      <c r="B503" s="2" t="s">
        <v>23</v>
      </c>
      <c r="C503" s="2" t="s">
        <v>27</v>
      </c>
      <c r="D503" s="2" t="s">
        <v>32</v>
      </c>
      <c r="E503" s="2" t="s">
        <v>25</v>
      </c>
      <c r="F503" s="5">
        <v>122408.0</v>
      </c>
      <c r="G503" s="5">
        <v>6671.0</v>
      </c>
      <c r="H503" s="5">
        <v>0.0545</v>
      </c>
      <c r="I503" s="5">
        <v>1.17</v>
      </c>
      <c r="J503" s="5">
        <v>7805.07</v>
      </c>
      <c r="K503" s="5">
        <v>293.0</v>
      </c>
      <c r="L503" s="5">
        <v>26.64</v>
      </c>
      <c r="M503" s="5">
        <v>67215.82</v>
      </c>
      <c r="N503" s="5">
        <v>8.61</v>
      </c>
      <c r="O503" s="6">
        <f t="shared" si="1"/>
        <v>26.63846416</v>
      </c>
      <c r="P503" s="6" t="str">
        <f t="shared" si="2"/>
        <v>Post-Shift</v>
      </c>
      <c r="Q503" s="3">
        <f t="shared" si="3"/>
        <v>32</v>
      </c>
    </row>
    <row r="504">
      <c r="A504" s="4">
        <v>45389.0</v>
      </c>
      <c r="B504" s="2" t="s">
        <v>23</v>
      </c>
      <c r="C504" s="2" t="s">
        <v>19</v>
      </c>
      <c r="D504" s="2" t="s">
        <v>45</v>
      </c>
      <c r="E504" s="2" t="s">
        <v>21</v>
      </c>
      <c r="F504" s="5">
        <v>162826.0</v>
      </c>
      <c r="G504" s="5">
        <v>7815.0</v>
      </c>
      <c r="H504" s="5">
        <v>0.048</v>
      </c>
      <c r="I504" s="5">
        <v>1.64</v>
      </c>
      <c r="J504" s="5">
        <v>12816.6</v>
      </c>
      <c r="K504" s="5">
        <v>120.0</v>
      </c>
      <c r="L504" s="5">
        <v>106.81</v>
      </c>
      <c r="M504" s="5">
        <v>13520.75</v>
      </c>
      <c r="N504" s="5">
        <v>1.05</v>
      </c>
      <c r="O504" s="6">
        <f t="shared" si="1"/>
        <v>106.805</v>
      </c>
      <c r="P504" s="6" t="str">
        <f t="shared" si="2"/>
        <v>Baseline</v>
      </c>
      <c r="Q504" s="3">
        <f t="shared" si="3"/>
        <v>27</v>
      </c>
    </row>
    <row r="505">
      <c r="A505" s="4">
        <v>45572.0</v>
      </c>
      <c r="B505" s="2" t="s">
        <v>38</v>
      </c>
      <c r="C505" s="2" t="s">
        <v>31</v>
      </c>
      <c r="D505" s="2" t="s">
        <v>29</v>
      </c>
      <c r="E505" s="2" t="s">
        <v>56</v>
      </c>
      <c r="F505" s="5">
        <v>134614.0</v>
      </c>
      <c r="G505" s="5">
        <v>3190.0</v>
      </c>
      <c r="H505" s="5">
        <v>0.0237</v>
      </c>
      <c r="I505" s="5">
        <v>1.78</v>
      </c>
      <c r="J505" s="5">
        <v>5678.2</v>
      </c>
      <c r="K505" s="5">
        <v>188.0</v>
      </c>
      <c r="L505" s="5">
        <v>30.2</v>
      </c>
      <c r="M505" s="5">
        <v>41736.54</v>
      </c>
      <c r="N505" s="5">
        <v>7.35</v>
      </c>
      <c r="O505" s="6">
        <f t="shared" si="1"/>
        <v>30.20319149</v>
      </c>
      <c r="P505" s="6" t="str">
        <f t="shared" si="2"/>
        <v>Post-Shift</v>
      </c>
      <c r="Q505" s="3">
        <f t="shared" si="3"/>
        <v>28</v>
      </c>
    </row>
    <row r="506">
      <c r="A506" s="4" t="s">
        <v>215</v>
      </c>
      <c r="B506" s="2" t="s">
        <v>18</v>
      </c>
      <c r="C506" s="2" t="s">
        <v>31</v>
      </c>
      <c r="D506" s="2" t="s">
        <v>20</v>
      </c>
      <c r="E506" s="2" t="s">
        <v>56</v>
      </c>
      <c r="F506" s="5">
        <v>116451.0</v>
      </c>
      <c r="G506" s="5">
        <v>3388.0</v>
      </c>
      <c r="H506" s="5">
        <v>0.0291</v>
      </c>
      <c r="I506" s="5">
        <v>3.39</v>
      </c>
      <c r="J506" s="5">
        <v>11485.32</v>
      </c>
      <c r="K506" s="5">
        <v>188.0</v>
      </c>
      <c r="L506" s="5">
        <v>61.09</v>
      </c>
      <c r="M506" s="5">
        <v>28791.61</v>
      </c>
      <c r="N506" s="5">
        <v>2.51</v>
      </c>
      <c r="O506" s="6">
        <f t="shared" si="1"/>
        <v>61.09212766</v>
      </c>
      <c r="P506" s="6" t="str">
        <f t="shared" si="2"/>
        <v>Post-Shift</v>
      </c>
      <c r="Q506" s="3">
        <f t="shared" si="3"/>
        <v>12</v>
      </c>
    </row>
    <row r="507">
      <c r="A507" s="4" t="s">
        <v>216</v>
      </c>
      <c r="B507" s="2" t="s">
        <v>18</v>
      </c>
      <c r="C507" s="2" t="s">
        <v>19</v>
      </c>
      <c r="D507" s="2" t="s">
        <v>45</v>
      </c>
      <c r="E507" s="2" t="s">
        <v>33</v>
      </c>
      <c r="F507" s="5">
        <v>188276.0</v>
      </c>
      <c r="G507" s="5">
        <v>11277.0</v>
      </c>
      <c r="H507" s="5">
        <v>0.0599</v>
      </c>
      <c r="I507" s="5">
        <v>2.48</v>
      </c>
      <c r="J507" s="5">
        <v>27966.96</v>
      </c>
      <c r="K507" s="5">
        <v>554.0</v>
      </c>
      <c r="L507" s="5">
        <v>50.48</v>
      </c>
      <c r="M507" s="5">
        <v>89376.47</v>
      </c>
      <c r="N507" s="5">
        <v>3.2</v>
      </c>
      <c r="O507" s="6">
        <f t="shared" si="1"/>
        <v>50.48187726</v>
      </c>
      <c r="P507" s="6" t="str">
        <f t="shared" si="2"/>
        <v>Post-Shift</v>
      </c>
      <c r="Q507" s="3">
        <f t="shared" si="3"/>
        <v>7</v>
      </c>
    </row>
    <row r="508">
      <c r="A508" s="4" t="s">
        <v>94</v>
      </c>
      <c r="B508" s="2" t="s">
        <v>38</v>
      </c>
      <c r="C508" s="2" t="s">
        <v>19</v>
      </c>
      <c r="D508" s="2" t="s">
        <v>20</v>
      </c>
      <c r="E508" s="2" t="s">
        <v>58</v>
      </c>
      <c r="F508" s="5">
        <v>165552.0</v>
      </c>
      <c r="G508" s="5">
        <v>4337.0</v>
      </c>
      <c r="H508" s="5">
        <v>0.0262</v>
      </c>
      <c r="I508" s="5">
        <v>2.22</v>
      </c>
      <c r="J508" s="5">
        <v>9628.14</v>
      </c>
      <c r="K508" s="5">
        <v>132.0</v>
      </c>
      <c r="L508" s="5">
        <v>72.94</v>
      </c>
      <c r="M508" s="5">
        <v>21448.35</v>
      </c>
      <c r="N508" s="5">
        <v>2.23</v>
      </c>
      <c r="O508" s="6">
        <f t="shared" si="1"/>
        <v>72.94045455</v>
      </c>
      <c r="P508" s="6" t="str">
        <f t="shared" si="2"/>
        <v>Post-Shift</v>
      </c>
      <c r="Q508" s="3">
        <f t="shared" si="3"/>
        <v>29</v>
      </c>
    </row>
    <row r="509">
      <c r="A509" s="4" t="s">
        <v>100</v>
      </c>
      <c r="B509" s="2" t="s">
        <v>38</v>
      </c>
      <c r="C509" s="2" t="s">
        <v>27</v>
      </c>
      <c r="D509" s="2" t="s">
        <v>24</v>
      </c>
      <c r="E509" s="2" t="s">
        <v>25</v>
      </c>
      <c r="F509" s="5">
        <v>82271.0</v>
      </c>
      <c r="G509" s="5">
        <v>3397.0</v>
      </c>
      <c r="H509" s="5">
        <v>0.0413</v>
      </c>
      <c r="I509" s="5">
        <v>0.52</v>
      </c>
      <c r="J509" s="5">
        <v>1766.44</v>
      </c>
      <c r="K509" s="5">
        <v>36.0</v>
      </c>
      <c r="L509" s="5">
        <v>49.07</v>
      </c>
      <c r="M509" s="5">
        <v>6412.73</v>
      </c>
      <c r="N509" s="5">
        <v>3.63</v>
      </c>
      <c r="O509" s="6">
        <f t="shared" si="1"/>
        <v>49.06777778</v>
      </c>
      <c r="P509" s="6" t="str">
        <f t="shared" si="2"/>
        <v>Post-Shift</v>
      </c>
      <c r="Q509" s="3">
        <f t="shared" si="3"/>
        <v>34</v>
      </c>
    </row>
    <row r="510">
      <c r="A510" s="4" t="s">
        <v>55</v>
      </c>
      <c r="B510" s="2" t="s">
        <v>23</v>
      </c>
      <c r="C510" s="2" t="s">
        <v>19</v>
      </c>
      <c r="D510" s="2" t="s">
        <v>20</v>
      </c>
      <c r="E510" s="2" t="s">
        <v>33</v>
      </c>
      <c r="F510" s="5">
        <v>61921.0</v>
      </c>
      <c r="G510" s="5">
        <v>3814.0</v>
      </c>
      <c r="H510" s="5">
        <v>0.0616</v>
      </c>
      <c r="I510" s="5">
        <v>0.31</v>
      </c>
      <c r="J510" s="5">
        <v>1182.34</v>
      </c>
      <c r="K510" s="5">
        <v>50.0</v>
      </c>
      <c r="L510" s="5">
        <v>23.65</v>
      </c>
      <c r="M510" s="5">
        <v>8842.35</v>
      </c>
      <c r="N510" s="5">
        <v>7.48</v>
      </c>
      <c r="O510" s="6">
        <f t="shared" si="1"/>
        <v>23.6468</v>
      </c>
      <c r="P510" s="6" t="str">
        <f t="shared" si="2"/>
        <v>Post-Shift</v>
      </c>
      <c r="Q510" s="3">
        <f t="shared" si="3"/>
        <v>53</v>
      </c>
    </row>
    <row r="511">
      <c r="A511" s="4" t="s">
        <v>217</v>
      </c>
      <c r="B511" s="2" t="s">
        <v>18</v>
      </c>
      <c r="C511" s="2" t="s">
        <v>31</v>
      </c>
      <c r="D511" s="2" t="s">
        <v>45</v>
      </c>
      <c r="E511" s="2" t="s">
        <v>36</v>
      </c>
      <c r="F511" s="5">
        <v>161089.0</v>
      </c>
      <c r="G511" s="5">
        <v>6540.0</v>
      </c>
      <c r="H511" s="5">
        <v>0.0406</v>
      </c>
      <c r="I511" s="5">
        <v>2.1</v>
      </c>
      <c r="J511" s="5">
        <v>13734.0</v>
      </c>
      <c r="K511" s="5">
        <v>285.0</v>
      </c>
      <c r="L511" s="5">
        <v>48.19</v>
      </c>
      <c r="M511" s="5">
        <v>49746.79</v>
      </c>
      <c r="N511" s="5">
        <v>3.62</v>
      </c>
      <c r="O511" s="6">
        <f t="shared" si="1"/>
        <v>48.18947368</v>
      </c>
      <c r="P511" s="6" t="str">
        <f t="shared" si="2"/>
        <v>Post-Shift</v>
      </c>
      <c r="Q511" s="3">
        <f t="shared" si="3"/>
        <v>39</v>
      </c>
    </row>
    <row r="512">
      <c r="A512" s="4" t="s">
        <v>218</v>
      </c>
      <c r="B512" s="2" t="s">
        <v>18</v>
      </c>
      <c r="C512" s="2" t="s">
        <v>31</v>
      </c>
      <c r="D512" s="2" t="s">
        <v>29</v>
      </c>
      <c r="E512" s="2" t="s">
        <v>30</v>
      </c>
      <c r="F512" s="5">
        <v>85618.0</v>
      </c>
      <c r="G512" s="5">
        <v>2679.0</v>
      </c>
      <c r="H512" s="5">
        <v>0.0313</v>
      </c>
      <c r="I512" s="5">
        <v>0.92</v>
      </c>
      <c r="J512" s="5">
        <v>2464.68</v>
      </c>
      <c r="K512" s="5">
        <v>74.0</v>
      </c>
      <c r="L512" s="5">
        <v>33.31</v>
      </c>
      <c r="M512" s="5">
        <v>6024.46</v>
      </c>
      <c r="N512" s="5">
        <v>2.44</v>
      </c>
      <c r="O512" s="6">
        <f t="shared" si="1"/>
        <v>33.30648649</v>
      </c>
      <c r="P512" s="6" t="str">
        <f t="shared" si="2"/>
        <v>Post-Shift</v>
      </c>
      <c r="Q512" s="3">
        <f t="shared" si="3"/>
        <v>37</v>
      </c>
    </row>
    <row r="513">
      <c r="A513" s="4">
        <v>45638.0</v>
      </c>
      <c r="B513" s="2" t="s">
        <v>38</v>
      </c>
      <c r="C513" s="2" t="s">
        <v>19</v>
      </c>
      <c r="D513" s="2" t="s">
        <v>29</v>
      </c>
      <c r="E513" s="2" t="s">
        <v>58</v>
      </c>
      <c r="F513" s="5">
        <v>30457.0</v>
      </c>
      <c r="G513" s="5">
        <v>606.0</v>
      </c>
      <c r="H513" s="5">
        <v>0.0199</v>
      </c>
      <c r="I513" s="5">
        <v>0.58</v>
      </c>
      <c r="J513" s="5">
        <v>351.48</v>
      </c>
      <c r="K513" s="5">
        <v>34.0</v>
      </c>
      <c r="L513" s="5">
        <v>10.34</v>
      </c>
      <c r="M513" s="5">
        <v>4981.94</v>
      </c>
      <c r="N513" s="5">
        <v>14.17</v>
      </c>
      <c r="O513" s="6">
        <f t="shared" si="1"/>
        <v>10.33764706</v>
      </c>
      <c r="P513" s="6" t="str">
        <f t="shared" si="2"/>
        <v>Post-Shift</v>
      </c>
      <c r="Q513" s="3">
        <f t="shared" si="3"/>
        <v>50</v>
      </c>
    </row>
    <row r="514">
      <c r="A514" s="4" t="s">
        <v>110</v>
      </c>
      <c r="B514" s="2" t="s">
        <v>23</v>
      </c>
      <c r="C514" s="2" t="s">
        <v>19</v>
      </c>
      <c r="D514" s="2" t="s">
        <v>45</v>
      </c>
      <c r="E514" s="2" t="s">
        <v>56</v>
      </c>
      <c r="F514" s="5">
        <v>46420.0</v>
      </c>
      <c r="G514" s="5">
        <v>1880.0</v>
      </c>
      <c r="H514" s="5">
        <v>0.0405</v>
      </c>
      <c r="I514" s="5">
        <v>1.9</v>
      </c>
      <c r="J514" s="5">
        <v>3572.0</v>
      </c>
      <c r="K514" s="5">
        <v>113.0</v>
      </c>
      <c r="L514" s="5">
        <v>31.61</v>
      </c>
      <c r="M514" s="5">
        <v>5769.59</v>
      </c>
      <c r="N514" s="5">
        <v>1.62</v>
      </c>
      <c r="O514" s="6">
        <f t="shared" si="1"/>
        <v>31.61061947</v>
      </c>
      <c r="P514" s="6" t="str">
        <f t="shared" si="2"/>
        <v>Post-Shift</v>
      </c>
      <c r="Q514" s="3">
        <f t="shared" si="3"/>
        <v>4</v>
      </c>
    </row>
    <row r="515">
      <c r="A515" s="4" t="s">
        <v>219</v>
      </c>
      <c r="B515" s="2" t="s">
        <v>18</v>
      </c>
      <c r="C515" s="2" t="s">
        <v>19</v>
      </c>
      <c r="D515" s="2" t="s">
        <v>45</v>
      </c>
      <c r="E515" s="2" t="s">
        <v>25</v>
      </c>
      <c r="F515" s="5">
        <v>180746.0</v>
      </c>
      <c r="G515" s="5">
        <v>5024.0</v>
      </c>
      <c r="H515" s="5">
        <v>0.0278</v>
      </c>
      <c r="I515" s="5">
        <v>1.28</v>
      </c>
      <c r="J515" s="5">
        <v>6430.72</v>
      </c>
      <c r="K515" s="5">
        <v>64.0</v>
      </c>
      <c r="L515" s="5">
        <v>100.48</v>
      </c>
      <c r="M515" s="5">
        <v>17709.21</v>
      </c>
      <c r="N515" s="5">
        <v>2.75</v>
      </c>
      <c r="O515" s="6">
        <f t="shared" si="1"/>
        <v>100.48</v>
      </c>
      <c r="P515" s="6" t="str">
        <f t="shared" si="2"/>
        <v>Post-Shift</v>
      </c>
      <c r="Q515" s="3">
        <f t="shared" si="3"/>
        <v>34</v>
      </c>
    </row>
    <row r="516">
      <c r="A516" s="4" t="s">
        <v>202</v>
      </c>
      <c r="B516" s="2" t="s">
        <v>23</v>
      </c>
      <c r="C516" s="2" t="s">
        <v>19</v>
      </c>
      <c r="D516" s="2" t="s">
        <v>32</v>
      </c>
      <c r="E516" s="2" t="s">
        <v>33</v>
      </c>
      <c r="F516" s="5">
        <v>131244.0</v>
      </c>
      <c r="G516" s="5">
        <v>5604.0</v>
      </c>
      <c r="H516" s="5">
        <v>0.0427</v>
      </c>
      <c r="I516" s="5">
        <v>0.38</v>
      </c>
      <c r="J516" s="5">
        <v>2129.52</v>
      </c>
      <c r="K516" s="5">
        <v>229.0</v>
      </c>
      <c r="L516" s="5">
        <v>9.3</v>
      </c>
      <c r="M516" s="5">
        <v>65541.49</v>
      </c>
      <c r="N516" s="5">
        <v>30.78</v>
      </c>
      <c r="O516" s="6">
        <f t="shared" si="1"/>
        <v>9.299213974</v>
      </c>
      <c r="P516" s="6" t="str">
        <f t="shared" si="2"/>
        <v>Post-Shift</v>
      </c>
      <c r="Q516" s="3">
        <f t="shared" si="3"/>
        <v>26</v>
      </c>
    </row>
    <row r="517">
      <c r="A517" s="4">
        <v>45294.0</v>
      </c>
      <c r="B517" s="2" t="s">
        <v>18</v>
      </c>
      <c r="C517" s="2" t="s">
        <v>19</v>
      </c>
      <c r="D517" s="2" t="s">
        <v>45</v>
      </c>
      <c r="E517" s="2" t="s">
        <v>33</v>
      </c>
      <c r="F517" s="5">
        <v>86678.0</v>
      </c>
      <c r="G517" s="5">
        <v>2158.0</v>
      </c>
      <c r="H517" s="5">
        <v>0.0249</v>
      </c>
      <c r="I517" s="5">
        <v>1.45</v>
      </c>
      <c r="J517" s="5">
        <v>3129.1</v>
      </c>
      <c r="K517" s="5">
        <v>163.0</v>
      </c>
      <c r="L517" s="5">
        <v>19.2</v>
      </c>
      <c r="M517" s="5">
        <v>27708.88</v>
      </c>
      <c r="N517" s="5">
        <v>8.86</v>
      </c>
      <c r="O517" s="6">
        <f t="shared" si="1"/>
        <v>19.19693252</v>
      </c>
      <c r="P517" s="6" t="str">
        <f t="shared" si="2"/>
        <v>Baseline</v>
      </c>
      <c r="Q517" s="3">
        <f t="shared" si="3"/>
        <v>9</v>
      </c>
    </row>
    <row r="518">
      <c r="A518" s="4">
        <v>45362.0</v>
      </c>
      <c r="B518" s="2" t="s">
        <v>18</v>
      </c>
      <c r="C518" s="2" t="s">
        <v>41</v>
      </c>
      <c r="D518" s="2" t="s">
        <v>24</v>
      </c>
      <c r="E518" s="2" t="s">
        <v>36</v>
      </c>
      <c r="F518" s="5">
        <v>70226.0</v>
      </c>
      <c r="G518" s="5">
        <v>4037.0</v>
      </c>
      <c r="H518" s="5">
        <v>0.0575</v>
      </c>
      <c r="I518" s="5">
        <v>2.16</v>
      </c>
      <c r="J518" s="5">
        <v>8719.92</v>
      </c>
      <c r="K518" s="5">
        <v>240.0</v>
      </c>
      <c r="L518" s="5">
        <v>36.33</v>
      </c>
      <c r="M518" s="5">
        <v>68153.47</v>
      </c>
      <c r="N518" s="5">
        <v>7.82</v>
      </c>
      <c r="O518" s="6">
        <f t="shared" si="1"/>
        <v>36.333</v>
      </c>
      <c r="P518" s="6" t="str">
        <f t="shared" si="2"/>
        <v>Baseline</v>
      </c>
      <c r="Q518" s="3">
        <f t="shared" si="3"/>
        <v>45</v>
      </c>
    </row>
    <row r="519">
      <c r="A519" s="4">
        <v>45303.0</v>
      </c>
      <c r="B519" s="2" t="s">
        <v>18</v>
      </c>
      <c r="C519" s="2" t="s">
        <v>19</v>
      </c>
      <c r="D519" s="2" t="s">
        <v>20</v>
      </c>
      <c r="E519" s="2" t="s">
        <v>33</v>
      </c>
      <c r="F519" s="5">
        <v>124119.0</v>
      </c>
      <c r="G519" s="5">
        <v>6416.0</v>
      </c>
      <c r="H519" s="5">
        <v>0.0517</v>
      </c>
      <c r="I519" s="5">
        <v>2.55</v>
      </c>
      <c r="J519" s="5">
        <v>16360.8</v>
      </c>
      <c r="K519" s="5">
        <v>358.0</v>
      </c>
      <c r="L519" s="5">
        <v>45.7</v>
      </c>
      <c r="M519" s="5">
        <v>48445.72</v>
      </c>
      <c r="N519" s="5">
        <v>2.96</v>
      </c>
      <c r="O519" s="6">
        <f t="shared" si="1"/>
        <v>45.70055866</v>
      </c>
      <c r="P519" s="6" t="str">
        <f t="shared" si="2"/>
        <v>Baseline</v>
      </c>
      <c r="Q519" s="3">
        <f t="shared" si="3"/>
        <v>49</v>
      </c>
    </row>
    <row r="520">
      <c r="A520" s="4" t="s">
        <v>75</v>
      </c>
      <c r="B520" s="2" t="s">
        <v>18</v>
      </c>
      <c r="C520" s="2" t="s">
        <v>31</v>
      </c>
      <c r="D520" s="2" t="s">
        <v>29</v>
      </c>
      <c r="E520" s="2" t="s">
        <v>21</v>
      </c>
      <c r="F520" s="5">
        <v>126292.0</v>
      </c>
      <c r="G520" s="5">
        <v>5165.0</v>
      </c>
      <c r="H520" s="5">
        <v>0.0409</v>
      </c>
      <c r="I520" s="5">
        <v>1.49</v>
      </c>
      <c r="J520" s="5">
        <v>7695.85</v>
      </c>
      <c r="K520" s="5">
        <v>110.0</v>
      </c>
      <c r="L520" s="5">
        <v>69.96</v>
      </c>
      <c r="M520" s="5">
        <v>14074.18</v>
      </c>
      <c r="N520" s="5">
        <v>1.83</v>
      </c>
      <c r="O520" s="6">
        <f t="shared" si="1"/>
        <v>69.96227273</v>
      </c>
      <c r="P520" s="6" t="str">
        <f t="shared" si="2"/>
        <v>Post-Shift</v>
      </c>
      <c r="Q520" s="3">
        <f t="shared" si="3"/>
        <v>20</v>
      </c>
    </row>
    <row r="521">
      <c r="A521" s="4" t="s">
        <v>220</v>
      </c>
      <c r="B521" s="2" t="s">
        <v>18</v>
      </c>
      <c r="C521" s="2" t="s">
        <v>27</v>
      </c>
      <c r="D521" s="2" t="s">
        <v>45</v>
      </c>
      <c r="E521" s="2" t="s">
        <v>36</v>
      </c>
      <c r="F521" s="5">
        <v>189935.0</v>
      </c>
      <c r="G521" s="5">
        <v>10161.0</v>
      </c>
      <c r="H521" s="5">
        <v>0.0535</v>
      </c>
      <c r="I521" s="5">
        <v>1.49</v>
      </c>
      <c r="J521" s="5">
        <v>15139.89</v>
      </c>
      <c r="K521" s="5">
        <v>615.0</v>
      </c>
      <c r="L521" s="5">
        <v>24.62</v>
      </c>
      <c r="M521" s="5">
        <v>31748.86</v>
      </c>
      <c r="N521" s="5">
        <v>2.1</v>
      </c>
      <c r="O521" s="6">
        <f t="shared" si="1"/>
        <v>24.61770732</v>
      </c>
      <c r="P521" s="6" t="str">
        <f t="shared" si="2"/>
        <v>Post-Shift</v>
      </c>
      <c r="Q521" s="3">
        <f t="shared" si="3"/>
        <v>8</v>
      </c>
    </row>
    <row r="522">
      <c r="A522" s="4" t="s">
        <v>171</v>
      </c>
      <c r="B522" s="2" t="s">
        <v>18</v>
      </c>
      <c r="C522" s="2" t="s">
        <v>41</v>
      </c>
      <c r="D522" s="2" t="s">
        <v>24</v>
      </c>
      <c r="E522" s="2" t="s">
        <v>21</v>
      </c>
      <c r="F522" s="5">
        <v>103066.0</v>
      </c>
      <c r="G522" s="5">
        <v>2380.0</v>
      </c>
      <c r="H522" s="5">
        <v>0.0231</v>
      </c>
      <c r="I522" s="5">
        <v>2.49</v>
      </c>
      <c r="J522" s="5">
        <v>5926.2</v>
      </c>
      <c r="K522" s="5">
        <v>121.0</v>
      </c>
      <c r="L522" s="5">
        <v>48.98</v>
      </c>
      <c r="M522" s="5">
        <v>20395.26</v>
      </c>
      <c r="N522" s="5">
        <v>3.44</v>
      </c>
      <c r="O522" s="6">
        <f t="shared" si="1"/>
        <v>48.9768595</v>
      </c>
      <c r="P522" s="6" t="str">
        <f t="shared" si="2"/>
        <v>Post-Shift</v>
      </c>
      <c r="Q522" s="3">
        <f t="shared" si="3"/>
        <v>16</v>
      </c>
    </row>
    <row r="523">
      <c r="A523" s="4" t="s">
        <v>191</v>
      </c>
      <c r="B523" s="2" t="s">
        <v>38</v>
      </c>
      <c r="C523" s="2" t="s">
        <v>31</v>
      </c>
      <c r="D523" s="2" t="s">
        <v>45</v>
      </c>
      <c r="E523" s="2" t="s">
        <v>30</v>
      </c>
      <c r="F523" s="5">
        <v>11083.0</v>
      </c>
      <c r="G523" s="5">
        <v>193.0</v>
      </c>
      <c r="H523" s="5">
        <v>0.0175</v>
      </c>
      <c r="I523" s="5">
        <v>0.83</v>
      </c>
      <c r="J523" s="5">
        <v>160.19</v>
      </c>
      <c r="K523" s="5">
        <v>11.0</v>
      </c>
      <c r="L523" s="5">
        <v>14.56</v>
      </c>
      <c r="M523" s="5">
        <v>912.82</v>
      </c>
      <c r="N523" s="5">
        <v>5.7</v>
      </c>
      <c r="O523" s="6">
        <f t="shared" si="1"/>
        <v>14.56272727</v>
      </c>
      <c r="P523" s="6" t="str">
        <f t="shared" si="2"/>
        <v>Post-Shift</v>
      </c>
      <c r="Q523" s="3">
        <f t="shared" si="3"/>
        <v>13</v>
      </c>
    </row>
    <row r="524">
      <c r="A524" s="4" t="s">
        <v>221</v>
      </c>
      <c r="B524" s="2" t="s">
        <v>38</v>
      </c>
      <c r="C524" s="2" t="s">
        <v>41</v>
      </c>
      <c r="D524" s="2" t="s">
        <v>24</v>
      </c>
      <c r="E524" s="2" t="s">
        <v>21</v>
      </c>
      <c r="F524" s="5">
        <v>6074.0</v>
      </c>
      <c r="G524" s="5">
        <v>128.0</v>
      </c>
      <c r="H524" s="5">
        <v>0.0212</v>
      </c>
      <c r="I524" s="5">
        <v>1.51</v>
      </c>
      <c r="J524" s="5">
        <v>193.28</v>
      </c>
      <c r="K524" s="5">
        <v>5.0</v>
      </c>
      <c r="L524" s="5">
        <v>38.66</v>
      </c>
      <c r="M524" s="5">
        <v>1253.71</v>
      </c>
      <c r="N524" s="5">
        <v>6.49</v>
      </c>
      <c r="O524" s="6">
        <f t="shared" si="1"/>
        <v>38.656</v>
      </c>
      <c r="P524" s="6" t="str">
        <f t="shared" si="2"/>
        <v>Post-Shift</v>
      </c>
      <c r="Q524" s="3">
        <f t="shared" si="3"/>
        <v>17</v>
      </c>
    </row>
    <row r="525">
      <c r="A525" s="4">
        <v>45606.0</v>
      </c>
      <c r="B525" s="2" t="s">
        <v>23</v>
      </c>
      <c r="C525" s="2" t="s">
        <v>27</v>
      </c>
      <c r="D525" s="2" t="s">
        <v>29</v>
      </c>
      <c r="E525" s="2" t="s">
        <v>36</v>
      </c>
      <c r="F525" s="5">
        <v>54752.0</v>
      </c>
      <c r="G525" s="5">
        <v>2814.0</v>
      </c>
      <c r="H525" s="5">
        <v>0.0514</v>
      </c>
      <c r="I525" s="5">
        <v>0.86</v>
      </c>
      <c r="J525" s="5">
        <v>2420.04</v>
      </c>
      <c r="K525" s="5">
        <v>137.0</v>
      </c>
      <c r="L525" s="5">
        <v>17.66</v>
      </c>
      <c r="M525" s="5">
        <v>13580.22</v>
      </c>
      <c r="N525" s="5">
        <v>5.61</v>
      </c>
      <c r="O525" s="6">
        <f t="shared" si="1"/>
        <v>17.66452555</v>
      </c>
      <c r="P525" s="6" t="str">
        <f t="shared" si="2"/>
        <v>Post-Shift</v>
      </c>
      <c r="Q525" s="3">
        <f t="shared" si="3"/>
        <v>41</v>
      </c>
    </row>
    <row r="526">
      <c r="A526" s="4">
        <v>45567.0</v>
      </c>
      <c r="B526" s="2" t="s">
        <v>38</v>
      </c>
      <c r="C526" s="2" t="s">
        <v>27</v>
      </c>
      <c r="D526" s="2" t="s">
        <v>29</v>
      </c>
      <c r="E526" s="2" t="s">
        <v>25</v>
      </c>
      <c r="F526" s="5">
        <v>141313.0</v>
      </c>
      <c r="G526" s="5">
        <v>4762.0</v>
      </c>
      <c r="H526" s="5">
        <v>0.0337</v>
      </c>
      <c r="I526" s="5">
        <v>1.05</v>
      </c>
      <c r="J526" s="5">
        <v>5000.1</v>
      </c>
      <c r="K526" s="5">
        <v>207.0</v>
      </c>
      <c r="L526" s="5">
        <v>24.16</v>
      </c>
      <c r="M526" s="5">
        <v>26737.15</v>
      </c>
      <c r="N526" s="5">
        <v>5.35</v>
      </c>
      <c r="O526" s="6">
        <f t="shared" si="1"/>
        <v>24.15507246</v>
      </c>
      <c r="P526" s="6" t="str">
        <f t="shared" si="2"/>
        <v>Post-Shift</v>
      </c>
      <c r="Q526" s="3">
        <f t="shared" si="3"/>
        <v>6</v>
      </c>
    </row>
    <row r="527">
      <c r="A527" s="4" t="s">
        <v>208</v>
      </c>
      <c r="B527" s="2" t="s">
        <v>23</v>
      </c>
      <c r="C527" s="2" t="s">
        <v>41</v>
      </c>
      <c r="D527" s="2" t="s">
        <v>24</v>
      </c>
      <c r="E527" s="2" t="s">
        <v>30</v>
      </c>
      <c r="F527" s="5">
        <v>34669.0</v>
      </c>
      <c r="G527" s="5">
        <v>1965.0</v>
      </c>
      <c r="H527" s="5">
        <v>0.0567</v>
      </c>
      <c r="I527" s="5">
        <v>1.61</v>
      </c>
      <c r="J527" s="5">
        <v>3163.65</v>
      </c>
      <c r="K527" s="5">
        <v>74.0</v>
      </c>
      <c r="L527" s="5">
        <v>42.75</v>
      </c>
      <c r="M527" s="5">
        <v>12153.4</v>
      </c>
      <c r="N527" s="5">
        <v>3.84</v>
      </c>
      <c r="O527" s="6">
        <f t="shared" si="1"/>
        <v>42.75202703</v>
      </c>
      <c r="P527" s="6" t="str">
        <f t="shared" si="2"/>
        <v>Post-Shift</v>
      </c>
      <c r="Q527" s="3">
        <f t="shared" si="3"/>
        <v>48</v>
      </c>
    </row>
    <row r="528">
      <c r="A528" s="4" t="s">
        <v>161</v>
      </c>
      <c r="B528" s="2" t="s">
        <v>38</v>
      </c>
      <c r="C528" s="2" t="s">
        <v>41</v>
      </c>
      <c r="D528" s="2" t="s">
        <v>45</v>
      </c>
      <c r="E528" s="2" t="s">
        <v>58</v>
      </c>
      <c r="F528" s="5">
        <v>104714.0</v>
      </c>
      <c r="G528" s="5">
        <v>1015.0</v>
      </c>
      <c r="H528" s="5">
        <v>0.0097</v>
      </c>
      <c r="I528" s="5">
        <v>0.93</v>
      </c>
      <c r="J528" s="5">
        <v>943.95</v>
      </c>
      <c r="K528" s="5">
        <v>78.0</v>
      </c>
      <c r="L528" s="5">
        <v>12.1</v>
      </c>
      <c r="M528" s="5">
        <v>20952.03</v>
      </c>
      <c r="N528" s="5">
        <v>22.2</v>
      </c>
      <c r="O528" s="6">
        <f t="shared" si="1"/>
        <v>12.10192308</v>
      </c>
      <c r="P528" s="6" t="str">
        <f t="shared" si="2"/>
        <v>Post-Shift</v>
      </c>
      <c r="Q528" s="3">
        <f t="shared" si="3"/>
        <v>12</v>
      </c>
    </row>
    <row r="529">
      <c r="A529" s="4" t="s">
        <v>222</v>
      </c>
      <c r="B529" s="2" t="s">
        <v>23</v>
      </c>
      <c r="C529" s="2" t="s">
        <v>27</v>
      </c>
      <c r="D529" s="2" t="s">
        <v>29</v>
      </c>
      <c r="E529" s="2" t="s">
        <v>21</v>
      </c>
      <c r="F529" s="5">
        <v>109733.0</v>
      </c>
      <c r="G529" s="5">
        <v>6616.0</v>
      </c>
      <c r="H529" s="5">
        <v>0.0603</v>
      </c>
      <c r="I529" s="5">
        <v>0.91</v>
      </c>
      <c r="J529" s="5">
        <v>6020.56</v>
      </c>
      <c r="K529" s="5">
        <v>516.0</v>
      </c>
      <c r="L529" s="5">
        <v>11.67</v>
      </c>
      <c r="M529" s="5">
        <v>53965.61</v>
      </c>
      <c r="N529" s="5">
        <v>8.96</v>
      </c>
      <c r="O529" s="6">
        <f t="shared" si="1"/>
        <v>11.66775194</v>
      </c>
      <c r="P529" s="6" t="str">
        <f t="shared" si="2"/>
        <v>Post-Shift</v>
      </c>
      <c r="Q529" s="3">
        <f t="shared" si="3"/>
        <v>22</v>
      </c>
    </row>
    <row r="530">
      <c r="A530" s="4" t="s">
        <v>134</v>
      </c>
      <c r="B530" s="2" t="s">
        <v>23</v>
      </c>
      <c r="C530" s="2" t="s">
        <v>41</v>
      </c>
      <c r="D530" s="2" t="s">
        <v>32</v>
      </c>
      <c r="E530" s="2" t="s">
        <v>30</v>
      </c>
      <c r="F530" s="5">
        <v>67502.0</v>
      </c>
      <c r="G530" s="5">
        <v>5859.0</v>
      </c>
      <c r="H530" s="5">
        <v>0.0868</v>
      </c>
      <c r="I530" s="5">
        <v>0.48</v>
      </c>
      <c r="J530" s="5">
        <v>2812.32</v>
      </c>
      <c r="K530" s="5">
        <v>395.0</v>
      </c>
      <c r="L530" s="5">
        <v>7.12</v>
      </c>
      <c r="M530" s="5">
        <v>42271.31</v>
      </c>
      <c r="N530" s="5">
        <v>15.03</v>
      </c>
      <c r="O530" s="6">
        <f t="shared" si="1"/>
        <v>7.119797468</v>
      </c>
      <c r="P530" s="6" t="str">
        <f t="shared" si="2"/>
        <v>Post-Shift</v>
      </c>
      <c r="Q530" s="3">
        <f t="shared" si="3"/>
        <v>38</v>
      </c>
    </row>
    <row r="531">
      <c r="A531" s="4" t="s">
        <v>223</v>
      </c>
      <c r="B531" s="2" t="s">
        <v>18</v>
      </c>
      <c r="C531" s="2" t="s">
        <v>41</v>
      </c>
      <c r="D531" s="2" t="s">
        <v>45</v>
      </c>
      <c r="E531" s="2" t="s">
        <v>36</v>
      </c>
      <c r="F531" s="5">
        <v>129121.0</v>
      </c>
      <c r="G531" s="5">
        <v>4893.0</v>
      </c>
      <c r="H531" s="5">
        <v>0.0379</v>
      </c>
      <c r="I531" s="5">
        <v>2.56</v>
      </c>
      <c r="J531" s="5">
        <v>12526.08</v>
      </c>
      <c r="K531" s="5">
        <v>137.0</v>
      </c>
      <c r="L531" s="5">
        <v>91.43</v>
      </c>
      <c r="M531" s="5">
        <v>7241.16</v>
      </c>
      <c r="N531" s="5">
        <v>0.58</v>
      </c>
      <c r="O531" s="6">
        <f t="shared" si="1"/>
        <v>91.43124088</v>
      </c>
      <c r="P531" s="6" t="str">
        <f t="shared" si="2"/>
        <v>Post-Shift</v>
      </c>
      <c r="Q531" s="3">
        <f t="shared" si="3"/>
        <v>17</v>
      </c>
    </row>
    <row r="532">
      <c r="A532" s="4" t="s">
        <v>224</v>
      </c>
      <c r="B532" s="2" t="s">
        <v>18</v>
      </c>
      <c r="C532" s="2" t="s">
        <v>27</v>
      </c>
      <c r="D532" s="2" t="s">
        <v>20</v>
      </c>
      <c r="E532" s="2" t="s">
        <v>30</v>
      </c>
      <c r="F532" s="5">
        <v>173102.0</v>
      </c>
      <c r="G532" s="5">
        <v>4414.0</v>
      </c>
      <c r="H532" s="5">
        <v>0.0255</v>
      </c>
      <c r="I532" s="5">
        <v>3.4</v>
      </c>
      <c r="J532" s="5">
        <v>15007.6</v>
      </c>
      <c r="K532" s="5">
        <v>341.0</v>
      </c>
      <c r="L532" s="5">
        <v>44.01</v>
      </c>
      <c r="M532" s="5">
        <v>52487.34</v>
      </c>
      <c r="N532" s="5">
        <v>3.5</v>
      </c>
      <c r="O532" s="6">
        <f t="shared" si="1"/>
        <v>44.01055718</v>
      </c>
      <c r="P532" s="6" t="str">
        <f t="shared" si="2"/>
        <v>Post-Shift</v>
      </c>
      <c r="Q532" s="3">
        <f t="shared" si="3"/>
        <v>13</v>
      </c>
    </row>
    <row r="533">
      <c r="A533" s="4" t="s">
        <v>112</v>
      </c>
      <c r="B533" s="2" t="s">
        <v>18</v>
      </c>
      <c r="C533" s="2" t="s">
        <v>31</v>
      </c>
      <c r="D533" s="2" t="s">
        <v>24</v>
      </c>
      <c r="E533" s="2" t="s">
        <v>36</v>
      </c>
      <c r="F533" s="5">
        <v>140607.0</v>
      </c>
      <c r="G533" s="5">
        <v>6397.0</v>
      </c>
      <c r="H533" s="5">
        <v>0.0455</v>
      </c>
      <c r="I533" s="5">
        <v>1.43</v>
      </c>
      <c r="J533" s="5">
        <v>9147.71</v>
      </c>
      <c r="K533" s="5">
        <v>393.0</v>
      </c>
      <c r="L533" s="5">
        <v>23.28</v>
      </c>
      <c r="M533" s="5">
        <v>82224.93</v>
      </c>
      <c r="N533" s="5">
        <v>8.99</v>
      </c>
      <c r="O533" s="6">
        <f t="shared" si="1"/>
        <v>23.27661578</v>
      </c>
      <c r="P533" s="6" t="str">
        <f t="shared" si="2"/>
        <v>Post-Shift</v>
      </c>
      <c r="Q533" s="3">
        <f t="shared" si="3"/>
        <v>13</v>
      </c>
    </row>
    <row r="534">
      <c r="A534" s="4">
        <v>45597.0</v>
      </c>
      <c r="B534" s="2" t="s">
        <v>18</v>
      </c>
      <c r="C534" s="2" t="s">
        <v>19</v>
      </c>
      <c r="D534" s="2" t="s">
        <v>29</v>
      </c>
      <c r="E534" s="2" t="s">
        <v>33</v>
      </c>
      <c r="F534" s="5">
        <v>48351.0</v>
      </c>
      <c r="G534" s="5">
        <v>2156.0</v>
      </c>
      <c r="H534" s="5">
        <v>0.0446</v>
      </c>
      <c r="I534" s="5">
        <v>3.16</v>
      </c>
      <c r="J534" s="5">
        <v>6812.96</v>
      </c>
      <c r="K534" s="5">
        <v>83.0</v>
      </c>
      <c r="L534" s="5">
        <v>82.08</v>
      </c>
      <c r="M534" s="5">
        <v>7504.87</v>
      </c>
      <c r="N534" s="5">
        <v>1.1</v>
      </c>
      <c r="O534" s="6">
        <f t="shared" si="1"/>
        <v>82.08385542</v>
      </c>
      <c r="P534" s="6" t="str">
        <f t="shared" si="2"/>
        <v>Post-Shift</v>
      </c>
      <c r="Q534" s="3">
        <f t="shared" si="3"/>
        <v>2</v>
      </c>
    </row>
    <row r="535">
      <c r="A535" s="4">
        <v>45447.0</v>
      </c>
      <c r="B535" s="2" t="s">
        <v>23</v>
      </c>
      <c r="C535" s="2" t="s">
        <v>27</v>
      </c>
      <c r="D535" s="2" t="s">
        <v>20</v>
      </c>
      <c r="E535" s="2" t="s">
        <v>33</v>
      </c>
      <c r="F535" s="5">
        <v>118135.0</v>
      </c>
      <c r="G535" s="5">
        <v>8151.0</v>
      </c>
      <c r="H535" s="5">
        <v>0.069</v>
      </c>
      <c r="I535" s="5">
        <v>0.69</v>
      </c>
      <c r="J535" s="5">
        <v>5624.19</v>
      </c>
      <c r="K535" s="5">
        <v>428.0</v>
      </c>
      <c r="L535" s="5">
        <v>13.14</v>
      </c>
      <c r="M535" s="5">
        <v>64189.34</v>
      </c>
      <c r="N535" s="5">
        <v>11.41</v>
      </c>
      <c r="O535" s="6">
        <f t="shared" si="1"/>
        <v>13.14063084</v>
      </c>
      <c r="P535" s="6" t="str">
        <f t="shared" si="2"/>
        <v>Baseline</v>
      </c>
      <c r="Q535" s="3">
        <f t="shared" si="3"/>
        <v>14</v>
      </c>
    </row>
    <row r="536">
      <c r="A536" s="4" t="s">
        <v>151</v>
      </c>
      <c r="B536" s="2" t="s">
        <v>23</v>
      </c>
      <c r="C536" s="2" t="s">
        <v>19</v>
      </c>
      <c r="D536" s="2" t="s">
        <v>20</v>
      </c>
      <c r="E536" s="2" t="s">
        <v>25</v>
      </c>
      <c r="F536" s="5">
        <v>20185.0</v>
      </c>
      <c r="G536" s="5">
        <v>878.0</v>
      </c>
      <c r="H536" s="5">
        <v>0.0435</v>
      </c>
      <c r="I536" s="5">
        <v>0.61</v>
      </c>
      <c r="J536" s="5">
        <v>535.58</v>
      </c>
      <c r="K536" s="5">
        <v>27.0</v>
      </c>
      <c r="L536" s="5">
        <v>19.84</v>
      </c>
      <c r="M536" s="5">
        <v>7476.28</v>
      </c>
      <c r="N536" s="5">
        <v>13.96</v>
      </c>
      <c r="O536" s="6">
        <f t="shared" si="1"/>
        <v>19.8362963</v>
      </c>
      <c r="P536" s="6" t="str">
        <f t="shared" si="2"/>
        <v>Post-Shift</v>
      </c>
      <c r="Q536" s="3">
        <f t="shared" si="3"/>
        <v>26</v>
      </c>
    </row>
    <row r="537">
      <c r="A537" s="4" t="s">
        <v>72</v>
      </c>
      <c r="B537" s="2" t="s">
        <v>23</v>
      </c>
      <c r="C537" s="2" t="s">
        <v>27</v>
      </c>
      <c r="D537" s="2" t="s">
        <v>45</v>
      </c>
      <c r="E537" s="2" t="s">
        <v>58</v>
      </c>
      <c r="F537" s="5">
        <v>50802.0</v>
      </c>
      <c r="G537" s="5">
        <v>3617.0</v>
      </c>
      <c r="H537" s="5">
        <v>0.0712</v>
      </c>
      <c r="I537" s="5">
        <v>0.42</v>
      </c>
      <c r="J537" s="5">
        <v>1519.14</v>
      </c>
      <c r="K537" s="5">
        <v>279.0</v>
      </c>
      <c r="L537" s="5">
        <v>5.44</v>
      </c>
      <c r="M537" s="5">
        <v>22644.29</v>
      </c>
      <c r="N537" s="5">
        <v>14.91</v>
      </c>
      <c r="O537" s="6">
        <f t="shared" si="1"/>
        <v>5.444946237</v>
      </c>
      <c r="P537" s="6" t="str">
        <f t="shared" si="2"/>
        <v>Post-Shift</v>
      </c>
      <c r="Q537" s="3">
        <f t="shared" si="3"/>
        <v>48</v>
      </c>
    </row>
    <row r="538">
      <c r="A538" s="4" t="s">
        <v>37</v>
      </c>
      <c r="B538" s="2" t="s">
        <v>38</v>
      </c>
      <c r="C538" s="2" t="s">
        <v>31</v>
      </c>
      <c r="D538" s="2" t="s">
        <v>45</v>
      </c>
      <c r="E538" s="2" t="s">
        <v>36</v>
      </c>
      <c r="F538" s="5">
        <v>34048.0</v>
      </c>
      <c r="G538" s="5">
        <v>694.0</v>
      </c>
      <c r="H538" s="5">
        <v>0.0204</v>
      </c>
      <c r="I538" s="5">
        <v>1.45</v>
      </c>
      <c r="J538" s="5">
        <v>1006.3</v>
      </c>
      <c r="K538" s="5">
        <v>49.0</v>
      </c>
      <c r="L538" s="5">
        <v>20.54</v>
      </c>
      <c r="M538" s="5">
        <v>12555.06</v>
      </c>
      <c r="N538" s="5">
        <v>12.48</v>
      </c>
      <c r="O538" s="6">
        <f t="shared" si="1"/>
        <v>20.53673469</v>
      </c>
      <c r="P538" s="6" t="str">
        <f t="shared" si="2"/>
        <v>Post-Shift</v>
      </c>
      <c r="Q538" s="3">
        <f t="shared" si="3"/>
        <v>33</v>
      </c>
    </row>
    <row r="539">
      <c r="A539" s="4" t="s">
        <v>220</v>
      </c>
      <c r="B539" s="2" t="s">
        <v>23</v>
      </c>
      <c r="C539" s="2" t="s">
        <v>27</v>
      </c>
      <c r="D539" s="2" t="s">
        <v>32</v>
      </c>
      <c r="E539" s="2" t="s">
        <v>21</v>
      </c>
      <c r="F539" s="5">
        <v>56672.0</v>
      </c>
      <c r="G539" s="5">
        <v>2397.0</v>
      </c>
      <c r="H539" s="5">
        <v>0.0423</v>
      </c>
      <c r="I539" s="5">
        <v>0.48</v>
      </c>
      <c r="J539" s="5">
        <v>1150.56</v>
      </c>
      <c r="K539" s="5">
        <v>138.0</v>
      </c>
      <c r="L539" s="5">
        <v>8.34</v>
      </c>
      <c r="M539" s="5">
        <v>33165.74</v>
      </c>
      <c r="N539" s="5">
        <v>28.83</v>
      </c>
      <c r="O539" s="6">
        <f t="shared" si="1"/>
        <v>8.337391304</v>
      </c>
      <c r="P539" s="6" t="str">
        <f t="shared" si="2"/>
        <v>Post-Shift</v>
      </c>
      <c r="Q539" s="3">
        <f t="shared" si="3"/>
        <v>8</v>
      </c>
    </row>
    <row r="540">
      <c r="A540" s="4" t="s">
        <v>225</v>
      </c>
      <c r="B540" s="2" t="s">
        <v>18</v>
      </c>
      <c r="C540" s="2" t="s">
        <v>27</v>
      </c>
      <c r="D540" s="2" t="s">
        <v>20</v>
      </c>
      <c r="E540" s="2" t="s">
        <v>21</v>
      </c>
      <c r="F540" s="5">
        <v>128962.0</v>
      </c>
      <c r="G540" s="5">
        <v>7337.0</v>
      </c>
      <c r="H540" s="5">
        <v>0.0569</v>
      </c>
      <c r="I540" s="5">
        <v>1.35</v>
      </c>
      <c r="J540" s="5">
        <v>9904.95</v>
      </c>
      <c r="K540" s="5">
        <v>226.0</v>
      </c>
      <c r="L540" s="5">
        <v>43.83</v>
      </c>
      <c r="M540" s="5">
        <v>26098.81</v>
      </c>
      <c r="N540" s="5">
        <v>2.63</v>
      </c>
      <c r="O540" s="6">
        <f t="shared" si="1"/>
        <v>43.82721239</v>
      </c>
      <c r="P540" s="6" t="str">
        <f t="shared" si="2"/>
        <v>Post-Shift</v>
      </c>
      <c r="Q540" s="3">
        <f t="shared" si="3"/>
        <v>20</v>
      </c>
    </row>
    <row r="541">
      <c r="A541" s="4" t="s">
        <v>101</v>
      </c>
      <c r="B541" s="2" t="s">
        <v>38</v>
      </c>
      <c r="C541" s="2" t="s">
        <v>27</v>
      </c>
      <c r="D541" s="2" t="s">
        <v>29</v>
      </c>
      <c r="E541" s="2" t="s">
        <v>25</v>
      </c>
      <c r="F541" s="5">
        <v>15532.0</v>
      </c>
      <c r="G541" s="5">
        <v>593.0</v>
      </c>
      <c r="H541" s="5">
        <v>0.0382</v>
      </c>
      <c r="I541" s="5">
        <v>1.43</v>
      </c>
      <c r="J541" s="5">
        <v>847.99</v>
      </c>
      <c r="K541" s="5">
        <v>45.0</v>
      </c>
      <c r="L541" s="5">
        <v>18.84</v>
      </c>
      <c r="M541" s="5">
        <v>2243.79</v>
      </c>
      <c r="N541" s="5">
        <v>2.65</v>
      </c>
      <c r="O541" s="6">
        <f t="shared" si="1"/>
        <v>18.84422222</v>
      </c>
      <c r="P541" s="6" t="str">
        <f t="shared" si="2"/>
        <v>Post-Shift</v>
      </c>
      <c r="Q541" s="3">
        <f t="shared" si="3"/>
        <v>39</v>
      </c>
    </row>
    <row r="542">
      <c r="A542" s="4" t="s">
        <v>226</v>
      </c>
      <c r="B542" s="2" t="s">
        <v>18</v>
      </c>
      <c r="C542" s="2" t="s">
        <v>27</v>
      </c>
      <c r="D542" s="2" t="s">
        <v>20</v>
      </c>
      <c r="E542" s="2" t="s">
        <v>58</v>
      </c>
      <c r="F542" s="5">
        <v>154666.0</v>
      </c>
      <c r="G542" s="5">
        <v>5939.0</v>
      </c>
      <c r="H542" s="5">
        <v>0.0384</v>
      </c>
      <c r="I542" s="5">
        <v>1.28</v>
      </c>
      <c r="J542" s="5">
        <v>7601.92</v>
      </c>
      <c r="K542" s="5">
        <v>366.0</v>
      </c>
      <c r="L542" s="5">
        <v>20.77</v>
      </c>
      <c r="M542" s="5">
        <v>24965.13</v>
      </c>
      <c r="N542" s="5">
        <v>3.28</v>
      </c>
      <c r="O542" s="6">
        <f t="shared" si="1"/>
        <v>20.77027322</v>
      </c>
      <c r="P542" s="6" t="str">
        <f t="shared" si="2"/>
        <v>Post-Shift</v>
      </c>
      <c r="Q542" s="3">
        <f t="shared" si="3"/>
        <v>33</v>
      </c>
    </row>
    <row r="543">
      <c r="A543" s="4" t="s">
        <v>207</v>
      </c>
      <c r="B543" s="2" t="s">
        <v>23</v>
      </c>
      <c r="C543" s="2" t="s">
        <v>27</v>
      </c>
      <c r="D543" s="2" t="s">
        <v>45</v>
      </c>
      <c r="E543" s="2" t="s">
        <v>30</v>
      </c>
      <c r="F543" s="5">
        <v>9722.0</v>
      </c>
      <c r="G543" s="5">
        <v>455.0</v>
      </c>
      <c r="H543" s="5">
        <v>0.0469</v>
      </c>
      <c r="I543" s="5">
        <v>1.21</v>
      </c>
      <c r="J543" s="5">
        <v>550.55</v>
      </c>
      <c r="K543" s="5">
        <v>29.0</v>
      </c>
      <c r="L543" s="5">
        <v>18.98</v>
      </c>
      <c r="M543" s="5">
        <v>3533.89</v>
      </c>
      <c r="N543" s="5">
        <v>6.42</v>
      </c>
      <c r="O543" s="6">
        <f t="shared" si="1"/>
        <v>18.98448276</v>
      </c>
      <c r="P543" s="6" t="str">
        <f t="shared" si="2"/>
        <v>Post-Shift</v>
      </c>
      <c r="Q543" s="3">
        <f t="shared" si="3"/>
        <v>34</v>
      </c>
    </row>
    <row r="544">
      <c r="A544" s="4">
        <v>45573.0</v>
      </c>
      <c r="B544" s="2" t="s">
        <v>18</v>
      </c>
      <c r="C544" s="2" t="s">
        <v>41</v>
      </c>
      <c r="D544" s="2" t="s">
        <v>20</v>
      </c>
      <c r="E544" s="2" t="s">
        <v>58</v>
      </c>
      <c r="F544" s="5">
        <v>24464.0</v>
      </c>
      <c r="G544" s="5">
        <v>511.0</v>
      </c>
      <c r="H544" s="5">
        <v>0.0209</v>
      </c>
      <c r="I544" s="5">
        <v>1.12</v>
      </c>
      <c r="J544" s="5">
        <v>572.32</v>
      </c>
      <c r="K544" s="5">
        <v>20.0</v>
      </c>
      <c r="L544" s="5">
        <v>28.62</v>
      </c>
      <c r="M544" s="5">
        <v>5921.83</v>
      </c>
      <c r="N544" s="5">
        <v>10.35</v>
      </c>
      <c r="O544" s="6">
        <f t="shared" si="1"/>
        <v>28.616</v>
      </c>
      <c r="P544" s="6" t="str">
        <f t="shared" si="2"/>
        <v>Post-Shift</v>
      </c>
      <c r="Q544" s="3">
        <f t="shared" si="3"/>
        <v>32</v>
      </c>
    </row>
    <row r="545">
      <c r="A545" s="4">
        <v>45537.0</v>
      </c>
      <c r="B545" s="2" t="s">
        <v>38</v>
      </c>
      <c r="C545" s="2" t="s">
        <v>27</v>
      </c>
      <c r="D545" s="2" t="s">
        <v>45</v>
      </c>
      <c r="E545" s="2" t="s">
        <v>56</v>
      </c>
      <c r="F545" s="5">
        <v>170413.0</v>
      </c>
      <c r="G545" s="5">
        <v>3936.0</v>
      </c>
      <c r="H545" s="5">
        <v>0.0231</v>
      </c>
      <c r="I545" s="5">
        <v>0.71</v>
      </c>
      <c r="J545" s="5">
        <v>2794.56</v>
      </c>
      <c r="K545" s="5">
        <v>63.0</v>
      </c>
      <c r="L545" s="5">
        <v>44.36</v>
      </c>
      <c r="M545" s="5">
        <v>12671.79</v>
      </c>
      <c r="N545" s="5">
        <v>4.53</v>
      </c>
      <c r="O545" s="6">
        <f t="shared" si="1"/>
        <v>44.35809524</v>
      </c>
      <c r="P545" s="6" t="str">
        <f t="shared" si="2"/>
        <v>Post-Shift</v>
      </c>
      <c r="Q545" s="3">
        <f t="shared" si="3"/>
        <v>6</v>
      </c>
    </row>
    <row r="546">
      <c r="A546" s="4">
        <v>45629.0</v>
      </c>
      <c r="B546" s="2" t="s">
        <v>23</v>
      </c>
      <c r="C546" s="2" t="s">
        <v>27</v>
      </c>
      <c r="D546" s="2" t="s">
        <v>20</v>
      </c>
      <c r="E546" s="2" t="s">
        <v>33</v>
      </c>
      <c r="F546" s="5">
        <v>109205.0</v>
      </c>
      <c r="G546" s="5">
        <v>4499.0</v>
      </c>
      <c r="H546" s="5">
        <v>0.0412</v>
      </c>
      <c r="I546" s="5">
        <v>0.84</v>
      </c>
      <c r="J546" s="5">
        <v>3779.16</v>
      </c>
      <c r="K546" s="5">
        <v>49.0</v>
      </c>
      <c r="L546" s="5">
        <v>77.13</v>
      </c>
      <c r="M546" s="5">
        <v>13660.38</v>
      </c>
      <c r="N546" s="5">
        <v>3.61</v>
      </c>
      <c r="O546" s="6">
        <f t="shared" si="1"/>
        <v>77.12571429</v>
      </c>
      <c r="P546" s="6" t="str">
        <f t="shared" si="2"/>
        <v>Post-Shift</v>
      </c>
      <c r="Q546" s="3">
        <f t="shared" si="3"/>
        <v>11</v>
      </c>
    </row>
    <row r="547">
      <c r="A547" s="4" t="s">
        <v>53</v>
      </c>
      <c r="B547" s="2" t="s">
        <v>18</v>
      </c>
      <c r="C547" s="2" t="s">
        <v>31</v>
      </c>
      <c r="D547" s="2" t="s">
        <v>45</v>
      </c>
      <c r="E547" s="2" t="s">
        <v>33</v>
      </c>
      <c r="F547" s="5">
        <v>161926.0</v>
      </c>
      <c r="G547" s="5">
        <v>5424.0</v>
      </c>
      <c r="H547" s="5">
        <v>0.0335</v>
      </c>
      <c r="I547" s="5">
        <v>3.29</v>
      </c>
      <c r="J547" s="5">
        <v>17844.96</v>
      </c>
      <c r="K547" s="5">
        <v>87.0</v>
      </c>
      <c r="L547" s="5">
        <v>205.11</v>
      </c>
      <c r="M547" s="5">
        <v>11807.21</v>
      </c>
      <c r="N547" s="5">
        <v>0.66</v>
      </c>
      <c r="O547" s="6">
        <f t="shared" si="1"/>
        <v>205.1144828</v>
      </c>
      <c r="P547" s="6" t="str">
        <f t="shared" si="2"/>
        <v>Post-Shift</v>
      </c>
      <c r="Q547" s="3">
        <f t="shared" si="3"/>
        <v>34</v>
      </c>
    </row>
    <row r="548">
      <c r="A548" s="4" t="s">
        <v>66</v>
      </c>
      <c r="B548" s="2" t="s">
        <v>38</v>
      </c>
      <c r="C548" s="2" t="s">
        <v>19</v>
      </c>
      <c r="D548" s="2" t="s">
        <v>45</v>
      </c>
      <c r="E548" s="2" t="s">
        <v>25</v>
      </c>
      <c r="F548" s="5">
        <v>125725.0</v>
      </c>
      <c r="G548" s="5">
        <v>1646.0</v>
      </c>
      <c r="H548" s="5">
        <v>0.0131</v>
      </c>
      <c r="I548" s="5">
        <v>0.81</v>
      </c>
      <c r="J548" s="5">
        <v>1333.26</v>
      </c>
      <c r="K548" s="5">
        <v>19.0</v>
      </c>
      <c r="L548" s="5">
        <v>70.17</v>
      </c>
      <c r="M548" s="5">
        <v>2319.58</v>
      </c>
      <c r="N548" s="5">
        <v>1.74</v>
      </c>
      <c r="O548" s="6">
        <f t="shared" si="1"/>
        <v>70.17157895</v>
      </c>
      <c r="P548" s="6" t="str">
        <f t="shared" si="2"/>
        <v>Post-Shift</v>
      </c>
      <c r="Q548" s="3">
        <f t="shared" si="3"/>
        <v>42</v>
      </c>
    </row>
    <row r="549">
      <c r="A549" s="4" t="s">
        <v>71</v>
      </c>
      <c r="B549" s="2" t="s">
        <v>23</v>
      </c>
      <c r="C549" s="2" t="s">
        <v>27</v>
      </c>
      <c r="D549" s="2" t="s">
        <v>29</v>
      </c>
      <c r="E549" s="2" t="s">
        <v>21</v>
      </c>
      <c r="F549" s="5">
        <v>116301.0</v>
      </c>
      <c r="G549" s="5">
        <v>4198.0</v>
      </c>
      <c r="H549" s="5">
        <v>0.0361</v>
      </c>
      <c r="I549" s="5">
        <v>1.45</v>
      </c>
      <c r="J549" s="5">
        <v>6087.1</v>
      </c>
      <c r="K549" s="5">
        <v>212.0</v>
      </c>
      <c r="L549" s="5">
        <v>28.71</v>
      </c>
      <c r="M549" s="5">
        <v>37780.9</v>
      </c>
      <c r="N549" s="5">
        <v>6.21</v>
      </c>
      <c r="O549" s="6">
        <f t="shared" si="1"/>
        <v>28.71273585</v>
      </c>
      <c r="P549" s="6" t="str">
        <f t="shared" si="2"/>
        <v>Post-Shift</v>
      </c>
      <c r="Q549" s="3">
        <f t="shared" si="3"/>
        <v>20</v>
      </c>
    </row>
    <row r="550">
      <c r="A550" s="4">
        <v>45638.0</v>
      </c>
      <c r="B550" s="2" t="s">
        <v>18</v>
      </c>
      <c r="C550" s="2" t="s">
        <v>31</v>
      </c>
      <c r="D550" s="2" t="s">
        <v>32</v>
      </c>
      <c r="E550" s="2" t="s">
        <v>36</v>
      </c>
      <c r="F550" s="5">
        <v>88251.0</v>
      </c>
      <c r="G550" s="5">
        <v>2665.0</v>
      </c>
      <c r="H550" s="5">
        <v>0.0302</v>
      </c>
      <c r="I550" s="5">
        <v>1.29</v>
      </c>
      <c r="J550" s="5">
        <v>3437.85</v>
      </c>
      <c r="K550" s="5">
        <v>151.0</v>
      </c>
      <c r="L550" s="5">
        <v>22.77</v>
      </c>
      <c r="M550" s="5">
        <v>17509.21</v>
      </c>
      <c r="N550" s="5">
        <v>5.09</v>
      </c>
      <c r="O550" s="6">
        <f t="shared" si="1"/>
        <v>22.76721854</v>
      </c>
      <c r="P550" s="6" t="str">
        <f t="shared" si="2"/>
        <v>Post-Shift</v>
      </c>
      <c r="Q550" s="3">
        <f t="shared" si="3"/>
        <v>50</v>
      </c>
    </row>
    <row r="551">
      <c r="A551" s="4">
        <v>45636.0</v>
      </c>
      <c r="B551" s="2" t="s">
        <v>18</v>
      </c>
      <c r="C551" s="2" t="s">
        <v>27</v>
      </c>
      <c r="D551" s="2" t="s">
        <v>24</v>
      </c>
      <c r="E551" s="2" t="s">
        <v>33</v>
      </c>
      <c r="F551" s="5">
        <v>185378.0</v>
      </c>
      <c r="G551" s="5">
        <v>3244.0</v>
      </c>
      <c r="H551" s="5">
        <v>0.0175</v>
      </c>
      <c r="I551" s="5">
        <v>1.82</v>
      </c>
      <c r="J551" s="5">
        <v>5904.08</v>
      </c>
      <c r="K551" s="5">
        <v>246.0</v>
      </c>
      <c r="L551" s="5">
        <v>24.0</v>
      </c>
      <c r="M551" s="5">
        <v>67552.8</v>
      </c>
      <c r="N551" s="5">
        <v>11.44</v>
      </c>
      <c r="O551" s="6">
        <f t="shared" si="1"/>
        <v>24.0003252</v>
      </c>
      <c r="P551" s="6" t="str">
        <f t="shared" si="2"/>
        <v>Post-Shift</v>
      </c>
      <c r="Q551" s="3">
        <f t="shared" si="3"/>
        <v>41</v>
      </c>
    </row>
    <row r="552">
      <c r="A552" s="4" t="s">
        <v>52</v>
      </c>
      <c r="B552" s="2" t="s">
        <v>38</v>
      </c>
      <c r="C552" s="2" t="s">
        <v>31</v>
      </c>
      <c r="D552" s="2" t="s">
        <v>32</v>
      </c>
      <c r="E552" s="2" t="s">
        <v>30</v>
      </c>
      <c r="F552" s="5">
        <v>177905.0</v>
      </c>
      <c r="G552" s="5">
        <v>5532.0</v>
      </c>
      <c r="H552" s="5">
        <v>0.0311</v>
      </c>
      <c r="I552" s="5">
        <v>0.98</v>
      </c>
      <c r="J552" s="5">
        <v>5421.36</v>
      </c>
      <c r="K552" s="5">
        <v>370.0</v>
      </c>
      <c r="L552" s="5">
        <v>14.65</v>
      </c>
      <c r="M552" s="5">
        <v>14673.05</v>
      </c>
      <c r="N552" s="5">
        <v>2.71</v>
      </c>
      <c r="O552" s="6">
        <f t="shared" si="1"/>
        <v>14.65232432</v>
      </c>
      <c r="P552" s="6" t="str">
        <f t="shared" si="2"/>
        <v>Post-Shift</v>
      </c>
      <c r="Q552" s="3">
        <f t="shared" si="3"/>
        <v>33</v>
      </c>
    </row>
    <row r="553">
      <c r="A553" s="4" t="s">
        <v>69</v>
      </c>
      <c r="B553" s="2" t="s">
        <v>38</v>
      </c>
      <c r="C553" s="2" t="s">
        <v>27</v>
      </c>
      <c r="D553" s="2" t="s">
        <v>45</v>
      </c>
      <c r="E553" s="2" t="s">
        <v>36</v>
      </c>
      <c r="F553" s="5">
        <v>122845.0</v>
      </c>
      <c r="G553" s="5">
        <v>2714.0</v>
      </c>
      <c r="H553" s="5">
        <v>0.0221</v>
      </c>
      <c r="I553" s="5">
        <v>0.57</v>
      </c>
      <c r="J553" s="5">
        <v>1546.98</v>
      </c>
      <c r="K553" s="5">
        <v>143.0</v>
      </c>
      <c r="L553" s="5">
        <v>10.82</v>
      </c>
      <c r="M553" s="5">
        <v>36419.79</v>
      </c>
      <c r="N553" s="5">
        <v>23.54</v>
      </c>
      <c r="O553" s="6">
        <f t="shared" si="1"/>
        <v>10.81804196</v>
      </c>
      <c r="P553" s="6" t="str">
        <f t="shared" si="2"/>
        <v>Post-Shift</v>
      </c>
      <c r="Q553" s="3">
        <f t="shared" si="3"/>
        <v>33</v>
      </c>
    </row>
    <row r="554">
      <c r="A554" s="4" t="s">
        <v>144</v>
      </c>
      <c r="B554" s="2" t="s">
        <v>38</v>
      </c>
      <c r="C554" s="2" t="s">
        <v>27</v>
      </c>
      <c r="D554" s="2" t="s">
        <v>29</v>
      </c>
      <c r="E554" s="2" t="s">
        <v>33</v>
      </c>
      <c r="F554" s="5">
        <v>36017.0</v>
      </c>
      <c r="G554" s="5">
        <v>1210.0</v>
      </c>
      <c r="H554" s="5">
        <v>0.0336</v>
      </c>
      <c r="I554" s="5">
        <v>1.01</v>
      </c>
      <c r="J554" s="5">
        <v>1222.1</v>
      </c>
      <c r="K554" s="5">
        <v>28.0</v>
      </c>
      <c r="L554" s="5">
        <v>43.65</v>
      </c>
      <c r="M554" s="5">
        <v>1258.31</v>
      </c>
      <c r="N554" s="5">
        <v>1.03</v>
      </c>
      <c r="O554" s="6">
        <f t="shared" si="1"/>
        <v>43.64642857</v>
      </c>
      <c r="P554" s="6" t="str">
        <f t="shared" si="2"/>
        <v>Post-Shift</v>
      </c>
      <c r="Q554" s="3">
        <f t="shared" si="3"/>
        <v>25</v>
      </c>
    </row>
    <row r="555">
      <c r="A555" s="4" t="s">
        <v>80</v>
      </c>
      <c r="B555" s="2" t="s">
        <v>18</v>
      </c>
      <c r="C555" s="2" t="s">
        <v>19</v>
      </c>
      <c r="D555" s="2" t="s">
        <v>24</v>
      </c>
      <c r="E555" s="2" t="s">
        <v>30</v>
      </c>
      <c r="F555" s="5">
        <v>71267.0</v>
      </c>
      <c r="G555" s="5">
        <v>3962.0</v>
      </c>
      <c r="H555" s="5">
        <v>0.0556</v>
      </c>
      <c r="I555" s="5">
        <v>0.93</v>
      </c>
      <c r="J555" s="5">
        <v>3684.66</v>
      </c>
      <c r="K555" s="5">
        <v>287.0</v>
      </c>
      <c r="L555" s="5">
        <v>12.84</v>
      </c>
      <c r="M555" s="5">
        <v>50107.59</v>
      </c>
      <c r="N555" s="5">
        <v>13.6</v>
      </c>
      <c r="O555" s="6">
        <f t="shared" si="1"/>
        <v>12.83853659</v>
      </c>
      <c r="P555" s="6" t="str">
        <f t="shared" si="2"/>
        <v>Post-Shift</v>
      </c>
      <c r="Q555" s="3">
        <f t="shared" si="3"/>
        <v>20</v>
      </c>
    </row>
    <row r="556">
      <c r="A556" s="4">
        <v>45383.0</v>
      </c>
      <c r="B556" s="2" t="s">
        <v>38</v>
      </c>
      <c r="C556" s="2" t="s">
        <v>41</v>
      </c>
      <c r="D556" s="2" t="s">
        <v>24</v>
      </c>
      <c r="E556" s="2" t="s">
        <v>56</v>
      </c>
      <c r="F556" s="5">
        <v>97152.0</v>
      </c>
      <c r="G556" s="5">
        <v>1156.0</v>
      </c>
      <c r="H556" s="5">
        <v>0.0119</v>
      </c>
      <c r="I556" s="5">
        <v>0.54</v>
      </c>
      <c r="J556" s="5">
        <v>624.24</v>
      </c>
      <c r="K556" s="5">
        <v>43.0</v>
      </c>
      <c r="L556" s="5">
        <v>14.52</v>
      </c>
      <c r="M556" s="5">
        <v>4965.75</v>
      </c>
      <c r="N556" s="5">
        <v>7.95</v>
      </c>
      <c r="O556" s="6">
        <f t="shared" si="1"/>
        <v>14.5172093</v>
      </c>
      <c r="P556" s="6" t="str">
        <f t="shared" si="2"/>
        <v>Baseline</v>
      </c>
      <c r="Q556" s="3">
        <f t="shared" si="3"/>
        <v>1</v>
      </c>
    </row>
    <row r="557">
      <c r="A557" s="4">
        <v>45360.0</v>
      </c>
      <c r="B557" s="2" t="s">
        <v>38</v>
      </c>
      <c r="C557" s="2" t="s">
        <v>31</v>
      </c>
      <c r="D557" s="2" t="s">
        <v>45</v>
      </c>
      <c r="E557" s="2" t="s">
        <v>30</v>
      </c>
      <c r="F557" s="5">
        <v>33834.0</v>
      </c>
      <c r="G557" s="5">
        <v>906.0</v>
      </c>
      <c r="H557" s="5">
        <v>0.0268</v>
      </c>
      <c r="I557" s="5">
        <v>0.88</v>
      </c>
      <c r="J557" s="5">
        <v>797.28</v>
      </c>
      <c r="K557" s="5">
        <v>23.0</v>
      </c>
      <c r="L557" s="5">
        <v>34.66</v>
      </c>
      <c r="M557" s="5">
        <v>2361.23</v>
      </c>
      <c r="N557" s="5">
        <v>2.96</v>
      </c>
      <c r="O557" s="6">
        <f t="shared" si="1"/>
        <v>34.66434783</v>
      </c>
      <c r="P557" s="6" t="str">
        <f t="shared" si="2"/>
        <v>Baseline</v>
      </c>
      <c r="Q557" s="3">
        <f t="shared" si="3"/>
        <v>36</v>
      </c>
    </row>
    <row r="558">
      <c r="A558" s="4" t="s">
        <v>57</v>
      </c>
      <c r="B558" s="2" t="s">
        <v>23</v>
      </c>
      <c r="C558" s="2" t="s">
        <v>31</v>
      </c>
      <c r="D558" s="2" t="s">
        <v>45</v>
      </c>
      <c r="E558" s="2" t="s">
        <v>36</v>
      </c>
      <c r="F558" s="5">
        <v>183775.0</v>
      </c>
      <c r="G558" s="5">
        <v>7093.0</v>
      </c>
      <c r="H558" s="5">
        <v>0.0386</v>
      </c>
      <c r="I558" s="5">
        <v>1.0</v>
      </c>
      <c r="J558" s="5">
        <v>7093.0</v>
      </c>
      <c r="K558" s="5">
        <v>373.0</v>
      </c>
      <c r="L558" s="5">
        <v>19.02</v>
      </c>
      <c r="M558" s="5">
        <v>88634.0</v>
      </c>
      <c r="N558" s="5">
        <v>12.5</v>
      </c>
      <c r="O558" s="6">
        <f t="shared" si="1"/>
        <v>19.01608579</v>
      </c>
      <c r="P558" s="6" t="str">
        <f t="shared" si="2"/>
        <v>Post-Shift</v>
      </c>
      <c r="Q558" s="3">
        <f t="shared" si="3"/>
        <v>50</v>
      </c>
    </row>
    <row r="559">
      <c r="A559" s="4" t="s">
        <v>164</v>
      </c>
      <c r="B559" s="2" t="s">
        <v>38</v>
      </c>
      <c r="C559" s="2" t="s">
        <v>19</v>
      </c>
      <c r="D559" s="2" t="s">
        <v>20</v>
      </c>
      <c r="E559" s="2" t="s">
        <v>21</v>
      </c>
      <c r="F559" s="5">
        <v>199405.0</v>
      </c>
      <c r="G559" s="5">
        <v>5204.0</v>
      </c>
      <c r="H559" s="5">
        <v>0.0261</v>
      </c>
      <c r="I559" s="5">
        <v>0.96</v>
      </c>
      <c r="J559" s="5">
        <v>4995.84</v>
      </c>
      <c r="K559" s="5">
        <v>333.0</v>
      </c>
      <c r="L559" s="5">
        <v>15.0</v>
      </c>
      <c r="M559" s="5">
        <v>25169.83</v>
      </c>
      <c r="N559" s="5">
        <v>5.04</v>
      </c>
      <c r="O559" s="6">
        <f t="shared" si="1"/>
        <v>15.00252252</v>
      </c>
      <c r="P559" s="6" t="str">
        <f t="shared" si="2"/>
        <v>Post-Shift</v>
      </c>
      <c r="Q559" s="3">
        <f t="shared" si="3"/>
        <v>35</v>
      </c>
    </row>
    <row r="560">
      <c r="A560" s="4" t="s">
        <v>227</v>
      </c>
      <c r="B560" s="2" t="s">
        <v>23</v>
      </c>
      <c r="C560" s="2" t="s">
        <v>19</v>
      </c>
      <c r="D560" s="2" t="s">
        <v>29</v>
      </c>
      <c r="E560" s="2" t="s">
        <v>33</v>
      </c>
      <c r="F560" s="5">
        <v>169512.0</v>
      </c>
      <c r="G560" s="5">
        <v>9475.0</v>
      </c>
      <c r="H560" s="5">
        <v>0.0559</v>
      </c>
      <c r="I560" s="5">
        <v>1.41</v>
      </c>
      <c r="J560" s="5">
        <v>13359.75</v>
      </c>
      <c r="K560" s="5">
        <v>203.0</v>
      </c>
      <c r="L560" s="5">
        <v>65.81</v>
      </c>
      <c r="M560" s="5">
        <v>26995.02</v>
      </c>
      <c r="N560" s="5">
        <v>2.02</v>
      </c>
      <c r="O560" s="6">
        <f t="shared" si="1"/>
        <v>65.81157635</v>
      </c>
      <c r="P560" s="6" t="str">
        <f t="shared" si="2"/>
        <v>Post-Shift</v>
      </c>
      <c r="Q560" s="3">
        <f t="shared" si="3"/>
        <v>12</v>
      </c>
    </row>
    <row r="561">
      <c r="A561" s="4">
        <v>45454.0</v>
      </c>
      <c r="B561" s="2" t="s">
        <v>18</v>
      </c>
      <c r="C561" s="2" t="s">
        <v>41</v>
      </c>
      <c r="D561" s="2" t="s">
        <v>24</v>
      </c>
      <c r="E561" s="2" t="s">
        <v>56</v>
      </c>
      <c r="F561" s="5">
        <v>14884.0</v>
      </c>
      <c r="G561" s="5">
        <v>541.0</v>
      </c>
      <c r="H561" s="5">
        <v>0.0364</v>
      </c>
      <c r="I561" s="5">
        <v>3.25</v>
      </c>
      <c r="J561" s="5">
        <v>1758.25</v>
      </c>
      <c r="K561" s="5">
        <v>43.0</v>
      </c>
      <c r="L561" s="5">
        <v>40.89</v>
      </c>
      <c r="M561" s="5">
        <v>4123.58</v>
      </c>
      <c r="N561" s="5">
        <v>2.35</v>
      </c>
      <c r="O561" s="6">
        <f t="shared" si="1"/>
        <v>40.88953488</v>
      </c>
      <c r="P561" s="6" t="str">
        <f t="shared" si="2"/>
        <v>Baseline</v>
      </c>
      <c r="Q561" s="3">
        <f t="shared" si="3"/>
        <v>45</v>
      </c>
    </row>
    <row r="562">
      <c r="A562" s="4" t="s">
        <v>104</v>
      </c>
      <c r="B562" s="2" t="s">
        <v>23</v>
      </c>
      <c r="C562" s="2" t="s">
        <v>31</v>
      </c>
      <c r="D562" s="2" t="s">
        <v>29</v>
      </c>
      <c r="E562" s="2" t="s">
        <v>33</v>
      </c>
      <c r="F562" s="5">
        <v>47623.0</v>
      </c>
      <c r="G562" s="5">
        <v>1695.0</v>
      </c>
      <c r="H562" s="5">
        <v>0.0356</v>
      </c>
      <c r="I562" s="5">
        <v>1.85</v>
      </c>
      <c r="J562" s="5">
        <v>3135.75</v>
      </c>
      <c r="K562" s="5">
        <v>36.0</v>
      </c>
      <c r="L562" s="5">
        <v>87.1</v>
      </c>
      <c r="M562" s="5">
        <v>9884.86</v>
      </c>
      <c r="N562" s="5">
        <v>3.15</v>
      </c>
      <c r="O562" s="6">
        <f t="shared" si="1"/>
        <v>87.10416667</v>
      </c>
      <c r="P562" s="6" t="str">
        <f t="shared" si="2"/>
        <v>Post-Shift</v>
      </c>
      <c r="Q562" s="3">
        <f t="shared" si="3"/>
        <v>47</v>
      </c>
    </row>
    <row r="563">
      <c r="A563" s="4" t="s">
        <v>228</v>
      </c>
      <c r="B563" s="2" t="s">
        <v>38</v>
      </c>
      <c r="C563" s="2" t="s">
        <v>19</v>
      </c>
      <c r="D563" s="2" t="s">
        <v>45</v>
      </c>
      <c r="E563" s="2" t="s">
        <v>30</v>
      </c>
      <c r="F563" s="5">
        <v>102780.0</v>
      </c>
      <c r="G563" s="5">
        <v>1952.0</v>
      </c>
      <c r="H563" s="5">
        <v>0.019</v>
      </c>
      <c r="I563" s="5">
        <v>1.2</v>
      </c>
      <c r="J563" s="5">
        <v>2342.4</v>
      </c>
      <c r="K563" s="5">
        <v>63.0</v>
      </c>
      <c r="L563" s="5">
        <v>37.18</v>
      </c>
      <c r="M563" s="5">
        <v>16160.9</v>
      </c>
      <c r="N563" s="5">
        <v>6.9</v>
      </c>
      <c r="O563" s="6">
        <f t="shared" si="1"/>
        <v>37.18095238</v>
      </c>
      <c r="P563" s="6" t="str">
        <f t="shared" si="2"/>
        <v>Post-Shift</v>
      </c>
      <c r="Q563" s="3">
        <f t="shared" si="3"/>
        <v>48</v>
      </c>
    </row>
    <row r="564">
      <c r="A564" s="4">
        <v>45567.0</v>
      </c>
      <c r="B564" s="2" t="s">
        <v>18</v>
      </c>
      <c r="C564" s="2" t="s">
        <v>31</v>
      </c>
      <c r="D564" s="2" t="s">
        <v>29</v>
      </c>
      <c r="E564" s="2" t="s">
        <v>58</v>
      </c>
      <c r="F564" s="5">
        <v>167717.0</v>
      </c>
      <c r="G564" s="5">
        <v>4142.0</v>
      </c>
      <c r="H564" s="5">
        <v>0.0247</v>
      </c>
      <c r="I564" s="5">
        <v>1.73</v>
      </c>
      <c r="J564" s="5">
        <v>7165.66</v>
      </c>
      <c r="K564" s="5">
        <v>71.0</v>
      </c>
      <c r="L564" s="5">
        <v>100.92</v>
      </c>
      <c r="M564" s="5">
        <v>15937.54</v>
      </c>
      <c r="N564" s="5">
        <v>2.22</v>
      </c>
      <c r="O564" s="6">
        <f t="shared" si="1"/>
        <v>100.9247887</v>
      </c>
      <c r="P564" s="6" t="str">
        <f t="shared" si="2"/>
        <v>Post-Shift</v>
      </c>
      <c r="Q564" s="3">
        <f t="shared" si="3"/>
        <v>6</v>
      </c>
    </row>
    <row r="565">
      <c r="A565" s="4">
        <v>45421.0</v>
      </c>
      <c r="B565" s="2" t="s">
        <v>38</v>
      </c>
      <c r="C565" s="2" t="s">
        <v>19</v>
      </c>
      <c r="D565" s="2" t="s">
        <v>45</v>
      </c>
      <c r="E565" s="2" t="s">
        <v>25</v>
      </c>
      <c r="F565" s="5">
        <v>189598.0</v>
      </c>
      <c r="G565" s="5">
        <v>6673.0</v>
      </c>
      <c r="H565" s="5">
        <v>0.0352</v>
      </c>
      <c r="I565" s="5">
        <v>1.99</v>
      </c>
      <c r="J565" s="5">
        <v>13279.27</v>
      </c>
      <c r="K565" s="5">
        <v>170.0</v>
      </c>
      <c r="L565" s="5">
        <v>78.11</v>
      </c>
      <c r="M565" s="5">
        <v>36177.68</v>
      </c>
      <c r="N565" s="5">
        <v>2.72</v>
      </c>
      <c r="O565" s="6">
        <f t="shared" si="1"/>
        <v>78.11335294</v>
      </c>
      <c r="P565" s="6" t="str">
        <f t="shared" si="2"/>
        <v>Baseline</v>
      </c>
      <c r="Q565" s="3">
        <f t="shared" si="3"/>
        <v>36</v>
      </c>
    </row>
    <row r="566">
      <c r="A566" s="4" t="s">
        <v>17</v>
      </c>
      <c r="B566" s="2" t="s">
        <v>23</v>
      </c>
      <c r="C566" s="2" t="s">
        <v>41</v>
      </c>
      <c r="D566" s="2" t="s">
        <v>32</v>
      </c>
      <c r="E566" s="2" t="s">
        <v>33</v>
      </c>
      <c r="F566" s="5">
        <v>92273.0</v>
      </c>
      <c r="G566" s="5">
        <v>6237.0</v>
      </c>
      <c r="H566" s="5">
        <v>0.0676</v>
      </c>
      <c r="I566" s="5">
        <v>1.41</v>
      </c>
      <c r="J566" s="5">
        <v>8794.17</v>
      </c>
      <c r="K566" s="5">
        <v>291.0</v>
      </c>
      <c r="L566" s="5">
        <v>30.22</v>
      </c>
      <c r="M566" s="5">
        <v>72065.02</v>
      </c>
      <c r="N566" s="5">
        <v>8.19</v>
      </c>
      <c r="O566" s="6">
        <f t="shared" si="1"/>
        <v>30.22051546</v>
      </c>
      <c r="P566" s="6" t="str">
        <f t="shared" si="2"/>
        <v>Post-Shift</v>
      </c>
      <c r="Q566" s="3">
        <f t="shared" si="3"/>
        <v>4</v>
      </c>
    </row>
    <row r="567">
      <c r="A567" s="4">
        <v>45421.0</v>
      </c>
      <c r="B567" s="2" t="s">
        <v>18</v>
      </c>
      <c r="C567" s="2" t="s">
        <v>41</v>
      </c>
      <c r="D567" s="2" t="s">
        <v>20</v>
      </c>
      <c r="E567" s="2" t="s">
        <v>25</v>
      </c>
      <c r="F567" s="5">
        <v>118884.0</v>
      </c>
      <c r="G567" s="5">
        <v>5932.0</v>
      </c>
      <c r="H567" s="5">
        <v>0.0499</v>
      </c>
      <c r="I567" s="5">
        <v>2.95</v>
      </c>
      <c r="J567" s="5">
        <v>17499.4</v>
      </c>
      <c r="K567" s="5">
        <v>450.0</v>
      </c>
      <c r="L567" s="5">
        <v>38.89</v>
      </c>
      <c r="M567" s="5">
        <v>121374.9</v>
      </c>
      <c r="N567" s="5">
        <v>6.94</v>
      </c>
      <c r="O567" s="6">
        <f t="shared" si="1"/>
        <v>38.88755556</v>
      </c>
      <c r="P567" s="6" t="str">
        <f t="shared" si="2"/>
        <v>Baseline</v>
      </c>
      <c r="Q567" s="3">
        <f t="shared" si="3"/>
        <v>36</v>
      </c>
    </row>
    <row r="568">
      <c r="A568" s="4">
        <v>45386.0</v>
      </c>
      <c r="B568" s="2" t="s">
        <v>18</v>
      </c>
      <c r="C568" s="2" t="s">
        <v>19</v>
      </c>
      <c r="D568" s="2" t="s">
        <v>29</v>
      </c>
      <c r="E568" s="2" t="s">
        <v>58</v>
      </c>
      <c r="F568" s="5">
        <v>84303.0</v>
      </c>
      <c r="G568" s="5">
        <v>4417.0</v>
      </c>
      <c r="H568" s="5">
        <v>0.0524</v>
      </c>
      <c r="I568" s="5">
        <v>3.12</v>
      </c>
      <c r="J568" s="5">
        <v>13781.04</v>
      </c>
      <c r="K568" s="5">
        <v>100.0</v>
      </c>
      <c r="L568" s="5">
        <v>137.81</v>
      </c>
      <c r="M568" s="5">
        <v>20354.89</v>
      </c>
      <c r="N568" s="5">
        <v>1.48</v>
      </c>
      <c r="O568" s="6">
        <f t="shared" si="1"/>
        <v>137.8104</v>
      </c>
      <c r="P568" s="6" t="str">
        <f t="shared" si="2"/>
        <v>Baseline</v>
      </c>
      <c r="Q568" s="3">
        <f t="shared" si="3"/>
        <v>14</v>
      </c>
    </row>
    <row r="569">
      <c r="A569" s="4">
        <v>45383.0</v>
      </c>
      <c r="B569" s="2" t="s">
        <v>18</v>
      </c>
      <c r="C569" s="2" t="s">
        <v>27</v>
      </c>
      <c r="D569" s="2" t="s">
        <v>24</v>
      </c>
      <c r="E569" s="2" t="s">
        <v>33</v>
      </c>
      <c r="F569" s="5">
        <v>89730.0</v>
      </c>
      <c r="G569" s="5">
        <v>4621.0</v>
      </c>
      <c r="H569" s="5">
        <v>0.0515</v>
      </c>
      <c r="I569" s="5">
        <v>2.68</v>
      </c>
      <c r="J569" s="5">
        <v>12384.28</v>
      </c>
      <c r="K569" s="5">
        <v>277.0</v>
      </c>
      <c r="L569" s="5">
        <v>44.71</v>
      </c>
      <c r="M569" s="5">
        <v>13483.54</v>
      </c>
      <c r="N569" s="5">
        <v>1.09</v>
      </c>
      <c r="O569" s="6">
        <f t="shared" si="1"/>
        <v>44.70859206</v>
      </c>
      <c r="P569" s="6" t="str">
        <f t="shared" si="2"/>
        <v>Baseline</v>
      </c>
      <c r="Q569" s="3">
        <f t="shared" si="3"/>
        <v>1</v>
      </c>
    </row>
    <row r="570">
      <c r="A570" s="4" t="s">
        <v>167</v>
      </c>
      <c r="B570" s="2" t="s">
        <v>18</v>
      </c>
      <c r="C570" s="2" t="s">
        <v>19</v>
      </c>
      <c r="D570" s="2" t="s">
        <v>32</v>
      </c>
      <c r="E570" s="2" t="s">
        <v>25</v>
      </c>
      <c r="F570" s="5">
        <v>174737.0</v>
      </c>
      <c r="G570" s="5">
        <v>5207.0</v>
      </c>
      <c r="H570" s="5">
        <v>0.0298</v>
      </c>
      <c r="I570" s="5">
        <v>1.44</v>
      </c>
      <c r="J570" s="5">
        <v>7498.08</v>
      </c>
      <c r="K570" s="5">
        <v>398.0</v>
      </c>
      <c r="L570" s="5">
        <v>18.84</v>
      </c>
      <c r="M570" s="5">
        <v>90351.24</v>
      </c>
      <c r="N570" s="5">
        <v>12.05</v>
      </c>
      <c r="O570" s="6">
        <f t="shared" si="1"/>
        <v>18.83939698</v>
      </c>
      <c r="P570" s="6" t="str">
        <f t="shared" si="2"/>
        <v>Post-Shift</v>
      </c>
      <c r="Q570" s="3">
        <f t="shared" si="3"/>
        <v>48</v>
      </c>
    </row>
    <row r="571">
      <c r="A571" s="4">
        <v>45574.0</v>
      </c>
      <c r="B571" s="2" t="s">
        <v>18</v>
      </c>
      <c r="C571" s="2" t="s">
        <v>31</v>
      </c>
      <c r="D571" s="2" t="s">
        <v>29</v>
      </c>
      <c r="E571" s="2" t="s">
        <v>33</v>
      </c>
      <c r="F571" s="5">
        <v>145508.0</v>
      </c>
      <c r="G571" s="5">
        <v>7158.0</v>
      </c>
      <c r="H571" s="5">
        <v>0.0492</v>
      </c>
      <c r="I571" s="5">
        <v>1.44</v>
      </c>
      <c r="J571" s="5">
        <v>10307.52</v>
      </c>
      <c r="K571" s="5">
        <v>566.0</v>
      </c>
      <c r="L571" s="5">
        <v>18.21</v>
      </c>
      <c r="M571" s="5">
        <v>76404.29</v>
      </c>
      <c r="N571" s="5">
        <v>7.41</v>
      </c>
      <c r="O571" s="6">
        <f t="shared" si="1"/>
        <v>18.21116608</v>
      </c>
      <c r="P571" s="6" t="str">
        <f t="shared" si="2"/>
        <v>Post-Shift</v>
      </c>
      <c r="Q571" s="3">
        <f t="shared" si="3"/>
        <v>37</v>
      </c>
    </row>
    <row r="572">
      <c r="A572" s="4" t="s">
        <v>223</v>
      </c>
      <c r="B572" s="2" t="s">
        <v>18</v>
      </c>
      <c r="C572" s="2" t="s">
        <v>31</v>
      </c>
      <c r="D572" s="2" t="s">
        <v>24</v>
      </c>
      <c r="E572" s="2" t="s">
        <v>58</v>
      </c>
      <c r="F572" s="5">
        <v>75649.0</v>
      </c>
      <c r="G572" s="5">
        <v>1792.0</v>
      </c>
      <c r="H572" s="5">
        <v>0.0237</v>
      </c>
      <c r="I572" s="5">
        <v>2.78</v>
      </c>
      <c r="J572" s="5">
        <v>4981.76</v>
      </c>
      <c r="K572" s="5">
        <v>110.0</v>
      </c>
      <c r="L572" s="5">
        <v>45.29</v>
      </c>
      <c r="M572" s="5">
        <v>12588.99</v>
      </c>
      <c r="N572" s="5">
        <v>2.53</v>
      </c>
      <c r="O572" s="6">
        <f t="shared" si="1"/>
        <v>45.28872727</v>
      </c>
      <c r="P572" s="6" t="str">
        <f t="shared" si="2"/>
        <v>Post-Shift</v>
      </c>
      <c r="Q572" s="3">
        <f t="shared" si="3"/>
        <v>17</v>
      </c>
    </row>
    <row r="573">
      <c r="A573" s="4" t="s">
        <v>224</v>
      </c>
      <c r="B573" s="2" t="s">
        <v>23</v>
      </c>
      <c r="C573" s="2" t="s">
        <v>41</v>
      </c>
      <c r="D573" s="2" t="s">
        <v>45</v>
      </c>
      <c r="E573" s="2" t="s">
        <v>25</v>
      </c>
      <c r="F573" s="5">
        <v>85522.0</v>
      </c>
      <c r="G573" s="5">
        <v>3378.0</v>
      </c>
      <c r="H573" s="5">
        <v>0.0395</v>
      </c>
      <c r="I573" s="5">
        <v>0.35</v>
      </c>
      <c r="J573" s="5">
        <v>1182.3</v>
      </c>
      <c r="K573" s="5">
        <v>167.0</v>
      </c>
      <c r="L573" s="5">
        <v>7.08</v>
      </c>
      <c r="M573" s="5">
        <v>30312.31</v>
      </c>
      <c r="N573" s="5">
        <v>25.64</v>
      </c>
      <c r="O573" s="6">
        <f t="shared" si="1"/>
        <v>7.079640719</v>
      </c>
      <c r="P573" s="6" t="str">
        <f t="shared" si="2"/>
        <v>Post-Shift</v>
      </c>
      <c r="Q573" s="3">
        <f t="shared" si="3"/>
        <v>13</v>
      </c>
    </row>
    <row r="574">
      <c r="A574" s="4" t="s">
        <v>104</v>
      </c>
      <c r="B574" s="2" t="s">
        <v>38</v>
      </c>
      <c r="C574" s="2" t="s">
        <v>31</v>
      </c>
      <c r="D574" s="2" t="s">
        <v>29</v>
      </c>
      <c r="E574" s="2" t="s">
        <v>36</v>
      </c>
      <c r="F574" s="5">
        <v>19588.0</v>
      </c>
      <c r="G574" s="5">
        <v>434.0</v>
      </c>
      <c r="H574" s="5">
        <v>0.0222</v>
      </c>
      <c r="I574" s="5">
        <v>1.77</v>
      </c>
      <c r="J574" s="5">
        <v>768.18</v>
      </c>
      <c r="K574" s="5">
        <v>5.0</v>
      </c>
      <c r="L574" s="5">
        <v>153.64</v>
      </c>
      <c r="M574" s="5">
        <v>560.03</v>
      </c>
      <c r="N574" s="5">
        <v>0.73</v>
      </c>
      <c r="O574" s="6">
        <f t="shared" si="1"/>
        <v>153.636</v>
      </c>
      <c r="P574" s="6" t="str">
        <f t="shared" si="2"/>
        <v>Post-Shift</v>
      </c>
      <c r="Q574" s="3">
        <f t="shared" si="3"/>
        <v>47</v>
      </c>
    </row>
    <row r="575">
      <c r="A575" s="4">
        <v>45333.0</v>
      </c>
      <c r="B575" s="2" t="s">
        <v>23</v>
      </c>
      <c r="C575" s="2" t="s">
        <v>27</v>
      </c>
      <c r="D575" s="2" t="s">
        <v>45</v>
      </c>
      <c r="E575" s="2" t="s">
        <v>36</v>
      </c>
      <c r="F575" s="5">
        <v>92985.0</v>
      </c>
      <c r="G575" s="5">
        <v>8024.0</v>
      </c>
      <c r="H575" s="5">
        <v>0.0863</v>
      </c>
      <c r="I575" s="5">
        <v>0.85</v>
      </c>
      <c r="J575" s="5">
        <v>6820.4</v>
      </c>
      <c r="K575" s="5">
        <v>520.0</v>
      </c>
      <c r="L575" s="5">
        <v>13.12</v>
      </c>
      <c r="M575" s="5">
        <v>150775.0</v>
      </c>
      <c r="N575" s="5">
        <v>22.11</v>
      </c>
      <c r="O575" s="6">
        <f t="shared" si="1"/>
        <v>13.11615385</v>
      </c>
      <c r="P575" s="6" t="str">
        <f t="shared" si="2"/>
        <v>Baseline</v>
      </c>
      <c r="Q575" s="3">
        <f t="shared" si="3"/>
        <v>44</v>
      </c>
    </row>
    <row r="576">
      <c r="A576" s="4" t="s">
        <v>67</v>
      </c>
      <c r="B576" s="2" t="s">
        <v>18</v>
      </c>
      <c r="C576" s="2" t="s">
        <v>27</v>
      </c>
      <c r="D576" s="2" t="s">
        <v>45</v>
      </c>
      <c r="E576" s="2" t="s">
        <v>30</v>
      </c>
      <c r="F576" s="5">
        <v>134198.0</v>
      </c>
      <c r="G576" s="5">
        <v>2670.0</v>
      </c>
      <c r="H576" s="5">
        <v>0.0199</v>
      </c>
      <c r="I576" s="5">
        <v>3.15</v>
      </c>
      <c r="J576" s="5">
        <v>8410.5</v>
      </c>
      <c r="K576" s="5">
        <v>71.0</v>
      </c>
      <c r="L576" s="5">
        <v>118.46</v>
      </c>
      <c r="M576" s="5">
        <v>14769.75</v>
      </c>
      <c r="N576" s="5">
        <v>1.76</v>
      </c>
      <c r="O576" s="6">
        <f t="shared" si="1"/>
        <v>118.4577465</v>
      </c>
      <c r="P576" s="6" t="str">
        <f t="shared" si="2"/>
        <v>Post-Shift</v>
      </c>
      <c r="Q576" s="3">
        <f t="shared" si="3"/>
        <v>12</v>
      </c>
    </row>
    <row r="577">
      <c r="A577" s="4">
        <v>45455.0</v>
      </c>
      <c r="B577" s="2" t="s">
        <v>23</v>
      </c>
      <c r="C577" s="2" t="s">
        <v>19</v>
      </c>
      <c r="D577" s="2" t="s">
        <v>45</v>
      </c>
      <c r="E577" s="2" t="s">
        <v>36</v>
      </c>
      <c r="F577" s="5">
        <v>25951.0</v>
      </c>
      <c r="G577" s="5">
        <v>809.0</v>
      </c>
      <c r="H577" s="5">
        <v>0.0312</v>
      </c>
      <c r="I577" s="5">
        <v>0.48</v>
      </c>
      <c r="J577" s="5">
        <v>388.32</v>
      </c>
      <c r="K577" s="5">
        <v>61.0</v>
      </c>
      <c r="L577" s="5">
        <v>6.37</v>
      </c>
      <c r="M577" s="5">
        <v>10397.04</v>
      </c>
      <c r="N577" s="5">
        <v>26.77</v>
      </c>
      <c r="O577" s="6">
        <f t="shared" si="1"/>
        <v>6.365901639</v>
      </c>
      <c r="P577" s="6" t="str">
        <f t="shared" si="2"/>
        <v>Baseline</v>
      </c>
      <c r="Q577" s="3">
        <f t="shared" si="3"/>
        <v>49</v>
      </c>
    </row>
    <row r="578">
      <c r="A578" s="4" t="s">
        <v>229</v>
      </c>
      <c r="B578" s="2" t="s">
        <v>18</v>
      </c>
      <c r="C578" s="2" t="s">
        <v>31</v>
      </c>
      <c r="D578" s="2" t="s">
        <v>45</v>
      </c>
      <c r="E578" s="2" t="s">
        <v>25</v>
      </c>
      <c r="F578" s="5">
        <v>55385.0</v>
      </c>
      <c r="G578" s="5">
        <v>1678.0</v>
      </c>
      <c r="H578" s="5">
        <v>0.0303</v>
      </c>
      <c r="I578" s="5">
        <v>1.44</v>
      </c>
      <c r="J578" s="5">
        <v>2416.32</v>
      </c>
      <c r="K578" s="5">
        <v>64.0</v>
      </c>
      <c r="L578" s="5">
        <v>37.76</v>
      </c>
      <c r="M578" s="5">
        <v>18110.48</v>
      </c>
      <c r="N578" s="5">
        <v>7.5</v>
      </c>
      <c r="O578" s="6">
        <f t="shared" si="1"/>
        <v>37.755</v>
      </c>
      <c r="P578" s="6" t="str">
        <f t="shared" si="2"/>
        <v>Post-Shift</v>
      </c>
      <c r="Q578" s="3">
        <f t="shared" si="3"/>
        <v>42</v>
      </c>
    </row>
    <row r="579">
      <c r="A579" s="4">
        <v>45292.0</v>
      </c>
      <c r="B579" s="2" t="s">
        <v>18</v>
      </c>
      <c r="C579" s="2" t="s">
        <v>19</v>
      </c>
      <c r="D579" s="2" t="s">
        <v>32</v>
      </c>
      <c r="E579" s="2" t="s">
        <v>56</v>
      </c>
      <c r="F579" s="5">
        <v>21702.0</v>
      </c>
      <c r="G579" s="5">
        <v>1000.0</v>
      </c>
      <c r="H579" s="5">
        <v>0.0461</v>
      </c>
      <c r="I579" s="5">
        <v>3.17</v>
      </c>
      <c r="J579" s="5">
        <v>3170.0</v>
      </c>
      <c r="K579" s="5">
        <v>17.0</v>
      </c>
      <c r="L579" s="5">
        <v>186.47</v>
      </c>
      <c r="M579" s="5">
        <v>3670.88</v>
      </c>
      <c r="N579" s="5">
        <v>1.16</v>
      </c>
      <c r="O579" s="6">
        <f t="shared" si="1"/>
        <v>186.4705882</v>
      </c>
      <c r="P579" s="6" t="str">
        <f t="shared" si="2"/>
        <v>Baseline</v>
      </c>
      <c r="Q579" s="3">
        <f t="shared" si="3"/>
        <v>1</v>
      </c>
    </row>
    <row r="580">
      <c r="A580" s="4" t="s">
        <v>64</v>
      </c>
      <c r="B580" s="2" t="s">
        <v>23</v>
      </c>
      <c r="C580" s="2" t="s">
        <v>19</v>
      </c>
      <c r="D580" s="2" t="s">
        <v>32</v>
      </c>
      <c r="E580" s="2" t="s">
        <v>21</v>
      </c>
      <c r="F580" s="5">
        <v>195972.0</v>
      </c>
      <c r="G580" s="5">
        <v>13796.0</v>
      </c>
      <c r="H580" s="5">
        <v>0.0704</v>
      </c>
      <c r="I580" s="5">
        <v>0.5</v>
      </c>
      <c r="J580" s="5">
        <v>6898.0</v>
      </c>
      <c r="K580" s="5">
        <v>645.0</v>
      </c>
      <c r="L580" s="5">
        <v>10.69</v>
      </c>
      <c r="M580" s="5">
        <v>54701.33</v>
      </c>
      <c r="N580" s="5">
        <v>7.93</v>
      </c>
      <c r="O580" s="6">
        <f t="shared" si="1"/>
        <v>10.69457364</v>
      </c>
      <c r="P580" s="6" t="str">
        <f t="shared" si="2"/>
        <v>Post-Shift</v>
      </c>
      <c r="Q580" s="3">
        <f t="shared" si="3"/>
        <v>9</v>
      </c>
    </row>
    <row r="581">
      <c r="A581" s="4">
        <v>45635.0</v>
      </c>
      <c r="B581" s="2" t="s">
        <v>38</v>
      </c>
      <c r="C581" s="2" t="s">
        <v>19</v>
      </c>
      <c r="D581" s="2" t="s">
        <v>29</v>
      </c>
      <c r="E581" s="2" t="s">
        <v>21</v>
      </c>
      <c r="F581" s="5">
        <v>73447.0</v>
      </c>
      <c r="G581" s="5">
        <v>2401.0</v>
      </c>
      <c r="H581" s="5">
        <v>0.0327</v>
      </c>
      <c r="I581" s="5">
        <v>1.44</v>
      </c>
      <c r="J581" s="5">
        <v>3457.44</v>
      </c>
      <c r="K581" s="5">
        <v>93.0</v>
      </c>
      <c r="L581" s="5">
        <v>37.18</v>
      </c>
      <c r="M581" s="5">
        <v>11150.38</v>
      </c>
      <c r="N581" s="5">
        <v>3.23</v>
      </c>
      <c r="O581" s="6">
        <f t="shared" si="1"/>
        <v>37.17677419</v>
      </c>
      <c r="P581" s="6" t="str">
        <f t="shared" si="2"/>
        <v>Post-Shift</v>
      </c>
      <c r="Q581" s="3">
        <f t="shared" si="3"/>
        <v>37</v>
      </c>
    </row>
    <row r="582">
      <c r="A582" s="4" t="s">
        <v>150</v>
      </c>
      <c r="B582" s="2" t="s">
        <v>38</v>
      </c>
      <c r="C582" s="2" t="s">
        <v>19</v>
      </c>
      <c r="D582" s="2" t="s">
        <v>29</v>
      </c>
      <c r="E582" s="2" t="s">
        <v>21</v>
      </c>
      <c r="F582" s="5">
        <v>55867.0</v>
      </c>
      <c r="G582" s="5">
        <v>1681.0</v>
      </c>
      <c r="H582" s="5">
        <v>0.0301</v>
      </c>
      <c r="I582" s="5">
        <v>1.98</v>
      </c>
      <c r="J582" s="5">
        <v>3328.38</v>
      </c>
      <c r="K582" s="5">
        <v>32.0</v>
      </c>
      <c r="L582" s="5">
        <v>104.01</v>
      </c>
      <c r="M582" s="5">
        <v>3790.94</v>
      </c>
      <c r="N582" s="5">
        <v>1.14</v>
      </c>
      <c r="O582" s="6">
        <f t="shared" si="1"/>
        <v>104.011875</v>
      </c>
      <c r="P582" s="6" t="str">
        <f t="shared" si="2"/>
        <v>Post-Shift</v>
      </c>
      <c r="Q582" s="3">
        <f t="shared" si="3"/>
        <v>42</v>
      </c>
    </row>
    <row r="583">
      <c r="A583" s="4" t="s">
        <v>174</v>
      </c>
      <c r="B583" s="2" t="s">
        <v>18</v>
      </c>
      <c r="C583" s="2" t="s">
        <v>41</v>
      </c>
      <c r="D583" s="2" t="s">
        <v>20</v>
      </c>
      <c r="E583" s="2" t="s">
        <v>25</v>
      </c>
      <c r="F583" s="5">
        <v>64567.0</v>
      </c>
      <c r="G583" s="5">
        <v>1439.0</v>
      </c>
      <c r="H583" s="5">
        <v>0.0223</v>
      </c>
      <c r="I583" s="5">
        <v>2.29</v>
      </c>
      <c r="J583" s="5">
        <v>3295.31</v>
      </c>
      <c r="K583" s="5">
        <v>64.0</v>
      </c>
      <c r="L583" s="5">
        <v>51.49</v>
      </c>
      <c r="M583" s="5">
        <v>4231.38</v>
      </c>
      <c r="N583" s="5">
        <v>1.28</v>
      </c>
      <c r="O583" s="6">
        <f t="shared" si="1"/>
        <v>51.48921875</v>
      </c>
      <c r="P583" s="6" t="str">
        <f t="shared" si="2"/>
        <v>Post-Shift</v>
      </c>
      <c r="Q583" s="3">
        <f t="shared" si="3"/>
        <v>21</v>
      </c>
    </row>
    <row r="584">
      <c r="A584" s="4">
        <v>45329.0</v>
      </c>
      <c r="B584" s="2" t="s">
        <v>23</v>
      </c>
      <c r="C584" s="2" t="s">
        <v>31</v>
      </c>
      <c r="D584" s="2" t="s">
        <v>32</v>
      </c>
      <c r="E584" s="2" t="s">
        <v>36</v>
      </c>
      <c r="F584" s="5">
        <v>97254.0</v>
      </c>
      <c r="G584" s="5">
        <v>3374.0</v>
      </c>
      <c r="H584" s="5">
        <v>0.0347</v>
      </c>
      <c r="I584" s="5">
        <v>1.65</v>
      </c>
      <c r="J584" s="5">
        <v>5567.1</v>
      </c>
      <c r="K584" s="5">
        <v>63.0</v>
      </c>
      <c r="L584" s="5">
        <v>88.37</v>
      </c>
      <c r="M584" s="5">
        <v>17255.15</v>
      </c>
      <c r="N584" s="5">
        <v>3.1</v>
      </c>
      <c r="O584" s="6">
        <f t="shared" si="1"/>
        <v>88.36666667</v>
      </c>
      <c r="P584" s="6" t="str">
        <f t="shared" si="2"/>
        <v>Baseline</v>
      </c>
      <c r="Q584" s="3">
        <f t="shared" si="3"/>
        <v>27</v>
      </c>
    </row>
    <row r="585">
      <c r="A585" s="4" t="s">
        <v>115</v>
      </c>
      <c r="B585" s="2" t="s">
        <v>38</v>
      </c>
      <c r="C585" s="2" t="s">
        <v>31</v>
      </c>
      <c r="D585" s="2" t="s">
        <v>29</v>
      </c>
      <c r="E585" s="2" t="s">
        <v>25</v>
      </c>
      <c r="F585" s="5">
        <v>147897.0</v>
      </c>
      <c r="G585" s="5">
        <v>2144.0</v>
      </c>
      <c r="H585" s="5">
        <v>0.0145</v>
      </c>
      <c r="I585" s="5">
        <v>1.94</v>
      </c>
      <c r="J585" s="5">
        <v>4159.36</v>
      </c>
      <c r="K585" s="5">
        <v>24.0</v>
      </c>
      <c r="L585" s="5">
        <v>173.31</v>
      </c>
      <c r="M585" s="5">
        <v>3826.61</v>
      </c>
      <c r="N585" s="5">
        <v>0.92</v>
      </c>
      <c r="O585" s="6">
        <f t="shared" si="1"/>
        <v>173.3066667</v>
      </c>
      <c r="P585" s="6" t="str">
        <f t="shared" si="2"/>
        <v>Post-Shift</v>
      </c>
      <c r="Q585" s="3">
        <f t="shared" si="3"/>
        <v>3</v>
      </c>
    </row>
    <row r="586">
      <c r="A586" s="4" t="s">
        <v>218</v>
      </c>
      <c r="B586" s="2" t="s">
        <v>38</v>
      </c>
      <c r="C586" s="2" t="s">
        <v>41</v>
      </c>
      <c r="D586" s="2" t="s">
        <v>29</v>
      </c>
      <c r="E586" s="2" t="s">
        <v>33</v>
      </c>
      <c r="F586" s="5">
        <v>115379.0</v>
      </c>
      <c r="G586" s="5">
        <v>5134.0</v>
      </c>
      <c r="H586" s="5">
        <v>0.0445</v>
      </c>
      <c r="I586" s="5">
        <v>2.41</v>
      </c>
      <c r="J586" s="5">
        <v>12372.94</v>
      </c>
      <c r="K586" s="5">
        <v>391.0</v>
      </c>
      <c r="L586" s="5">
        <v>31.64</v>
      </c>
      <c r="M586" s="5">
        <v>109895.2</v>
      </c>
      <c r="N586" s="5">
        <v>8.88</v>
      </c>
      <c r="O586" s="6">
        <f t="shared" si="1"/>
        <v>31.64434783</v>
      </c>
      <c r="P586" s="6" t="str">
        <f t="shared" si="2"/>
        <v>Post-Shift</v>
      </c>
      <c r="Q586" s="3">
        <f t="shared" si="3"/>
        <v>37</v>
      </c>
    </row>
    <row r="587">
      <c r="A587" s="4">
        <v>45354.0</v>
      </c>
      <c r="B587" s="2" t="s">
        <v>18</v>
      </c>
      <c r="C587" s="2" t="s">
        <v>19</v>
      </c>
      <c r="D587" s="2" t="s">
        <v>20</v>
      </c>
      <c r="E587" s="2" t="s">
        <v>25</v>
      </c>
      <c r="F587" s="5">
        <v>51566.0</v>
      </c>
      <c r="G587" s="5">
        <v>1531.0</v>
      </c>
      <c r="H587" s="5">
        <v>0.0297</v>
      </c>
      <c r="I587" s="5">
        <v>1.39</v>
      </c>
      <c r="J587" s="5">
        <v>2128.09</v>
      </c>
      <c r="K587" s="5">
        <v>112.0</v>
      </c>
      <c r="L587" s="5">
        <v>19.0</v>
      </c>
      <c r="M587" s="5">
        <v>6716.48</v>
      </c>
      <c r="N587" s="5">
        <v>3.16</v>
      </c>
      <c r="O587" s="6">
        <f t="shared" si="1"/>
        <v>19.00080357</v>
      </c>
      <c r="P587" s="6" t="str">
        <f t="shared" si="2"/>
        <v>Baseline</v>
      </c>
      <c r="Q587" s="3">
        <f t="shared" si="3"/>
        <v>10</v>
      </c>
    </row>
    <row r="588">
      <c r="A588" s="4" t="s">
        <v>230</v>
      </c>
      <c r="B588" s="2" t="s">
        <v>18</v>
      </c>
      <c r="C588" s="2" t="s">
        <v>19</v>
      </c>
      <c r="D588" s="2" t="s">
        <v>29</v>
      </c>
      <c r="E588" s="2" t="s">
        <v>21</v>
      </c>
      <c r="F588" s="5">
        <v>184889.0</v>
      </c>
      <c r="G588" s="5">
        <v>6212.0</v>
      </c>
      <c r="H588" s="5">
        <v>0.0336</v>
      </c>
      <c r="I588" s="5">
        <v>2.17</v>
      </c>
      <c r="J588" s="5">
        <v>13480.04</v>
      </c>
      <c r="K588" s="5">
        <v>73.0</v>
      </c>
      <c r="L588" s="5">
        <v>184.66</v>
      </c>
      <c r="M588" s="5">
        <v>2434.91</v>
      </c>
      <c r="N588" s="5">
        <v>0.18</v>
      </c>
      <c r="O588" s="6">
        <f t="shared" si="1"/>
        <v>184.6580822</v>
      </c>
      <c r="P588" s="6" t="str">
        <f t="shared" si="2"/>
        <v>Post-Shift</v>
      </c>
      <c r="Q588" s="3">
        <f t="shared" si="3"/>
        <v>25</v>
      </c>
    </row>
    <row r="589">
      <c r="A589" s="4" t="s">
        <v>40</v>
      </c>
      <c r="B589" s="2" t="s">
        <v>23</v>
      </c>
      <c r="C589" s="2" t="s">
        <v>31</v>
      </c>
      <c r="D589" s="2" t="s">
        <v>24</v>
      </c>
      <c r="E589" s="2" t="s">
        <v>58</v>
      </c>
      <c r="F589" s="5">
        <v>100028.0</v>
      </c>
      <c r="G589" s="5">
        <v>7402.0</v>
      </c>
      <c r="H589" s="5">
        <v>0.074</v>
      </c>
      <c r="I589" s="5">
        <v>0.73</v>
      </c>
      <c r="J589" s="5">
        <v>5403.46</v>
      </c>
      <c r="K589" s="5">
        <v>100.0</v>
      </c>
      <c r="L589" s="5">
        <v>54.03</v>
      </c>
      <c r="M589" s="5">
        <v>7280.48</v>
      </c>
      <c r="N589" s="5">
        <v>1.35</v>
      </c>
      <c r="O589" s="6">
        <f t="shared" si="1"/>
        <v>54.0346</v>
      </c>
      <c r="P589" s="6" t="str">
        <f t="shared" si="2"/>
        <v>Post-Shift</v>
      </c>
      <c r="Q589" s="3">
        <f t="shared" si="3"/>
        <v>16</v>
      </c>
    </row>
    <row r="590">
      <c r="A590" s="4" t="s">
        <v>231</v>
      </c>
      <c r="B590" s="2" t="s">
        <v>23</v>
      </c>
      <c r="C590" s="2" t="s">
        <v>19</v>
      </c>
      <c r="D590" s="2" t="s">
        <v>24</v>
      </c>
      <c r="E590" s="2" t="s">
        <v>56</v>
      </c>
      <c r="F590" s="5">
        <v>29741.0</v>
      </c>
      <c r="G590" s="5">
        <v>1287.0</v>
      </c>
      <c r="H590" s="5">
        <v>0.0433</v>
      </c>
      <c r="I590" s="5">
        <v>1.23</v>
      </c>
      <c r="J590" s="5">
        <v>1583.01</v>
      </c>
      <c r="K590" s="5">
        <v>55.0</v>
      </c>
      <c r="L590" s="5">
        <v>28.78</v>
      </c>
      <c r="M590" s="5">
        <v>6012.36</v>
      </c>
      <c r="N590" s="5">
        <v>3.8</v>
      </c>
      <c r="O590" s="6">
        <f t="shared" si="1"/>
        <v>28.782</v>
      </c>
      <c r="P590" s="6" t="str">
        <f t="shared" si="2"/>
        <v>Post-Shift</v>
      </c>
      <c r="Q590" s="3">
        <f t="shared" si="3"/>
        <v>31</v>
      </c>
    </row>
    <row r="591">
      <c r="A591" s="4">
        <v>45629.0</v>
      </c>
      <c r="B591" s="2" t="s">
        <v>18</v>
      </c>
      <c r="C591" s="2" t="s">
        <v>31</v>
      </c>
      <c r="D591" s="2" t="s">
        <v>20</v>
      </c>
      <c r="E591" s="2" t="s">
        <v>58</v>
      </c>
      <c r="F591" s="5">
        <v>155033.0</v>
      </c>
      <c r="G591" s="5">
        <v>5782.0</v>
      </c>
      <c r="H591" s="5">
        <v>0.0373</v>
      </c>
      <c r="I591" s="5">
        <v>2.17</v>
      </c>
      <c r="J591" s="5">
        <v>12546.94</v>
      </c>
      <c r="K591" s="5">
        <v>248.0</v>
      </c>
      <c r="L591" s="5">
        <v>50.59</v>
      </c>
      <c r="M591" s="5">
        <v>71470.23</v>
      </c>
      <c r="N591" s="5">
        <v>5.7</v>
      </c>
      <c r="O591" s="6">
        <f t="shared" si="1"/>
        <v>50.5925</v>
      </c>
      <c r="P591" s="6" t="str">
        <f t="shared" si="2"/>
        <v>Post-Shift</v>
      </c>
      <c r="Q591" s="3">
        <f t="shared" si="3"/>
        <v>11</v>
      </c>
    </row>
    <row r="592">
      <c r="A592" s="4" t="s">
        <v>226</v>
      </c>
      <c r="B592" s="2" t="s">
        <v>23</v>
      </c>
      <c r="C592" s="2" t="s">
        <v>31</v>
      </c>
      <c r="D592" s="2" t="s">
        <v>20</v>
      </c>
      <c r="E592" s="2" t="s">
        <v>36</v>
      </c>
      <c r="F592" s="5">
        <v>13562.0</v>
      </c>
      <c r="G592" s="5">
        <v>790.0</v>
      </c>
      <c r="H592" s="5">
        <v>0.0583</v>
      </c>
      <c r="I592" s="5">
        <v>1.18</v>
      </c>
      <c r="J592" s="5">
        <v>932.2</v>
      </c>
      <c r="K592" s="5">
        <v>40.0</v>
      </c>
      <c r="L592" s="5">
        <v>23.3</v>
      </c>
      <c r="M592" s="5">
        <v>7014.55</v>
      </c>
      <c r="N592" s="5">
        <v>7.52</v>
      </c>
      <c r="O592" s="6">
        <f t="shared" si="1"/>
        <v>23.305</v>
      </c>
      <c r="P592" s="6" t="str">
        <f t="shared" si="2"/>
        <v>Post-Shift</v>
      </c>
      <c r="Q592" s="3">
        <f t="shared" si="3"/>
        <v>33</v>
      </c>
    </row>
    <row r="593">
      <c r="A593" s="4" t="s">
        <v>185</v>
      </c>
      <c r="B593" s="2" t="s">
        <v>38</v>
      </c>
      <c r="C593" s="2" t="s">
        <v>31</v>
      </c>
      <c r="D593" s="2" t="s">
        <v>29</v>
      </c>
      <c r="E593" s="2" t="s">
        <v>21</v>
      </c>
      <c r="F593" s="5">
        <v>84830.0</v>
      </c>
      <c r="G593" s="5">
        <v>2612.0</v>
      </c>
      <c r="H593" s="5">
        <v>0.0308</v>
      </c>
      <c r="I593" s="5">
        <v>1.98</v>
      </c>
      <c r="J593" s="5">
        <v>5171.76</v>
      </c>
      <c r="K593" s="5">
        <v>84.0</v>
      </c>
      <c r="L593" s="5">
        <v>61.57</v>
      </c>
      <c r="M593" s="5">
        <v>6284.59</v>
      </c>
      <c r="N593" s="5">
        <v>1.22</v>
      </c>
      <c r="O593" s="6">
        <f t="shared" si="1"/>
        <v>61.56857143</v>
      </c>
      <c r="P593" s="6" t="str">
        <f t="shared" si="2"/>
        <v>Post-Shift</v>
      </c>
      <c r="Q593" s="3">
        <f t="shared" si="3"/>
        <v>3</v>
      </c>
    </row>
    <row r="594">
      <c r="A594" s="4" t="s">
        <v>109</v>
      </c>
      <c r="B594" s="2" t="s">
        <v>38</v>
      </c>
      <c r="C594" s="2" t="s">
        <v>31</v>
      </c>
      <c r="D594" s="2" t="s">
        <v>29</v>
      </c>
      <c r="E594" s="2" t="s">
        <v>33</v>
      </c>
      <c r="F594" s="5">
        <v>119427.0</v>
      </c>
      <c r="G594" s="5">
        <v>1146.0</v>
      </c>
      <c r="H594" s="5">
        <v>0.0096</v>
      </c>
      <c r="I594" s="5">
        <v>1.93</v>
      </c>
      <c r="J594" s="5">
        <v>2211.78</v>
      </c>
      <c r="K594" s="5">
        <v>27.0</v>
      </c>
      <c r="L594" s="5">
        <v>81.92</v>
      </c>
      <c r="M594" s="5">
        <v>5094.36</v>
      </c>
      <c r="N594" s="5">
        <v>2.3</v>
      </c>
      <c r="O594" s="6">
        <f t="shared" si="1"/>
        <v>81.91777778</v>
      </c>
      <c r="P594" s="6" t="str">
        <f t="shared" si="2"/>
        <v>Post-Shift</v>
      </c>
      <c r="Q594" s="3">
        <f t="shared" si="3"/>
        <v>21</v>
      </c>
    </row>
    <row r="595">
      <c r="A595" s="4" t="s">
        <v>226</v>
      </c>
      <c r="B595" s="2" t="s">
        <v>18</v>
      </c>
      <c r="C595" s="2" t="s">
        <v>31</v>
      </c>
      <c r="D595" s="2" t="s">
        <v>24</v>
      </c>
      <c r="E595" s="2" t="s">
        <v>56</v>
      </c>
      <c r="F595" s="5">
        <v>175623.0</v>
      </c>
      <c r="G595" s="5">
        <v>9483.0</v>
      </c>
      <c r="H595" s="5">
        <v>0.054</v>
      </c>
      <c r="I595" s="5">
        <v>0.97</v>
      </c>
      <c r="J595" s="5">
        <v>9198.51</v>
      </c>
      <c r="K595" s="5">
        <v>268.0</v>
      </c>
      <c r="L595" s="5">
        <v>34.32</v>
      </c>
      <c r="M595" s="5">
        <v>79311.56</v>
      </c>
      <c r="N595" s="5">
        <v>8.62</v>
      </c>
      <c r="O595" s="6">
        <f t="shared" si="1"/>
        <v>34.32279851</v>
      </c>
      <c r="P595" s="6" t="str">
        <f t="shared" si="2"/>
        <v>Post-Shift</v>
      </c>
      <c r="Q595" s="3">
        <f t="shared" si="3"/>
        <v>33</v>
      </c>
    </row>
    <row r="596">
      <c r="A596" s="4" t="s">
        <v>102</v>
      </c>
      <c r="B596" s="2" t="s">
        <v>18</v>
      </c>
      <c r="C596" s="2" t="s">
        <v>19</v>
      </c>
      <c r="D596" s="2" t="s">
        <v>32</v>
      </c>
      <c r="E596" s="2" t="s">
        <v>58</v>
      </c>
      <c r="F596" s="5">
        <v>93919.0</v>
      </c>
      <c r="G596" s="5">
        <v>4968.0</v>
      </c>
      <c r="H596" s="5">
        <v>0.0529</v>
      </c>
      <c r="I596" s="5">
        <v>2.55</v>
      </c>
      <c r="J596" s="5">
        <v>12668.4</v>
      </c>
      <c r="K596" s="5">
        <v>308.0</v>
      </c>
      <c r="L596" s="5">
        <v>41.13</v>
      </c>
      <c r="M596" s="5">
        <v>66254.75</v>
      </c>
      <c r="N596" s="5">
        <v>5.23</v>
      </c>
      <c r="O596" s="6">
        <f t="shared" si="1"/>
        <v>41.13116883</v>
      </c>
      <c r="P596" s="6" t="str">
        <f t="shared" si="2"/>
        <v>Post-Shift</v>
      </c>
      <c r="Q596" s="3">
        <f t="shared" si="3"/>
        <v>30</v>
      </c>
    </row>
    <row r="597">
      <c r="A597" s="4">
        <v>45393.0</v>
      </c>
      <c r="B597" s="2" t="s">
        <v>23</v>
      </c>
      <c r="C597" s="2" t="s">
        <v>41</v>
      </c>
      <c r="D597" s="2" t="s">
        <v>20</v>
      </c>
      <c r="E597" s="2" t="s">
        <v>21</v>
      </c>
      <c r="F597" s="5">
        <v>46190.0</v>
      </c>
      <c r="G597" s="5">
        <v>3030.0</v>
      </c>
      <c r="H597" s="5">
        <v>0.0656</v>
      </c>
      <c r="I597" s="5">
        <v>0.42</v>
      </c>
      <c r="J597" s="5">
        <v>1272.6</v>
      </c>
      <c r="K597" s="5">
        <v>183.0</v>
      </c>
      <c r="L597" s="5">
        <v>6.95</v>
      </c>
      <c r="M597" s="5">
        <v>38945.83</v>
      </c>
      <c r="N597" s="5">
        <v>30.6</v>
      </c>
      <c r="O597" s="6">
        <f t="shared" si="1"/>
        <v>6.954098361</v>
      </c>
      <c r="P597" s="6" t="str">
        <f t="shared" si="2"/>
        <v>Baseline</v>
      </c>
      <c r="Q597" s="3">
        <f t="shared" si="3"/>
        <v>45</v>
      </c>
    </row>
    <row r="598">
      <c r="A598" s="4" t="s">
        <v>124</v>
      </c>
      <c r="B598" s="2" t="s">
        <v>38</v>
      </c>
      <c r="C598" s="2" t="s">
        <v>41</v>
      </c>
      <c r="D598" s="2" t="s">
        <v>29</v>
      </c>
      <c r="E598" s="2" t="s">
        <v>58</v>
      </c>
      <c r="F598" s="5">
        <v>152996.0</v>
      </c>
      <c r="G598" s="5">
        <v>3136.0</v>
      </c>
      <c r="H598" s="5">
        <v>0.0205</v>
      </c>
      <c r="I598" s="5">
        <v>1.79</v>
      </c>
      <c r="J598" s="5">
        <v>5613.44</v>
      </c>
      <c r="K598" s="5">
        <v>82.0</v>
      </c>
      <c r="L598" s="5">
        <v>68.46</v>
      </c>
      <c r="M598" s="5">
        <v>6472.17</v>
      </c>
      <c r="N598" s="5">
        <v>1.15</v>
      </c>
      <c r="O598" s="6">
        <f t="shared" si="1"/>
        <v>68.45658537</v>
      </c>
      <c r="P598" s="6" t="str">
        <f t="shared" si="2"/>
        <v>Post-Shift</v>
      </c>
      <c r="Q598" s="3">
        <f t="shared" si="3"/>
        <v>44</v>
      </c>
    </row>
    <row r="599">
      <c r="A599" s="4">
        <v>45357.0</v>
      </c>
      <c r="B599" s="2" t="s">
        <v>23</v>
      </c>
      <c r="C599" s="2" t="s">
        <v>31</v>
      </c>
      <c r="D599" s="2" t="s">
        <v>45</v>
      </c>
      <c r="E599" s="2" t="s">
        <v>21</v>
      </c>
      <c r="F599" s="5">
        <v>62600.0</v>
      </c>
      <c r="G599" s="5">
        <v>3142.0</v>
      </c>
      <c r="H599" s="5">
        <v>0.0502</v>
      </c>
      <c r="I599" s="5">
        <v>0.71</v>
      </c>
      <c r="J599" s="5">
        <v>2230.82</v>
      </c>
      <c r="K599" s="5">
        <v>245.0</v>
      </c>
      <c r="L599" s="5">
        <v>9.11</v>
      </c>
      <c r="M599" s="5">
        <v>17495.08</v>
      </c>
      <c r="N599" s="5">
        <v>7.84</v>
      </c>
      <c r="O599" s="6">
        <f t="shared" si="1"/>
        <v>9.105387755</v>
      </c>
      <c r="P599" s="6" t="str">
        <f t="shared" si="2"/>
        <v>Baseline</v>
      </c>
      <c r="Q599" s="3">
        <f t="shared" si="3"/>
        <v>23</v>
      </c>
    </row>
    <row r="600">
      <c r="A600" s="4" t="s">
        <v>49</v>
      </c>
      <c r="B600" s="2" t="s">
        <v>38</v>
      </c>
      <c r="C600" s="2" t="s">
        <v>19</v>
      </c>
      <c r="D600" s="2" t="s">
        <v>45</v>
      </c>
      <c r="E600" s="2" t="s">
        <v>21</v>
      </c>
      <c r="F600" s="5">
        <v>36127.0</v>
      </c>
      <c r="G600" s="5">
        <v>610.0</v>
      </c>
      <c r="H600" s="5">
        <v>0.0169</v>
      </c>
      <c r="I600" s="5">
        <v>1.11</v>
      </c>
      <c r="J600" s="5">
        <v>677.1</v>
      </c>
      <c r="K600" s="5">
        <v>45.0</v>
      </c>
      <c r="L600" s="5">
        <v>15.05</v>
      </c>
      <c r="M600" s="5">
        <v>6906.4</v>
      </c>
      <c r="N600" s="5">
        <v>10.2</v>
      </c>
      <c r="O600" s="6">
        <f t="shared" si="1"/>
        <v>15.04666667</v>
      </c>
      <c r="P600" s="6" t="str">
        <f t="shared" si="2"/>
        <v>Post-Shift</v>
      </c>
      <c r="Q600" s="3">
        <f t="shared" si="3"/>
        <v>9</v>
      </c>
    </row>
    <row r="601">
      <c r="A601" s="4" t="s">
        <v>176</v>
      </c>
      <c r="B601" s="2" t="s">
        <v>23</v>
      </c>
      <c r="C601" s="2" t="s">
        <v>27</v>
      </c>
      <c r="D601" s="2" t="s">
        <v>24</v>
      </c>
      <c r="E601" s="2" t="s">
        <v>56</v>
      </c>
      <c r="F601" s="5">
        <v>110940.0</v>
      </c>
      <c r="G601" s="5">
        <v>6512.0</v>
      </c>
      <c r="H601" s="5">
        <v>0.0587</v>
      </c>
      <c r="I601" s="5">
        <v>1.41</v>
      </c>
      <c r="J601" s="5">
        <v>9181.92</v>
      </c>
      <c r="K601" s="5">
        <v>108.0</v>
      </c>
      <c r="L601" s="5">
        <v>85.02</v>
      </c>
      <c r="M601" s="5">
        <v>14612.87</v>
      </c>
      <c r="N601" s="5">
        <v>1.59</v>
      </c>
      <c r="O601" s="6">
        <f t="shared" si="1"/>
        <v>85.01777778</v>
      </c>
      <c r="P601" s="6" t="str">
        <f t="shared" si="2"/>
        <v>Post-Shift</v>
      </c>
      <c r="Q601" s="3">
        <f t="shared" si="3"/>
        <v>18</v>
      </c>
    </row>
    <row r="602">
      <c r="A602" s="4">
        <v>45295.0</v>
      </c>
      <c r="B602" s="2" t="s">
        <v>38</v>
      </c>
      <c r="C602" s="2" t="s">
        <v>19</v>
      </c>
      <c r="D602" s="2" t="s">
        <v>45</v>
      </c>
      <c r="E602" s="2" t="s">
        <v>25</v>
      </c>
      <c r="F602" s="5">
        <v>91332.0</v>
      </c>
      <c r="G602" s="5">
        <v>3762.0</v>
      </c>
      <c r="H602" s="5">
        <v>0.0412</v>
      </c>
      <c r="I602" s="5">
        <v>0.65</v>
      </c>
      <c r="J602" s="5">
        <v>2445.3</v>
      </c>
      <c r="K602" s="5">
        <v>125.0</v>
      </c>
      <c r="L602" s="5">
        <v>19.56</v>
      </c>
      <c r="M602" s="5">
        <v>31285.11</v>
      </c>
      <c r="N602" s="5">
        <v>12.79</v>
      </c>
      <c r="O602" s="6">
        <f t="shared" si="1"/>
        <v>19.5624</v>
      </c>
      <c r="P602" s="6" t="str">
        <f t="shared" si="2"/>
        <v>Baseline</v>
      </c>
      <c r="Q602" s="3">
        <f t="shared" si="3"/>
        <v>14</v>
      </c>
    </row>
    <row r="603">
      <c r="A603" s="4" t="s">
        <v>127</v>
      </c>
      <c r="B603" s="2" t="s">
        <v>23</v>
      </c>
      <c r="C603" s="2" t="s">
        <v>27</v>
      </c>
      <c r="D603" s="2" t="s">
        <v>24</v>
      </c>
      <c r="E603" s="2" t="s">
        <v>21</v>
      </c>
      <c r="F603" s="5">
        <v>149526.0</v>
      </c>
      <c r="G603" s="5">
        <v>4321.0</v>
      </c>
      <c r="H603" s="5">
        <v>0.0289</v>
      </c>
      <c r="I603" s="5">
        <v>0.78</v>
      </c>
      <c r="J603" s="5">
        <v>3370.38</v>
      </c>
      <c r="K603" s="5">
        <v>120.0</v>
      </c>
      <c r="L603" s="5">
        <v>28.09</v>
      </c>
      <c r="M603" s="5">
        <v>25118.55</v>
      </c>
      <c r="N603" s="5">
        <v>7.45</v>
      </c>
      <c r="O603" s="6">
        <f t="shared" si="1"/>
        <v>28.0865</v>
      </c>
      <c r="P603" s="6" t="str">
        <f t="shared" si="2"/>
        <v>Post-Shift</v>
      </c>
      <c r="Q603" s="3">
        <f t="shared" si="3"/>
        <v>35</v>
      </c>
    </row>
    <row r="604">
      <c r="A604" s="4" t="s">
        <v>79</v>
      </c>
      <c r="B604" s="2" t="s">
        <v>38</v>
      </c>
      <c r="C604" s="2" t="s">
        <v>19</v>
      </c>
      <c r="D604" s="2" t="s">
        <v>29</v>
      </c>
      <c r="E604" s="2" t="s">
        <v>30</v>
      </c>
      <c r="F604" s="5">
        <v>77746.0</v>
      </c>
      <c r="G604" s="5">
        <v>2861.0</v>
      </c>
      <c r="H604" s="5">
        <v>0.0368</v>
      </c>
      <c r="I604" s="5">
        <v>1.04</v>
      </c>
      <c r="J604" s="5">
        <v>2975.44</v>
      </c>
      <c r="K604" s="5">
        <v>82.0</v>
      </c>
      <c r="L604" s="5">
        <v>36.29</v>
      </c>
      <c r="M604" s="5">
        <v>21523.93</v>
      </c>
      <c r="N604" s="5">
        <v>7.23</v>
      </c>
      <c r="O604" s="6">
        <f t="shared" si="1"/>
        <v>36.28585366</v>
      </c>
      <c r="P604" s="6" t="str">
        <f t="shared" si="2"/>
        <v>Post-Shift</v>
      </c>
      <c r="Q604" s="3">
        <f t="shared" si="3"/>
        <v>18</v>
      </c>
    </row>
    <row r="605">
      <c r="A605" s="4" t="s">
        <v>40</v>
      </c>
      <c r="B605" s="2" t="s">
        <v>18</v>
      </c>
      <c r="C605" s="2" t="s">
        <v>27</v>
      </c>
      <c r="D605" s="2" t="s">
        <v>29</v>
      </c>
      <c r="E605" s="2" t="s">
        <v>25</v>
      </c>
      <c r="F605" s="5">
        <v>105804.0</v>
      </c>
      <c r="G605" s="5">
        <v>3110.0</v>
      </c>
      <c r="H605" s="5">
        <v>0.0294</v>
      </c>
      <c r="I605" s="5">
        <v>0.97</v>
      </c>
      <c r="J605" s="5">
        <v>3016.7</v>
      </c>
      <c r="K605" s="5">
        <v>200.0</v>
      </c>
      <c r="L605" s="5">
        <v>15.08</v>
      </c>
      <c r="M605" s="5">
        <v>49067.29</v>
      </c>
      <c r="N605" s="5">
        <v>16.27</v>
      </c>
      <c r="O605" s="6">
        <f t="shared" si="1"/>
        <v>15.0835</v>
      </c>
      <c r="P605" s="6" t="str">
        <f t="shared" si="2"/>
        <v>Post-Shift</v>
      </c>
      <c r="Q605" s="3">
        <f t="shared" si="3"/>
        <v>16</v>
      </c>
    </row>
    <row r="606">
      <c r="A606" s="4" t="s">
        <v>123</v>
      </c>
      <c r="B606" s="2" t="s">
        <v>38</v>
      </c>
      <c r="C606" s="2" t="s">
        <v>27</v>
      </c>
      <c r="D606" s="2" t="s">
        <v>20</v>
      </c>
      <c r="E606" s="2" t="s">
        <v>33</v>
      </c>
      <c r="F606" s="5">
        <v>37599.0</v>
      </c>
      <c r="G606" s="5">
        <v>1225.0</v>
      </c>
      <c r="H606" s="5">
        <v>0.0326</v>
      </c>
      <c r="I606" s="5">
        <v>1.3</v>
      </c>
      <c r="J606" s="5">
        <v>1592.5</v>
      </c>
      <c r="K606" s="5">
        <v>73.0</v>
      </c>
      <c r="L606" s="5">
        <v>21.82</v>
      </c>
      <c r="M606" s="5">
        <v>19164.89</v>
      </c>
      <c r="N606" s="5">
        <v>12.03</v>
      </c>
      <c r="O606" s="6">
        <f t="shared" si="1"/>
        <v>21.81506849</v>
      </c>
      <c r="P606" s="6" t="str">
        <f t="shared" si="2"/>
        <v>Post-Shift</v>
      </c>
      <c r="Q606" s="3">
        <f t="shared" si="3"/>
        <v>38</v>
      </c>
    </row>
    <row r="607">
      <c r="A607" s="4" t="s">
        <v>184</v>
      </c>
      <c r="B607" s="2" t="s">
        <v>18</v>
      </c>
      <c r="C607" s="2" t="s">
        <v>31</v>
      </c>
      <c r="D607" s="2" t="s">
        <v>45</v>
      </c>
      <c r="E607" s="2" t="s">
        <v>56</v>
      </c>
      <c r="F607" s="5">
        <v>9791.0</v>
      </c>
      <c r="G607" s="5">
        <v>519.0</v>
      </c>
      <c r="H607" s="5">
        <v>0.0531</v>
      </c>
      <c r="I607" s="5">
        <v>3.95</v>
      </c>
      <c r="J607" s="5">
        <v>2050.05</v>
      </c>
      <c r="K607" s="5">
        <v>40.0</v>
      </c>
      <c r="L607" s="5">
        <v>51.25</v>
      </c>
      <c r="M607" s="5">
        <v>2255.24</v>
      </c>
      <c r="N607" s="5">
        <v>1.1</v>
      </c>
      <c r="O607" s="6">
        <f t="shared" si="1"/>
        <v>51.25125</v>
      </c>
      <c r="P607" s="6" t="str">
        <f t="shared" si="2"/>
        <v>Post-Shift</v>
      </c>
      <c r="Q607" s="3">
        <f t="shared" si="3"/>
        <v>16</v>
      </c>
    </row>
    <row r="608">
      <c r="A608" s="4" t="s">
        <v>49</v>
      </c>
      <c r="B608" s="2" t="s">
        <v>18</v>
      </c>
      <c r="C608" s="2" t="s">
        <v>19</v>
      </c>
      <c r="D608" s="2" t="s">
        <v>29</v>
      </c>
      <c r="E608" s="2" t="s">
        <v>30</v>
      </c>
      <c r="F608" s="5">
        <v>34802.0</v>
      </c>
      <c r="G608" s="5">
        <v>1708.0</v>
      </c>
      <c r="H608" s="5">
        <v>0.0491</v>
      </c>
      <c r="I608" s="5">
        <v>2.9</v>
      </c>
      <c r="J608" s="5">
        <v>4953.2</v>
      </c>
      <c r="K608" s="5">
        <v>72.0</v>
      </c>
      <c r="L608" s="5">
        <v>68.79</v>
      </c>
      <c r="M608" s="5">
        <v>6827.25</v>
      </c>
      <c r="N608" s="5">
        <v>1.38</v>
      </c>
      <c r="O608" s="6">
        <f t="shared" si="1"/>
        <v>68.79444444</v>
      </c>
      <c r="P608" s="6" t="str">
        <f t="shared" si="2"/>
        <v>Post-Shift</v>
      </c>
      <c r="Q608" s="3">
        <f t="shared" si="3"/>
        <v>9</v>
      </c>
    </row>
    <row r="609">
      <c r="A609" s="4" t="s">
        <v>150</v>
      </c>
      <c r="B609" s="2" t="s">
        <v>23</v>
      </c>
      <c r="C609" s="2" t="s">
        <v>41</v>
      </c>
      <c r="D609" s="2" t="s">
        <v>29</v>
      </c>
      <c r="E609" s="2" t="s">
        <v>56</v>
      </c>
      <c r="F609" s="5">
        <v>81394.0</v>
      </c>
      <c r="G609" s="5">
        <v>5192.0</v>
      </c>
      <c r="H609" s="5">
        <v>0.0638</v>
      </c>
      <c r="I609" s="5">
        <v>0.94</v>
      </c>
      <c r="J609" s="5">
        <v>4880.48</v>
      </c>
      <c r="K609" s="5">
        <v>253.0</v>
      </c>
      <c r="L609" s="5">
        <v>19.29</v>
      </c>
      <c r="M609" s="5">
        <v>41499.01</v>
      </c>
      <c r="N609" s="5">
        <v>8.5</v>
      </c>
      <c r="O609" s="6">
        <f t="shared" si="1"/>
        <v>19.29043478</v>
      </c>
      <c r="P609" s="6" t="str">
        <f t="shared" si="2"/>
        <v>Post-Shift</v>
      </c>
      <c r="Q609" s="3">
        <f t="shared" si="3"/>
        <v>42</v>
      </c>
    </row>
    <row r="610">
      <c r="A610" s="4">
        <v>45452.0</v>
      </c>
      <c r="B610" s="2" t="s">
        <v>18</v>
      </c>
      <c r="C610" s="2" t="s">
        <v>31</v>
      </c>
      <c r="D610" s="2" t="s">
        <v>45</v>
      </c>
      <c r="E610" s="2" t="s">
        <v>33</v>
      </c>
      <c r="F610" s="5">
        <v>101299.0</v>
      </c>
      <c r="G610" s="5">
        <v>3504.0</v>
      </c>
      <c r="H610" s="5">
        <v>0.0346</v>
      </c>
      <c r="I610" s="5">
        <v>1.8</v>
      </c>
      <c r="J610" s="5">
        <v>6307.2</v>
      </c>
      <c r="K610" s="5">
        <v>250.0</v>
      </c>
      <c r="L610" s="5">
        <v>25.23</v>
      </c>
      <c r="M610" s="5">
        <v>36776.35</v>
      </c>
      <c r="N610" s="5">
        <v>5.83</v>
      </c>
      <c r="O610" s="6">
        <f t="shared" si="1"/>
        <v>25.2288</v>
      </c>
      <c r="P610" s="6" t="str">
        <f t="shared" si="2"/>
        <v>Baseline</v>
      </c>
      <c r="Q610" s="3">
        <f t="shared" si="3"/>
        <v>36</v>
      </c>
    </row>
    <row r="611">
      <c r="A611" s="4" t="s">
        <v>200</v>
      </c>
      <c r="B611" s="2" t="s">
        <v>38</v>
      </c>
      <c r="C611" s="2" t="s">
        <v>27</v>
      </c>
      <c r="D611" s="2" t="s">
        <v>29</v>
      </c>
      <c r="E611" s="2" t="s">
        <v>33</v>
      </c>
      <c r="F611" s="5">
        <v>140431.0</v>
      </c>
      <c r="G611" s="5">
        <v>1544.0</v>
      </c>
      <c r="H611" s="5">
        <v>0.011</v>
      </c>
      <c r="I611" s="5">
        <v>0.52</v>
      </c>
      <c r="J611" s="5">
        <v>802.88</v>
      </c>
      <c r="K611" s="5">
        <v>74.0</v>
      </c>
      <c r="L611" s="5">
        <v>10.85</v>
      </c>
      <c r="M611" s="5">
        <v>2904.54</v>
      </c>
      <c r="N611" s="5">
        <v>3.62</v>
      </c>
      <c r="O611" s="6">
        <f t="shared" si="1"/>
        <v>10.84972973</v>
      </c>
      <c r="P611" s="6" t="str">
        <f t="shared" si="2"/>
        <v>Post-Shift</v>
      </c>
      <c r="Q611" s="3">
        <f t="shared" si="3"/>
        <v>35</v>
      </c>
    </row>
    <row r="612">
      <c r="A612" s="4">
        <v>45388.0</v>
      </c>
      <c r="B612" s="2" t="s">
        <v>18</v>
      </c>
      <c r="C612" s="2" t="s">
        <v>27</v>
      </c>
      <c r="D612" s="2" t="s">
        <v>32</v>
      </c>
      <c r="E612" s="2" t="s">
        <v>36</v>
      </c>
      <c r="F612" s="5">
        <v>113368.0</v>
      </c>
      <c r="G612" s="5">
        <v>5260.0</v>
      </c>
      <c r="H612" s="5">
        <v>0.0464</v>
      </c>
      <c r="I612" s="5">
        <v>1.31</v>
      </c>
      <c r="J612" s="5">
        <v>6890.6</v>
      </c>
      <c r="K612" s="5">
        <v>168.0</v>
      </c>
      <c r="L612" s="5">
        <v>41.02</v>
      </c>
      <c r="M612" s="5">
        <v>8983.58</v>
      </c>
      <c r="N612" s="5">
        <v>1.3</v>
      </c>
      <c r="O612" s="6">
        <f t="shared" si="1"/>
        <v>41.01547619</v>
      </c>
      <c r="P612" s="6" t="str">
        <f t="shared" si="2"/>
        <v>Baseline</v>
      </c>
      <c r="Q612" s="3">
        <f t="shared" si="3"/>
        <v>23</v>
      </c>
    </row>
    <row r="613">
      <c r="A613" s="4" t="s">
        <v>230</v>
      </c>
      <c r="B613" s="2" t="s">
        <v>18</v>
      </c>
      <c r="C613" s="2" t="s">
        <v>41</v>
      </c>
      <c r="D613" s="2" t="s">
        <v>45</v>
      </c>
      <c r="E613" s="2" t="s">
        <v>33</v>
      </c>
      <c r="F613" s="5">
        <v>89263.0</v>
      </c>
      <c r="G613" s="5">
        <v>3695.0</v>
      </c>
      <c r="H613" s="5">
        <v>0.0414</v>
      </c>
      <c r="I613" s="5">
        <v>1.77</v>
      </c>
      <c r="J613" s="5">
        <v>6540.15</v>
      </c>
      <c r="K613" s="5">
        <v>155.0</v>
      </c>
      <c r="L613" s="5">
        <v>42.19</v>
      </c>
      <c r="M613" s="5">
        <v>19291.23</v>
      </c>
      <c r="N613" s="5">
        <v>2.95</v>
      </c>
      <c r="O613" s="6">
        <f t="shared" si="1"/>
        <v>42.19451613</v>
      </c>
      <c r="P613" s="6" t="str">
        <f t="shared" si="2"/>
        <v>Post-Shift</v>
      </c>
      <c r="Q613" s="3">
        <f t="shared" si="3"/>
        <v>25</v>
      </c>
    </row>
    <row r="614">
      <c r="A614" s="4">
        <v>45299.0</v>
      </c>
      <c r="B614" s="2" t="s">
        <v>38</v>
      </c>
      <c r="C614" s="2" t="s">
        <v>41</v>
      </c>
      <c r="D614" s="2" t="s">
        <v>45</v>
      </c>
      <c r="E614" s="2" t="s">
        <v>30</v>
      </c>
      <c r="F614" s="5">
        <v>168947.0</v>
      </c>
      <c r="G614" s="5">
        <v>4510.0</v>
      </c>
      <c r="H614" s="5">
        <v>0.0267</v>
      </c>
      <c r="I614" s="5">
        <v>1.94</v>
      </c>
      <c r="J614" s="5">
        <v>8749.4</v>
      </c>
      <c r="K614" s="5">
        <v>179.0</v>
      </c>
      <c r="L614" s="5">
        <v>48.88</v>
      </c>
      <c r="M614" s="5">
        <v>48341.14</v>
      </c>
      <c r="N614" s="5">
        <v>5.53</v>
      </c>
      <c r="O614" s="6">
        <f t="shared" si="1"/>
        <v>48.87932961</v>
      </c>
      <c r="P614" s="6" t="str">
        <f t="shared" si="2"/>
        <v>Baseline</v>
      </c>
      <c r="Q614" s="3">
        <f t="shared" si="3"/>
        <v>31</v>
      </c>
    </row>
    <row r="615">
      <c r="A615" s="4" t="s">
        <v>78</v>
      </c>
      <c r="B615" s="2" t="s">
        <v>23</v>
      </c>
      <c r="C615" s="2" t="s">
        <v>19</v>
      </c>
      <c r="D615" s="2" t="s">
        <v>24</v>
      </c>
      <c r="E615" s="2" t="s">
        <v>21</v>
      </c>
      <c r="F615" s="5">
        <v>139511.0</v>
      </c>
      <c r="G615" s="5">
        <v>8384.0</v>
      </c>
      <c r="H615" s="5">
        <v>0.0601</v>
      </c>
      <c r="I615" s="5">
        <v>1.35</v>
      </c>
      <c r="J615" s="5">
        <v>11318.4</v>
      </c>
      <c r="K615" s="5">
        <v>209.0</v>
      </c>
      <c r="L615" s="5">
        <v>54.16</v>
      </c>
      <c r="M615" s="5">
        <v>26357.3</v>
      </c>
      <c r="N615" s="5">
        <v>2.33</v>
      </c>
      <c r="O615" s="6">
        <f t="shared" si="1"/>
        <v>54.15502392</v>
      </c>
      <c r="P615" s="6" t="str">
        <f t="shared" si="2"/>
        <v>Post-Shift</v>
      </c>
      <c r="Q615" s="3">
        <f t="shared" si="3"/>
        <v>24</v>
      </c>
    </row>
    <row r="616">
      <c r="A616" s="4">
        <v>45635.0</v>
      </c>
      <c r="B616" s="2" t="s">
        <v>18</v>
      </c>
      <c r="C616" s="2" t="s">
        <v>19</v>
      </c>
      <c r="D616" s="2" t="s">
        <v>20</v>
      </c>
      <c r="E616" s="2" t="s">
        <v>25</v>
      </c>
      <c r="F616" s="5">
        <v>25927.0</v>
      </c>
      <c r="G616" s="5">
        <v>1501.0</v>
      </c>
      <c r="H616" s="5">
        <v>0.0579</v>
      </c>
      <c r="I616" s="5">
        <v>1.01</v>
      </c>
      <c r="J616" s="5">
        <v>1516.01</v>
      </c>
      <c r="K616" s="5">
        <v>44.0</v>
      </c>
      <c r="L616" s="5">
        <v>34.45</v>
      </c>
      <c r="M616" s="5">
        <v>4091.03</v>
      </c>
      <c r="N616" s="5">
        <v>2.7</v>
      </c>
      <c r="O616" s="6">
        <f t="shared" si="1"/>
        <v>34.45477273</v>
      </c>
      <c r="P616" s="6" t="str">
        <f t="shared" si="2"/>
        <v>Post-Shift</v>
      </c>
      <c r="Q616" s="3">
        <f t="shared" si="3"/>
        <v>37</v>
      </c>
    </row>
    <row r="617">
      <c r="A617" s="4" t="s">
        <v>232</v>
      </c>
      <c r="B617" s="2" t="s">
        <v>38</v>
      </c>
      <c r="C617" s="2" t="s">
        <v>31</v>
      </c>
      <c r="D617" s="2" t="s">
        <v>45</v>
      </c>
      <c r="E617" s="2" t="s">
        <v>33</v>
      </c>
      <c r="F617" s="5">
        <v>165322.0</v>
      </c>
      <c r="G617" s="5">
        <v>4529.0</v>
      </c>
      <c r="H617" s="5">
        <v>0.0274</v>
      </c>
      <c r="I617" s="5">
        <v>1.73</v>
      </c>
      <c r="J617" s="5">
        <v>7835.17</v>
      </c>
      <c r="K617" s="5">
        <v>167.0</v>
      </c>
      <c r="L617" s="5">
        <v>46.92</v>
      </c>
      <c r="M617" s="5">
        <v>38358.92</v>
      </c>
      <c r="N617" s="5">
        <v>4.9</v>
      </c>
      <c r="O617" s="6">
        <f t="shared" si="1"/>
        <v>46.91718563</v>
      </c>
      <c r="P617" s="6" t="str">
        <f t="shared" si="2"/>
        <v>Post-Shift</v>
      </c>
      <c r="Q617" s="3">
        <f t="shared" si="3"/>
        <v>47</v>
      </c>
    </row>
    <row r="618">
      <c r="A618" s="4" t="s">
        <v>108</v>
      </c>
      <c r="B618" s="2" t="s">
        <v>38</v>
      </c>
      <c r="C618" s="2" t="s">
        <v>27</v>
      </c>
      <c r="D618" s="2" t="s">
        <v>29</v>
      </c>
      <c r="E618" s="2" t="s">
        <v>56</v>
      </c>
      <c r="F618" s="5">
        <v>149542.0</v>
      </c>
      <c r="G618" s="5">
        <v>2497.0</v>
      </c>
      <c r="H618" s="5">
        <v>0.0167</v>
      </c>
      <c r="I618" s="5">
        <v>1.04</v>
      </c>
      <c r="J618" s="5">
        <v>2596.88</v>
      </c>
      <c r="K618" s="5">
        <v>70.0</v>
      </c>
      <c r="L618" s="5">
        <v>37.1</v>
      </c>
      <c r="M618" s="5">
        <v>12612.87</v>
      </c>
      <c r="N618" s="5">
        <v>4.86</v>
      </c>
      <c r="O618" s="6">
        <f t="shared" si="1"/>
        <v>37.09828571</v>
      </c>
      <c r="P618" s="6" t="str">
        <f t="shared" si="2"/>
        <v>Post-Shift</v>
      </c>
      <c r="Q618" s="3">
        <f t="shared" si="3"/>
        <v>50</v>
      </c>
    </row>
    <row r="619">
      <c r="A619" s="4" t="s">
        <v>233</v>
      </c>
      <c r="B619" s="2" t="s">
        <v>38</v>
      </c>
      <c r="C619" s="2" t="s">
        <v>27</v>
      </c>
      <c r="D619" s="2" t="s">
        <v>29</v>
      </c>
      <c r="E619" s="2" t="s">
        <v>25</v>
      </c>
      <c r="F619" s="5">
        <v>20021.0</v>
      </c>
      <c r="G619" s="5">
        <v>462.0</v>
      </c>
      <c r="H619" s="5">
        <v>0.0231</v>
      </c>
      <c r="I619" s="5">
        <v>1.57</v>
      </c>
      <c r="J619" s="5">
        <v>725.34</v>
      </c>
      <c r="K619" s="5">
        <v>20.0</v>
      </c>
      <c r="L619" s="5">
        <v>36.27</v>
      </c>
      <c r="M619" s="5">
        <v>4554.08</v>
      </c>
      <c r="N619" s="5">
        <v>6.28</v>
      </c>
      <c r="O619" s="6">
        <f t="shared" si="1"/>
        <v>36.267</v>
      </c>
      <c r="P619" s="6" t="str">
        <f t="shared" si="2"/>
        <v>Post-Shift</v>
      </c>
      <c r="Q619" s="3">
        <f t="shared" si="3"/>
        <v>38</v>
      </c>
    </row>
    <row r="620">
      <c r="A620" s="4" t="s">
        <v>182</v>
      </c>
      <c r="B620" s="2" t="s">
        <v>18</v>
      </c>
      <c r="C620" s="2" t="s">
        <v>31</v>
      </c>
      <c r="D620" s="2" t="s">
        <v>32</v>
      </c>
      <c r="E620" s="2" t="s">
        <v>21</v>
      </c>
      <c r="F620" s="5">
        <v>31783.0</v>
      </c>
      <c r="G620" s="5">
        <v>781.0</v>
      </c>
      <c r="H620" s="5">
        <v>0.0246</v>
      </c>
      <c r="I620" s="5">
        <v>1.16</v>
      </c>
      <c r="J620" s="5">
        <v>905.96</v>
      </c>
      <c r="K620" s="5">
        <v>49.0</v>
      </c>
      <c r="L620" s="5">
        <v>18.49</v>
      </c>
      <c r="M620" s="5">
        <v>4886.84</v>
      </c>
      <c r="N620" s="5">
        <v>5.39</v>
      </c>
      <c r="O620" s="6">
        <f t="shared" si="1"/>
        <v>18.48897959</v>
      </c>
      <c r="P620" s="6" t="str">
        <f t="shared" si="2"/>
        <v>Post-Shift</v>
      </c>
      <c r="Q620" s="3">
        <f t="shared" si="3"/>
        <v>3</v>
      </c>
    </row>
    <row r="621">
      <c r="A621" s="4" t="s">
        <v>179</v>
      </c>
      <c r="B621" s="2" t="s">
        <v>38</v>
      </c>
      <c r="C621" s="2" t="s">
        <v>41</v>
      </c>
      <c r="D621" s="2" t="s">
        <v>24</v>
      </c>
      <c r="E621" s="2" t="s">
        <v>56</v>
      </c>
      <c r="F621" s="5">
        <v>171020.0</v>
      </c>
      <c r="G621" s="5">
        <v>2616.0</v>
      </c>
      <c r="H621" s="5">
        <v>0.0153</v>
      </c>
      <c r="I621" s="5">
        <v>0.44</v>
      </c>
      <c r="J621" s="5">
        <v>1151.04</v>
      </c>
      <c r="K621" s="5">
        <v>41.0</v>
      </c>
      <c r="L621" s="5">
        <v>28.07</v>
      </c>
      <c r="M621" s="5">
        <v>9636.88</v>
      </c>
      <c r="N621" s="5">
        <v>8.37</v>
      </c>
      <c r="O621" s="6">
        <f t="shared" si="1"/>
        <v>28.07414634</v>
      </c>
      <c r="P621" s="6" t="str">
        <f t="shared" si="2"/>
        <v>Post-Shift</v>
      </c>
      <c r="Q621" s="3">
        <f t="shared" si="3"/>
        <v>3</v>
      </c>
    </row>
    <row r="622">
      <c r="A622" s="4" t="s">
        <v>234</v>
      </c>
      <c r="B622" s="2" t="s">
        <v>18</v>
      </c>
      <c r="C622" s="2" t="s">
        <v>31</v>
      </c>
      <c r="D622" s="2" t="s">
        <v>20</v>
      </c>
      <c r="E622" s="2" t="s">
        <v>58</v>
      </c>
      <c r="F622" s="5">
        <v>31325.0</v>
      </c>
      <c r="G622" s="5">
        <v>858.0</v>
      </c>
      <c r="H622" s="5">
        <v>0.0274</v>
      </c>
      <c r="I622" s="5">
        <v>2.12</v>
      </c>
      <c r="J622" s="5">
        <v>1818.96</v>
      </c>
      <c r="K622" s="5">
        <v>43.0</v>
      </c>
      <c r="L622" s="5">
        <v>42.3</v>
      </c>
      <c r="M622" s="5">
        <v>2004.67</v>
      </c>
      <c r="N622" s="5">
        <v>1.1</v>
      </c>
      <c r="O622" s="6">
        <f t="shared" si="1"/>
        <v>42.30139535</v>
      </c>
      <c r="P622" s="6" t="str">
        <f t="shared" si="2"/>
        <v>Post-Shift</v>
      </c>
      <c r="Q622" s="3">
        <f t="shared" si="3"/>
        <v>4</v>
      </c>
    </row>
    <row r="623">
      <c r="A623" s="4" t="s">
        <v>55</v>
      </c>
      <c r="B623" s="2" t="s">
        <v>38</v>
      </c>
      <c r="C623" s="2" t="s">
        <v>41</v>
      </c>
      <c r="D623" s="2" t="s">
        <v>32</v>
      </c>
      <c r="E623" s="2" t="s">
        <v>58</v>
      </c>
      <c r="F623" s="5">
        <v>49134.0</v>
      </c>
      <c r="G623" s="5">
        <v>1026.0</v>
      </c>
      <c r="H623" s="5">
        <v>0.0209</v>
      </c>
      <c r="I623" s="5">
        <v>0.8</v>
      </c>
      <c r="J623" s="5">
        <v>820.8</v>
      </c>
      <c r="K623" s="5">
        <v>16.0</v>
      </c>
      <c r="L623" s="5">
        <v>51.3</v>
      </c>
      <c r="M623" s="5">
        <v>1025.05</v>
      </c>
      <c r="N623" s="5">
        <v>1.25</v>
      </c>
      <c r="O623" s="6">
        <f t="shared" si="1"/>
        <v>51.3</v>
      </c>
      <c r="P623" s="6" t="str">
        <f t="shared" si="2"/>
        <v>Post-Shift</v>
      </c>
      <c r="Q623" s="3">
        <f t="shared" si="3"/>
        <v>53</v>
      </c>
    </row>
    <row r="624">
      <c r="A624" s="4" t="s">
        <v>235</v>
      </c>
      <c r="B624" s="2" t="s">
        <v>18</v>
      </c>
      <c r="C624" s="2" t="s">
        <v>41</v>
      </c>
      <c r="D624" s="2" t="s">
        <v>32</v>
      </c>
      <c r="E624" s="2" t="s">
        <v>56</v>
      </c>
      <c r="F624" s="5">
        <v>114599.0</v>
      </c>
      <c r="G624" s="5">
        <v>2028.0</v>
      </c>
      <c r="H624" s="5">
        <v>0.0177</v>
      </c>
      <c r="I624" s="5">
        <v>2.43</v>
      </c>
      <c r="J624" s="5">
        <v>4928.04</v>
      </c>
      <c r="K624" s="5">
        <v>29.0</v>
      </c>
      <c r="L624" s="5">
        <v>169.93</v>
      </c>
      <c r="M624" s="5">
        <v>5366.72</v>
      </c>
      <c r="N624" s="5">
        <v>1.09</v>
      </c>
      <c r="O624" s="6">
        <f t="shared" si="1"/>
        <v>169.9324138</v>
      </c>
      <c r="P624" s="6" t="str">
        <f t="shared" si="2"/>
        <v>Post-Shift</v>
      </c>
      <c r="Q624" s="3">
        <f t="shared" si="3"/>
        <v>18</v>
      </c>
    </row>
    <row r="625">
      <c r="A625" s="4">
        <v>45514.0</v>
      </c>
      <c r="B625" s="2" t="s">
        <v>38</v>
      </c>
      <c r="C625" s="2" t="s">
        <v>27</v>
      </c>
      <c r="D625" s="2" t="s">
        <v>20</v>
      </c>
      <c r="E625" s="2" t="s">
        <v>25</v>
      </c>
      <c r="F625" s="5">
        <v>198581.0</v>
      </c>
      <c r="G625" s="5">
        <v>1985.0</v>
      </c>
      <c r="H625" s="5">
        <v>0.01</v>
      </c>
      <c r="I625" s="5">
        <v>1.76</v>
      </c>
      <c r="J625" s="5">
        <v>3493.6</v>
      </c>
      <c r="K625" s="5">
        <v>38.0</v>
      </c>
      <c r="L625" s="5">
        <v>91.94</v>
      </c>
      <c r="M625" s="5">
        <v>8029.71</v>
      </c>
      <c r="N625" s="5">
        <v>2.3</v>
      </c>
      <c r="O625" s="6">
        <f t="shared" si="1"/>
        <v>91.93684211</v>
      </c>
      <c r="P625" s="6" t="str">
        <f t="shared" si="2"/>
        <v>Post-Shift</v>
      </c>
      <c r="Q625" s="3">
        <f t="shared" si="3"/>
        <v>41</v>
      </c>
    </row>
    <row r="626">
      <c r="A626" s="4" t="s">
        <v>209</v>
      </c>
      <c r="B626" s="2" t="s">
        <v>18</v>
      </c>
      <c r="C626" s="2" t="s">
        <v>27</v>
      </c>
      <c r="D626" s="2" t="s">
        <v>32</v>
      </c>
      <c r="E626" s="2" t="s">
        <v>36</v>
      </c>
      <c r="F626" s="5">
        <v>157890.0</v>
      </c>
      <c r="G626" s="5">
        <v>9204.0</v>
      </c>
      <c r="H626" s="5">
        <v>0.0583</v>
      </c>
      <c r="I626" s="5">
        <v>3.37</v>
      </c>
      <c r="J626" s="5">
        <v>31017.48</v>
      </c>
      <c r="K626" s="5">
        <v>321.0</v>
      </c>
      <c r="L626" s="5">
        <v>96.63</v>
      </c>
      <c r="M626" s="5">
        <v>10260.33</v>
      </c>
      <c r="N626" s="5">
        <v>0.33</v>
      </c>
      <c r="O626" s="6">
        <f t="shared" si="1"/>
        <v>96.62766355</v>
      </c>
      <c r="P626" s="6" t="str">
        <f t="shared" si="2"/>
        <v>Post-Shift</v>
      </c>
      <c r="Q626" s="3">
        <f t="shared" si="3"/>
        <v>30</v>
      </c>
    </row>
    <row r="627">
      <c r="A627" s="4">
        <v>45386.0</v>
      </c>
      <c r="B627" s="2" t="s">
        <v>18</v>
      </c>
      <c r="C627" s="2" t="s">
        <v>19</v>
      </c>
      <c r="D627" s="2" t="s">
        <v>24</v>
      </c>
      <c r="E627" s="2" t="s">
        <v>33</v>
      </c>
      <c r="F627" s="5">
        <v>161215.0</v>
      </c>
      <c r="G627" s="5">
        <v>5948.0</v>
      </c>
      <c r="H627" s="5">
        <v>0.0369</v>
      </c>
      <c r="I627" s="5">
        <v>2.27</v>
      </c>
      <c r="J627" s="5">
        <v>13501.96</v>
      </c>
      <c r="K627" s="5">
        <v>439.0</v>
      </c>
      <c r="L627" s="5">
        <v>30.76</v>
      </c>
      <c r="M627" s="5">
        <v>105685.3</v>
      </c>
      <c r="N627" s="5">
        <v>7.83</v>
      </c>
      <c r="O627" s="6">
        <f t="shared" si="1"/>
        <v>30.75617312</v>
      </c>
      <c r="P627" s="6" t="str">
        <f t="shared" si="2"/>
        <v>Baseline</v>
      </c>
      <c r="Q627" s="3">
        <f t="shared" si="3"/>
        <v>14</v>
      </c>
    </row>
    <row r="628">
      <c r="A628" s="4" t="s">
        <v>236</v>
      </c>
      <c r="B628" s="2" t="s">
        <v>23</v>
      </c>
      <c r="C628" s="2" t="s">
        <v>27</v>
      </c>
      <c r="D628" s="2" t="s">
        <v>20</v>
      </c>
      <c r="E628" s="2" t="s">
        <v>56</v>
      </c>
      <c r="F628" s="5">
        <v>48147.0</v>
      </c>
      <c r="G628" s="5">
        <v>3562.0</v>
      </c>
      <c r="H628" s="5">
        <v>0.074</v>
      </c>
      <c r="I628" s="5">
        <v>0.42</v>
      </c>
      <c r="J628" s="5">
        <v>1496.04</v>
      </c>
      <c r="K628" s="5">
        <v>163.0</v>
      </c>
      <c r="L628" s="5">
        <v>9.18</v>
      </c>
      <c r="M628" s="5">
        <v>41382.29</v>
      </c>
      <c r="N628" s="5">
        <v>27.66</v>
      </c>
      <c r="O628" s="6">
        <f t="shared" si="1"/>
        <v>9.178159509</v>
      </c>
      <c r="P628" s="6" t="str">
        <f t="shared" si="2"/>
        <v>Post-Shift</v>
      </c>
      <c r="Q628" s="3">
        <f t="shared" si="3"/>
        <v>5</v>
      </c>
    </row>
    <row r="629">
      <c r="A629" s="4">
        <v>45386.0</v>
      </c>
      <c r="B629" s="2" t="s">
        <v>38</v>
      </c>
      <c r="C629" s="2" t="s">
        <v>27</v>
      </c>
      <c r="D629" s="2" t="s">
        <v>24</v>
      </c>
      <c r="E629" s="2" t="s">
        <v>30</v>
      </c>
      <c r="F629" s="5">
        <v>90818.0</v>
      </c>
      <c r="G629" s="5">
        <v>3287.0</v>
      </c>
      <c r="H629" s="5">
        <v>0.0362</v>
      </c>
      <c r="I629" s="5">
        <v>0.8</v>
      </c>
      <c r="J629" s="5">
        <v>2629.6</v>
      </c>
      <c r="K629" s="5">
        <v>123.0</v>
      </c>
      <c r="L629" s="5">
        <v>21.38</v>
      </c>
      <c r="M629" s="5">
        <v>11242.68</v>
      </c>
      <c r="N629" s="5">
        <v>4.28</v>
      </c>
      <c r="O629" s="6">
        <f t="shared" si="1"/>
        <v>21.37886179</v>
      </c>
      <c r="P629" s="6" t="str">
        <f t="shared" si="2"/>
        <v>Baseline</v>
      </c>
      <c r="Q629" s="3">
        <f t="shared" si="3"/>
        <v>14</v>
      </c>
    </row>
    <row r="630">
      <c r="A630" s="4" t="s">
        <v>169</v>
      </c>
      <c r="B630" s="2" t="s">
        <v>18</v>
      </c>
      <c r="C630" s="2" t="s">
        <v>27</v>
      </c>
      <c r="D630" s="2" t="s">
        <v>32</v>
      </c>
      <c r="E630" s="2" t="s">
        <v>56</v>
      </c>
      <c r="F630" s="5">
        <v>118415.0</v>
      </c>
      <c r="G630" s="5">
        <v>6500.0</v>
      </c>
      <c r="H630" s="5">
        <v>0.0549</v>
      </c>
      <c r="I630" s="5">
        <v>1.74</v>
      </c>
      <c r="J630" s="5">
        <v>11310.0</v>
      </c>
      <c r="K630" s="5">
        <v>458.0</v>
      </c>
      <c r="L630" s="5">
        <v>24.69</v>
      </c>
      <c r="M630" s="5">
        <v>110383.2</v>
      </c>
      <c r="N630" s="5">
        <v>9.76</v>
      </c>
      <c r="O630" s="6">
        <f t="shared" si="1"/>
        <v>24.69432314</v>
      </c>
      <c r="P630" s="6" t="str">
        <f t="shared" si="2"/>
        <v>Post-Shift</v>
      </c>
      <c r="Q630" s="3">
        <f t="shared" si="3"/>
        <v>26</v>
      </c>
    </row>
    <row r="631">
      <c r="A631" s="4" t="s">
        <v>43</v>
      </c>
      <c r="B631" s="2" t="s">
        <v>23</v>
      </c>
      <c r="C631" s="2" t="s">
        <v>31</v>
      </c>
      <c r="D631" s="2" t="s">
        <v>32</v>
      </c>
      <c r="E631" s="2" t="s">
        <v>33</v>
      </c>
      <c r="F631" s="5">
        <v>113886.0</v>
      </c>
      <c r="G631" s="5">
        <v>4965.0</v>
      </c>
      <c r="H631" s="5">
        <v>0.0436</v>
      </c>
      <c r="I631" s="5">
        <v>1.34</v>
      </c>
      <c r="J631" s="5">
        <v>6653.1</v>
      </c>
      <c r="K631" s="5">
        <v>141.0</v>
      </c>
      <c r="L631" s="5">
        <v>47.19</v>
      </c>
      <c r="M631" s="5">
        <v>24007.44</v>
      </c>
      <c r="N631" s="5">
        <v>3.61</v>
      </c>
      <c r="O631" s="6">
        <f t="shared" si="1"/>
        <v>47.18510638</v>
      </c>
      <c r="P631" s="6" t="str">
        <f t="shared" si="2"/>
        <v>Post-Shift</v>
      </c>
      <c r="Q631" s="3">
        <f t="shared" si="3"/>
        <v>46</v>
      </c>
    </row>
    <row r="632">
      <c r="A632" s="4" t="s">
        <v>172</v>
      </c>
      <c r="B632" s="2" t="s">
        <v>38</v>
      </c>
      <c r="C632" s="2" t="s">
        <v>41</v>
      </c>
      <c r="D632" s="2" t="s">
        <v>29</v>
      </c>
      <c r="E632" s="2" t="s">
        <v>30</v>
      </c>
      <c r="F632" s="5">
        <v>113668.0</v>
      </c>
      <c r="G632" s="5">
        <v>2864.0</v>
      </c>
      <c r="H632" s="5">
        <v>0.0252</v>
      </c>
      <c r="I632" s="5">
        <v>1.57</v>
      </c>
      <c r="J632" s="5">
        <v>4496.48</v>
      </c>
      <c r="K632" s="5">
        <v>81.0</v>
      </c>
      <c r="L632" s="5">
        <v>55.51</v>
      </c>
      <c r="M632" s="5">
        <v>6109.21</v>
      </c>
      <c r="N632" s="5">
        <v>1.36</v>
      </c>
      <c r="O632" s="6">
        <f t="shared" si="1"/>
        <v>55.51209877</v>
      </c>
      <c r="P632" s="6" t="str">
        <f t="shared" si="2"/>
        <v>Post-Shift</v>
      </c>
      <c r="Q632" s="3">
        <f t="shared" si="3"/>
        <v>13</v>
      </c>
    </row>
    <row r="633">
      <c r="A633" s="4" t="s">
        <v>154</v>
      </c>
      <c r="B633" s="2" t="s">
        <v>38</v>
      </c>
      <c r="C633" s="2" t="s">
        <v>31</v>
      </c>
      <c r="D633" s="2" t="s">
        <v>29</v>
      </c>
      <c r="E633" s="2" t="s">
        <v>58</v>
      </c>
      <c r="F633" s="5">
        <v>76880.0</v>
      </c>
      <c r="G633" s="5">
        <v>1798.0</v>
      </c>
      <c r="H633" s="5">
        <v>0.0234</v>
      </c>
      <c r="I633" s="5">
        <v>1.18</v>
      </c>
      <c r="J633" s="5">
        <v>2121.64</v>
      </c>
      <c r="K633" s="5">
        <v>91.0</v>
      </c>
      <c r="L633" s="5">
        <v>23.31</v>
      </c>
      <c r="M633" s="5">
        <v>8926.11</v>
      </c>
      <c r="N633" s="5">
        <v>4.21</v>
      </c>
      <c r="O633" s="6">
        <f t="shared" si="1"/>
        <v>23.31472527</v>
      </c>
      <c r="P633" s="6" t="str">
        <f t="shared" si="2"/>
        <v>Post-Shift</v>
      </c>
      <c r="Q633" s="3">
        <f t="shared" si="3"/>
        <v>25</v>
      </c>
    </row>
    <row r="634">
      <c r="A634" s="4" t="s">
        <v>83</v>
      </c>
      <c r="B634" s="2" t="s">
        <v>18</v>
      </c>
      <c r="C634" s="2" t="s">
        <v>19</v>
      </c>
      <c r="D634" s="2" t="s">
        <v>24</v>
      </c>
      <c r="E634" s="2" t="s">
        <v>58</v>
      </c>
      <c r="F634" s="5">
        <v>138438.0</v>
      </c>
      <c r="G634" s="5">
        <v>4734.0</v>
      </c>
      <c r="H634" s="5">
        <v>0.0342</v>
      </c>
      <c r="I634" s="5">
        <v>3.54</v>
      </c>
      <c r="J634" s="5">
        <v>16758.36</v>
      </c>
      <c r="K634" s="5">
        <v>191.0</v>
      </c>
      <c r="L634" s="5">
        <v>87.74</v>
      </c>
      <c r="M634" s="5">
        <v>38220.88</v>
      </c>
      <c r="N634" s="5">
        <v>2.28</v>
      </c>
      <c r="O634" s="6">
        <f t="shared" si="1"/>
        <v>87.74010471</v>
      </c>
      <c r="P634" s="6" t="str">
        <f t="shared" si="2"/>
        <v>Post-Shift</v>
      </c>
      <c r="Q634" s="3">
        <f t="shared" si="3"/>
        <v>39</v>
      </c>
    </row>
    <row r="635">
      <c r="A635" s="4">
        <v>45576.0</v>
      </c>
      <c r="B635" s="2" t="s">
        <v>18</v>
      </c>
      <c r="C635" s="2" t="s">
        <v>19</v>
      </c>
      <c r="D635" s="2" t="s">
        <v>45</v>
      </c>
      <c r="E635" s="2" t="s">
        <v>33</v>
      </c>
      <c r="F635" s="5">
        <v>34764.0</v>
      </c>
      <c r="G635" s="5">
        <v>1251.0</v>
      </c>
      <c r="H635" s="5">
        <v>0.036</v>
      </c>
      <c r="I635" s="5">
        <v>0.83</v>
      </c>
      <c r="J635" s="5">
        <v>1038.33</v>
      </c>
      <c r="K635" s="5">
        <v>83.0</v>
      </c>
      <c r="L635" s="5">
        <v>12.51</v>
      </c>
      <c r="M635" s="5">
        <v>3361.16</v>
      </c>
      <c r="N635" s="5">
        <v>3.24</v>
      </c>
      <c r="O635" s="6">
        <f t="shared" si="1"/>
        <v>12.51</v>
      </c>
      <c r="P635" s="6" t="str">
        <f t="shared" si="2"/>
        <v>Post-Shift</v>
      </c>
      <c r="Q635" s="3">
        <f t="shared" si="3"/>
        <v>46</v>
      </c>
    </row>
    <row r="636">
      <c r="A636" s="4" t="s">
        <v>112</v>
      </c>
      <c r="B636" s="2" t="s">
        <v>38</v>
      </c>
      <c r="C636" s="2" t="s">
        <v>27</v>
      </c>
      <c r="D636" s="2" t="s">
        <v>20</v>
      </c>
      <c r="E636" s="2" t="s">
        <v>36</v>
      </c>
      <c r="F636" s="5">
        <v>61387.0</v>
      </c>
      <c r="G636" s="5">
        <v>1608.0</v>
      </c>
      <c r="H636" s="5">
        <v>0.0262</v>
      </c>
      <c r="I636" s="5">
        <v>2.09</v>
      </c>
      <c r="J636" s="5">
        <v>3360.72</v>
      </c>
      <c r="K636" s="5">
        <v>96.0</v>
      </c>
      <c r="L636" s="5">
        <v>35.01</v>
      </c>
      <c r="M636" s="5">
        <v>12312.27</v>
      </c>
      <c r="N636" s="5">
        <v>3.66</v>
      </c>
      <c r="O636" s="6">
        <f t="shared" si="1"/>
        <v>35.0075</v>
      </c>
      <c r="P636" s="6" t="str">
        <f t="shared" si="2"/>
        <v>Post-Shift</v>
      </c>
      <c r="Q636" s="3">
        <f t="shared" si="3"/>
        <v>13</v>
      </c>
    </row>
    <row r="637">
      <c r="A637" s="4">
        <v>45302.0</v>
      </c>
      <c r="B637" s="2" t="s">
        <v>23</v>
      </c>
      <c r="C637" s="2" t="s">
        <v>31</v>
      </c>
      <c r="D637" s="2" t="s">
        <v>32</v>
      </c>
      <c r="E637" s="2" t="s">
        <v>21</v>
      </c>
      <c r="F637" s="5">
        <v>139607.0</v>
      </c>
      <c r="G637" s="5">
        <v>10289.0</v>
      </c>
      <c r="H637" s="5">
        <v>0.0737</v>
      </c>
      <c r="I637" s="5">
        <v>0.91</v>
      </c>
      <c r="J637" s="5">
        <v>9362.99</v>
      </c>
      <c r="K637" s="5">
        <v>580.0</v>
      </c>
      <c r="L637" s="5">
        <v>16.14</v>
      </c>
      <c r="M637" s="5">
        <v>94107.07</v>
      </c>
      <c r="N637" s="5">
        <v>10.05</v>
      </c>
      <c r="O637" s="6">
        <f t="shared" si="1"/>
        <v>16.14308621</v>
      </c>
      <c r="P637" s="6" t="str">
        <f t="shared" si="2"/>
        <v>Baseline</v>
      </c>
      <c r="Q637" s="3">
        <f t="shared" si="3"/>
        <v>44</v>
      </c>
    </row>
    <row r="638">
      <c r="A638" s="4">
        <v>45353.0</v>
      </c>
      <c r="B638" s="2" t="s">
        <v>38</v>
      </c>
      <c r="C638" s="2" t="s">
        <v>31</v>
      </c>
      <c r="D638" s="2" t="s">
        <v>24</v>
      </c>
      <c r="E638" s="2" t="s">
        <v>25</v>
      </c>
      <c r="F638" s="5">
        <v>48271.0</v>
      </c>
      <c r="G638" s="5">
        <v>1182.0</v>
      </c>
      <c r="H638" s="5">
        <v>0.0245</v>
      </c>
      <c r="I638" s="5">
        <v>1.94</v>
      </c>
      <c r="J638" s="5">
        <v>2293.08</v>
      </c>
      <c r="K638" s="5">
        <v>30.0</v>
      </c>
      <c r="L638" s="5">
        <v>76.44</v>
      </c>
      <c r="M638" s="5">
        <v>2529.5</v>
      </c>
      <c r="N638" s="5">
        <v>1.1</v>
      </c>
      <c r="O638" s="6">
        <f t="shared" si="1"/>
        <v>76.436</v>
      </c>
      <c r="P638" s="6" t="str">
        <f t="shared" si="2"/>
        <v>Baseline</v>
      </c>
      <c r="Q638" s="3">
        <f t="shared" si="3"/>
        <v>5</v>
      </c>
    </row>
    <row r="639">
      <c r="A639" s="4" t="s">
        <v>204</v>
      </c>
      <c r="B639" s="2" t="s">
        <v>23</v>
      </c>
      <c r="C639" s="2" t="s">
        <v>19</v>
      </c>
      <c r="D639" s="2" t="s">
        <v>24</v>
      </c>
      <c r="E639" s="2" t="s">
        <v>58</v>
      </c>
      <c r="F639" s="5">
        <v>181833.0</v>
      </c>
      <c r="G639" s="5">
        <v>10018.0</v>
      </c>
      <c r="H639" s="5">
        <v>0.0551</v>
      </c>
      <c r="I639" s="5">
        <v>0.48</v>
      </c>
      <c r="J639" s="5">
        <v>4808.64</v>
      </c>
      <c r="K639" s="5">
        <v>686.0</v>
      </c>
      <c r="L639" s="5">
        <v>7.01</v>
      </c>
      <c r="M639" s="5">
        <v>153650.8</v>
      </c>
      <c r="N639" s="5">
        <v>31.95</v>
      </c>
      <c r="O639" s="6">
        <f t="shared" si="1"/>
        <v>7.0096793</v>
      </c>
      <c r="P639" s="6" t="str">
        <f t="shared" si="2"/>
        <v>Post-Shift</v>
      </c>
      <c r="Q639" s="3">
        <f t="shared" si="3"/>
        <v>47</v>
      </c>
    </row>
    <row r="640">
      <c r="A640" s="4" t="s">
        <v>106</v>
      </c>
      <c r="B640" s="2" t="s">
        <v>38</v>
      </c>
      <c r="C640" s="2" t="s">
        <v>27</v>
      </c>
      <c r="D640" s="2" t="s">
        <v>45</v>
      </c>
      <c r="E640" s="2" t="s">
        <v>30</v>
      </c>
      <c r="F640" s="5">
        <v>83678.0</v>
      </c>
      <c r="G640" s="5">
        <v>2761.0</v>
      </c>
      <c r="H640" s="5">
        <v>0.033</v>
      </c>
      <c r="I640" s="5">
        <v>1.66</v>
      </c>
      <c r="J640" s="5">
        <v>4583.26</v>
      </c>
      <c r="K640" s="5">
        <v>35.0</v>
      </c>
      <c r="L640" s="5">
        <v>130.95</v>
      </c>
      <c r="M640" s="5">
        <v>4630.48</v>
      </c>
      <c r="N640" s="5">
        <v>1.01</v>
      </c>
      <c r="O640" s="6">
        <f t="shared" si="1"/>
        <v>130.9502857</v>
      </c>
      <c r="P640" s="6" t="str">
        <f t="shared" si="2"/>
        <v>Post-Shift</v>
      </c>
      <c r="Q640" s="3">
        <f t="shared" si="3"/>
        <v>21</v>
      </c>
    </row>
    <row r="641">
      <c r="A641" s="4" t="s">
        <v>221</v>
      </c>
      <c r="B641" s="2" t="s">
        <v>18</v>
      </c>
      <c r="C641" s="2" t="s">
        <v>19</v>
      </c>
      <c r="D641" s="2" t="s">
        <v>32</v>
      </c>
      <c r="E641" s="2" t="s">
        <v>58</v>
      </c>
      <c r="F641" s="5">
        <v>32898.0</v>
      </c>
      <c r="G641" s="5">
        <v>1743.0</v>
      </c>
      <c r="H641" s="5">
        <v>0.053</v>
      </c>
      <c r="I641" s="5">
        <v>1.17</v>
      </c>
      <c r="J641" s="5">
        <v>2039.31</v>
      </c>
      <c r="K641" s="5">
        <v>130.0</v>
      </c>
      <c r="L641" s="5">
        <v>15.69</v>
      </c>
      <c r="M641" s="5">
        <v>31968.71</v>
      </c>
      <c r="N641" s="5">
        <v>15.68</v>
      </c>
      <c r="O641" s="6">
        <f t="shared" si="1"/>
        <v>15.687</v>
      </c>
      <c r="P641" s="6" t="str">
        <f t="shared" si="2"/>
        <v>Post-Shift</v>
      </c>
      <c r="Q641" s="3">
        <f t="shared" si="3"/>
        <v>17</v>
      </c>
    </row>
    <row r="642">
      <c r="A642" s="4">
        <v>45360.0</v>
      </c>
      <c r="B642" s="2" t="s">
        <v>38</v>
      </c>
      <c r="C642" s="2" t="s">
        <v>19</v>
      </c>
      <c r="D642" s="2" t="s">
        <v>29</v>
      </c>
      <c r="E642" s="2" t="s">
        <v>33</v>
      </c>
      <c r="F642" s="5">
        <v>36153.0</v>
      </c>
      <c r="G642" s="5">
        <v>882.0</v>
      </c>
      <c r="H642" s="5">
        <v>0.0244</v>
      </c>
      <c r="I642" s="5">
        <v>1.68</v>
      </c>
      <c r="J642" s="5">
        <v>1481.76</v>
      </c>
      <c r="K642" s="5">
        <v>62.0</v>
      </c>
      <c r="L642" s="5">
        <v>23.9</v>
      </c>
      <c r="M642" s="5">
        <v>16744.05</v>
      </c>
      <c r="N642" s="5">
        <v>11.3</v>
      </c>
      <c r="O642" s="6">
        <f t="shared" si="1"/>
        <v>23.89935484</v>
      </c>
      <c r="P642" s="6" t="str">
        <f t="shared" si="2"/>
        <v>Baseline</v>
      </c>
      <c r="Q642" s="3">
        <f t="shared" si="3"/>
        <v>36</v>
      </c>
    </row>
    <row r="643">
      <c r="A643" s="4" t="s">
        <v>237</v>
      </c>
      <c r="B643" s="2" t="s">
        <v>38</v>
      </c>
      <c r="C643" s="2" t="s">
        <v>19</v>
      </c>
      <c r="D643" s="2" t="s">
        <v>29</v>
      </c>
      <c r="E643" s="2" t="s">
        <v>30</v>
      </c>
      <c r="F643" s="5">
        <v>140372.0</v>
      </c>
      <c r="G643" s="5">
        <v>4548.0</v>
      </c>
      <c r="H643" s="5">
        <v>0.0324</v>
      </c>
      <c r="I643" s="5">
        <v>1.44</v>
      </c>
      <c r="J643" s="5">
        <v>6549.12</v>
      </c>
      <c r="K643" s="5">
        <v>125.0</v>
      </c>
      <c r="L643" s="5">
        <v>52.39</v>
      </c>
      <c r="M643" s="5">
        <v>23552.19</v>
      </c>
      <c r="N643" s="5">
        <v>3.6</v>
      </c>
      <c r="O643" s="6">
        <f t="shared" si="1"/>
        <v>52.39296</v>
      </c>
      <c r="P643" s="6" t="str">
        <f t="shared" si="2"/>
        <v>Post-Shift</v>
      </c>
      <c r="Q643" s="3">
        <f t="shared" si="3"/>
        <v>24</v>
      </c>
    </row>
    <row r="644">
      <c r="A644" s="4" t="s">
        <v>192</v>
      </c>
      <c r="B644" s="2" t="s">
        <v>23</v>
      </c>
      <c r="C644" s="2" t="s">
        <v>27</v>
      </c>
      <c r="D644" s="2" t="s">
        <v>32</v>
      </c>
      <c r="E644" s="2" t="s">
        <v>21</v>
      </c>
      <c r="F644" s="5">
        <v>196889.0</v>
      </c>
      <c r="G644" s="5">
        <v>9568.0</v>
      </c>
      <c r="H644" s="5">
        <v>0.0486</v>
      </c>
      <c r="I644" s="5">
        <v>0.93</v>
      </c>
      <c r="J644" s="5">
        <v>8898.24</v>
      </c>
      <c r="K644" s="5">
        <v>137.0</v>
      </c>
      <c r="L644" s="5">
        <v>64.95</v>
      </c>
      <c r="M644" s="5">
        <v>34964.66</v>
      </c>
      <c r="N644" s="5">
        <v>3.93</v>
      </c>
      <c r="O644" s="6">
        <f t="shared" si="1"/>
        <v>64.95065693</v>
      </c>
      <c r="P644" s="6" t="str">
        <f t="shared" si="2"/>
        <v>Post-Shift</v>
      </c>
      <c r="Q644" s="3">
        <f t="shared" si="3"/>
        <v>4</v>
      </c>
    </row>
    <row r="645">
      <c r="A645" s="4">
        <v>45598.0</v>
      </c>
      <c r="B645" s="2" t="s">
        <v>23</v>
      </c>
      <c r="C645" s="2" t="s">
        <v>41</v>
      </c>
      <c r="D645" s="2" t="s">
        <v>24</v>
      </c>
      <c r="E645" s="2" t="s">
        <v>25</v>
      </c>
      <c r="F645" s="5">
        <v>77467.0</v>
      </c>
      <c r="G645" s="5">
        <v>3300.0</v>
      </c>
      <c r="H645" s="5">
        <v>0.0426</v>
      </c>
      <c r="I645" s="5">
        <v>1.01</v>
      </c>
      <c r="J645" s="5">
        <v>3333.0</v>
      </c>
      <c r="K645" s="5">
        <v>180.0</v>
      </c>
      <c r="L645" s="5">
        <v>18.52</v>
      </c>
      <c r="M645" s="5">
        <v>42781.66</v>
      </c>
      <c r="N645" s="5">
        <v>12.84</v>
      </c>
      <c r="O645" s="6">
        <f t="shared" si="1"/>
        <v>18.51666667</v>
      </c>
      <c r="P645" s="6" t="str">
        <f t="shared" si="2"/>
        <v>Post-Shift</v>
      </c>
      <c r="Q645" s="3">
        <f t="shared" si="3"/>
        <v>7</v>
      </c>
    </row>
    <row r="646">
      <c r="A646" s="4">
        <v>45598.0</v>
      </c>
      <c r="B646" s="2" t="s">
        <v>18</v>
      </c>
      <c r="C646" s="2" t="s">
        <v>31</v>
      </c>
      <c r="D646" s="2" t="s">
        <v>20</v>
      </c>
      <c r="E646" s="2" t="s">
        <v>21</v>
      </c>
      <c r="F646" s="5">
        <v>29016.0</v>
      </c>
      <c r="G646" s="5">
        <v>1088.0</v>
      </c>
      <c r="H646" s="5">
        <v>0.0375</v>
      </c>
      <c r="I646" s="5">
        <v>2.06</v>
      </c>
      <c r="J646" s="5">
        <v>2241.28</v>
      </c>
      <c r="K646" s="5">
        <v>56.0</v>
      </c>
      <c r="L646" s="5">
        <v>40.02</v>
      </c>
      <c r="M646" s="5">
        <v>9936.27</v>
      </c>
      <c r="N646" s="5">
        <v>4.43</v>
      </c>
      <c r="O646" s="6">
        <f t="shared" si="1"/>
        <v>40.02285714</v>
      </c>
      <c r="P646" s="6" t="str">
        <f t="shared" si="2"/>
        <v>Post-Shift</v>
      </c>
      <c r="Q646" s="3">
        <f t="shared" si="3"/>
        <v>7</v>
      </c>
    </row>
    <row r="647">
      <c r="A647" s="4">
        <v>45603.0</v>
      </c>
      <c r="B647" s="2" t="s">
        <v>38</v>
      </c>
      <c r="C647" s="2" t="s">
        <v>31</v>
      </c>
      <c r="D647" s="2" t="s">
        <v>29</v>
      </c>
      <c r="E647" s="2" t="s">
        <v>36</v>
      </c>
      <c r="F647" s="5">
        <v>117200.0</v>
      </c>
      <c r="G647" s="5">
        <v>1699.0</v>
      </c>
      <c r="H647" s="5">
        <v>0.0145</v>
      </c>
      <c r="I647" s="5">
        <v>1.94</v>
      </c>
      <c r="J647" s="5">
        <v>3296.06</v>
      </c>
      <c r="K647" s="5">
        <v>113.0</v>
      </c>
      <c r="L647" s="5">
        <v>29.17</v>
      </c>
      <c r="M647" s="5">
        <v>30970.48</v>
      </c>
      <c r="N647" s="5">
        <v>9.4</v>
      </c>
      <c r="O647" s="6">
        <f t="shared" si="1"/>
        <v>29.16867257</v>
      </c>
      <c r="P647" s="6" t="str">
        <f t="shared" si="2"/>
        <v>Post-Shift</v>
      </c>
      <c r="Q647" s="3">
        <f t="shared" si="3"/>
        <v>28</v>
      </c>
    </row>
    <row r="648">
      <c r="A648" s="4">
        <v>45417.0</v>
      </c>
      <c r="B648" s="2" t="s">
        <v>18</v>
      </c>
      <c r="C648" s="2" t="s">
        <v>31</v>
      </c>
      <c r="D648" s="2" t="s">
        <v>32</v>
      </c>
      <c r="E648" s="2" t="s">
        <v>33</v>
      </c>
      <c r="F648" s="5">
        <v>134157.0</v>
      </c>
      <c r="G648" s="5">
        <v>3407.0</v>
      </c>
      <c r="H648" s="5">
        <v>0.0254</v>
      </c>
      <c r="I648" s="5">
        <v>2.41</v>
      </c>
      <c r="J648" s="5">
        <v>8210.87</v>
      </c>
      <c r="K648" s="5">
        <v>147.0</v>
      </c>
      <c r="L648" s="5">
        <v>55.86</v>
      </c>
      <c r="M648" s="5">
        <v>41434.67</v>
      </c>
      <c r="N648" s="5">
        <v>5.05</v>
      </c>
      <c r="O648" s="6">
        <f t="shared" si="1"/>
        <v>55.8562585</v>
      </c>
      <c r="P648" s="6" t="str">
        <f t="shared" si="2"/>
        <v>Baseline</v>
      </c>
      <c r="Q648" s="3">
        <f t="shared" si="3"/>
        <v>19</v>
      </c>
    </row>
    <row r="649">
      <c r="A649" s="4" t="s">
        <v>82</v>
      </c>
      <c r="B649" s="2" t="s">
        <v>18</v>
      </c>
      <c r="C649" s="2" t="s">
        <v>41</v>
      </c>
      <c r="D649" s="2" t="s">
        <v>20</v>
      </c>
      <c r="E649" s="2" t="s">
        <v>56</v>
      </c>
      <c r="F649" s="5">
        <v>161434.0</v>
      </c>
      <c r="G649" s="5">
        <v>6328.0</v>
      </c>
      <c r="H649" s="5">
        <v>0.0392</v>
      </c>
      <c r="I649" s="5">
        <v>0.77</v>
      </c>
      <c r="J649" s="5">
        <v>4872.56</v>
      </c>
      <c r="K649" s="5">
        <v>263.0</v>
      </c>
      <c r="L649" s="5">
        <v>18.53</v>
      </c>
      <c r="M649" s="5">
        <v>25426.86</v>
      </c>
      <c r="N649" s="5">
        <v>5.22</v>
      </c>
      <c r="O649" s="6">
        <f t="shared" si="1"/>
        <v>18.52684411</v>
      </c>
      <c r="P649" s="6" t="str">
        <f t="shared" si="2"/>
        <v>Post-Shift</v>
      </c>
      <c r="Q649" s="3">
        <f t="shared" si="3"/>
        <v>13</v>
      </c>
    </row>
    <row r="650">
      <c r="A650" s="4" t="s">
        <v>94</v>
      </c>
      <c r="B650" s="2" t="s">
        <v>23</v>
      </c>
      <c r="C650" s="2" t="s">
        <v>31</v>
      </c>
      <c r="D650" s="2" t="s">
        <v>32</v>
      </c>
      <c r="E650" s="2" t="s">
        <v>36</v>
      </c>
      <c r="F650" s="5">
        <v>62888.0</v>
      </c>
      <c r="G650" s="5">
        <v>3307.0</v>
      </c>
      <c r="H650" s="5">
        <v>0.0526</v>
      </c>
      <c r="I650" s="5">
        <v>0.61</v>
      </c>
      <c r="J650" s="5">
        <v>2017.27</v>
      </c>
      <c r="K650" s="5">
        <v>55.0</v>
      </c>
      <c r="L650" s="5">
        <v>36.68</v>
      </c>
      <c r="M650" s="5">
        <v>12898.32</v>
      </c>
      <c r="N650" s="5">
        <v>6.39</v>
      </c>
      <c r="O650" s="6">
        <f t="shared" si="1"/>
        <v>36.67763636</v>
      </c>
      <c r="P650" s="6" t="str">
        <f t="shared" si="2"/>
        <v>Post-Shift</v>
      </c>
      <c r="Q650" s="3">
        <f t="shared" si="3"/>
        <v>29</v>
      </c>
    </row>
    <row r="651">
      <c r="A651" s="4" t="s">
        <v>80</v>
      </c>
      <c r="B651" s="2" t="s">
        <v>18</v>
      </c>
      <c r="C651" s="2" t="s">
        <v>27</v>
      </c>
      <c r="D651" s="2" t="s">
        <v>32</v>
      </c>
      <c r="E651" s="2" t="s">
        <v>36</v>
      </c>
      <c r="F651" s="5">
        <v>108187.0</v>
      </c>
      <c r="G651" s="5">
        <v>2423.0</v>
      </c>
      <c r="H651" s="5">
        <v>0.0224</v>
      </c>
      <c r="I651" s="5">
        <v>2.67</v>
      </c>
      <c r="J651" s="5">
        <v>6469.41</v>
      </c>
      <c r="K651" s="5">
        <v>179.0</v>
      </c>
      <c r="L651" s="5">
        <v>36.14</v>
      </c>
      <c r="M651" s="5">
        <v>29012.87</v>
      </c>
      <c r="N651" s="5">
        <v>4.48</v>
      </c>
      <c r="O651" s="6">
        <f t="shared" si="1"/>
        <v>36.14195531</v>
      </c>
      <c r="P651" s="6" t="str">
        <f t="shared" si="2"/>
        <v>Post-Shift</v>
      </c>
      <c r="Q651" s="3">
        <f t="shared" si="3"/>
        <v>20</v>
      </c>
    </row>
    <row r="652">
      <c r="A652" s="4" t="s">
        <v>162</v>
      </c>
      <c r="B652" s="2" t="s">
        <v>38</v>
      </c>
      <c r="C652" s="2" t="s">
        <v>19</v>
      </c>
      <c r="D652" s="2" t="s">
        <v>45</v>
      </c>
      <c r="E652" s="2" t="s">
        <v>36</v>
      </c>
      <c r="F652" s="5">
        <v>199363.0</v>
      </c>
      <c r="G652" s="5">
        <v>3847.0</v>
      </c>
      <c r="H652" s="5">
        <v>0.0193</v>
      </c>
      <c r="I652" s="5">
        <v>0.9</v>
      </c>
      <c r="J652" s="5">
        <v>3462.3</v>
      </c>
      <c r="K652" s="5">
        <v>73.0</v>
      </c>
      <c r="L652" s="5">
        <v>47.43</v>
      </c>
      <c r="M652" s="5">
        <v>11133.49</v>
      </c>
      <c r="N652" s="5">
        <v>3.22</v>
      </c>
      <c r="O652" s="6">
        <f t="shared" si="1"/>
        <v>47.42876712</v>
      </c>
      <c r="P652" s="6" t="str">
        <f t="shared" si="2"/>
        <v>Post-Shift</v>
      </c>
      <c r="Q652" s="3">
        <f t="shared" si="3"/>
        <v>34</v>
      </c>
    </row>
    <row r="653">
      <c r="A653" s="4" t="s">
        <v>79</v>
      </c>
      <c r="B653" s="2" t="s">
        <v>38</v>
      </c>
      <c r="C653" s="2" t="s">
        <v>27</v>
      </c>
      <c r="D653" s="2" t="s">
        <v>32</v>
      </c>
      <c r="E653" s="2" t="s">
        <v>58</v>
      </c>
      <c r="F653" s="5">
        <v>59160.0</v>
      </c>
      <c r="G653" s="5">
        <v>958.0</v>
      </c>
      <c r="H653" s="5">
        <v>0.0162</v>
      </c>
      <c r="I653" s="5">
        <v>1.0</v>
      </c>
      <c r="J653" s="5">
        <v>958.0</v>
      </c>
      <c r="K653" s="5">
        <v>35.0</v>
      </c>
      <c r="L653" s="5">
        <v>27.37</v>
      </c>
      <c r="M653" s="5">
        <v>7848.99</v>
      </c>
      <c r="N653" s="5">
        <v>8.19</v>
      </c>
      <c r="O653" s="6">
        <f t="shared" si="1"/>
        <v>27.37142857</v>
      </c>
      <c r="P653" s="6" t="str">
        <f t="shared" si="2"/>
        <v>Post-Shift</v>
      </c>
      <c r="Q653" s="3">
        <f t="shared" si="3"/>
        <v>18</v>
      </c>
    </row>
    <row r="654">
      <c r="A654" s="4" t="s">
        <v>204</v>
      </c>
      <c r="B654" s="2" t="s">
        <v>18</v>
      </c>
      <c r="C654" s="2" t="s">
        <v>31</v>
      </c>
      <c r="D654" s="2" t="s">
        <v>45</v>
      </c>
      <c r="E654" s="2" t="s">
        <v>58</v>
      </c>
      <c r="F654" s="5">
        <v>78551.0</v>
      </c>
      <c r="G654" s="5">
        <v>2411.0</v>
      </c>
      <c r="H654" s="5">
        <v>0.0307</v>
      </c>
      <c r="I654" s="5">
        <v>3.38</v>
      </c>
      <c r="J654" s="5">
        <v>8149.18</v>
      </c>
      <c r="K654" s="5">
        <v>92.0</v>
      </c>
      <c r="L654" s="5">
        <v>88.58</v>
      </c>
      <c r="M654" s="5">
        <v>8262.09</v>
      </c>
      <c r="N654" s="5">
        <v>1.01</v>
      </c>
      <c r="O654" s="6">
        <f t="shared" si="1"/>
        <v>88.57804348</v>
      </c>
      <c r="P654" s="6" t="str">
        <f t="shared" si="2"/>
        <v>Post-Shift</v>
      </c>
      <c r="Q654" s="3">
        <f t="shared" si="3"/>
        <v>47</v>
      </c>
    </row>
    <row r="655">
      <c r="A655" s="4">
        <v>45361.0</v>
      </c>
      <c r="B655" s="2" t="s">
        <v>38</v>
      </c>
      <c r="C655" s="2" t="s">
        <v>41</v>
      </c>
      <c r="D655" s="2" t="s">
        <v>32</v>
      </c>
      <c r="E655" s="2" t="s">
        <v>30</v>
      </c>
      <c r="F655" s="5">
        <v>186711.0</v>
      </c>
      <c r="G655" s="5">
        <v>7748.0</v>
      </c>
      <c r="H655" s="5">
        <v>0.0415</v>
      </c>
      <c r="I655" s="5">
        <v>0.58</v>
      </c>
      <c r="J655" s="5">
        <v>4493.84</v>
      </c>
      <c r="K655" s="5">
        <v>536.0</v>
      </c>
      <c r="L655" s="5">
        <v>8.38</v>
      </c>
      <c r="M655" s="5">
        <v>89187.58</v>
      </c>
      <c r="N655" s="5">
        <v>19.85</v>
      </c>
      <c r="O655" s="6">
        <f t="shared" si="1"/>
        <v>8.384029851</v>
      </c>
      <c r="P655" s="6" t="str">
        <f t="shared" si="2"/>
        <v>Baseline</v>
      </c>
      <c r="Q655" s="3">
        <f t="shared" si="3"/>
        <v>40</v>
      </c>
    </row>
    <row r="656">
      <c r="A656" s="4">
        <v>45392.0</v>
      </c>
      <c r="B656" s="2" t="s">
        <v>38</v>
      </c>
      <c r="C656" s="2" t="s">
        <v>31</v>
      </c>
      <c r="D656" s="2" t="s">
        <v>32</v>
      </c>
      <c r="E656" s="2" t="s">
        <v>25</v>
      </c>
      <c r="F656" s="5">
        <v>5528.0</v>
      </c>
      <c r="G656" s="5">
        <v>108.0</v>
      </c>
      <c r="H656" s="5">
        <v>0.0196</v>
      </c>
      <c r="I656" s="5">
        <v>2.02</v>
      </c>
      <c r="J656" s="5">
        <v>218.16</v>
      </c>
      <c r="K656" s="5">
        <v>7.0</v>
      </c>
      <c r="L656" s="5">
        <v>31.17</v>
      </c>
      <c r="M656" s="5">
        <v>2000.84</v>
      </c>
      <c r="N656" s="5">
        <v>9.17</v>
      </c>
      <c r="O656" s="6">
        <f t="shared" si="1"/>
        <v>31.16571429</v>
      </c>
      <c r="P656" s="6" t="str">
        <f t="shared" si="2"/>
        <v>Baseline</v>
      </c>
      <c r="Q656" s="3">
        <f t="shared" si="3"/>
        <v>40</v>
      </c>
    </row>
    <row r="657">
      <c r="A657" s="4">
        <v>45485.0</v>
      </c>
      <c r="B657" s="2" t="s">
        <v>18</v>
      </c>
      <c r="C657" s="2" t="s">
        <v>31</v>
      </c>
      <c r="D657" s="2" t="s">
        <v>32</v>
      </c>
      <c r="E657" s="2" t="s">
        <v>36</v>
      </c>
      <c r="F657" s="5">
        <v>144535.0</v>
      </c>
      <c r="G657" s="5">
        <v>7588.0</v>
      </c>
      <c r="H657" s="5">
        <v>0.0525</v>
      </c>
      <c r="I657" s="5">
        <v>3.1</v>
      </c>
      <c r="J657" s="5">
        <v>23522.8</v>
      </c>
      <c r="K657" s="5">
        <v>445.0</v>
      </c>
      <c r="L657" s="5">
        <v>52.86</v>
      </c>
      <c r="M657" s="5">
        <v>105359.0</v>
      </c>
      <c r="N657" s="5">
        <v>4.48</v>
      </c>
      <c r="O657" s="6">
        <f t="shared" si="1"/>
        <v>52.86022472</v>
      </c>
      <c r="P657" s="6" t="str">
        <f t="shared" si="2"/>
        <v>Post-Shift</v>
      </c>
      <c r="Q657" s="3">
        <f t="shared" si="3"/>
        <v>49</v>
      </c>
    </row>
    <row r="658">
      <c r="A658" s="4">
        <v>45512.0</v>
      </c>
      <c r="B658" s="2" t="s">
        <v>38</v>
      </c>
      <c r="C658" s="2" t="s">
        <v>19</v>
      </c>
      <c r="D658" s="2" t="s">
        <v>45</v>
      </c>
      <c r="E658" s="2" t="s">
        <v>21</v>
      </c>
      <c r="F658" s="5">
        <v>8188.0</v>
      </c>
      <c r="G658" s="5">
        <v>272.0</v>
      </c>
      <c r="H658" s="5">
        <v>0.0333</v>
      </c>
      <c r="I658" s="5">
        <v>1.16</v>
      </c>
      <c r="J658" s="5">
        <v>315.52</v>
      </c>
      <c r="K658" s="5">
        <v>14.0</v>
      </c>
      <c r="L658" s="5">
        <v>22.54</v>
      </c>
      <c r="M658" s="5">
        <v>3745.84</v>
      </c>
      <c r="N658" s="5">
        <v>11.87</v>
      </c>
      <c r="O658" s="6">
        <f t="shared" si="1"/>
        <v>22.53714286</v>
      </c>
      <c r="P658" s="6" t="str">
        <f t="shared" si="2"/>
        <v>Post-Shift</v>
      </c>
      <c r="Q658" s="3">
        <f t="shared" si="3"/>
        <v>32</v>
      </c>
    </row>
    <row r="659">
      <c r="A659" s="4">
        <v>45420.0</v>
      </c>
      <c r="B659" s="2" t="s">
        <v>18</v>
      </c>
      <c r="C659" s="2" t="s">
        <v>41</v>
      </c>
      <c r="D659" s="2" t="s">
        <v>20</v>
      </c>
      <c r="E659" s="2" t="s">
        <v>36</v>
      </c>
      <c r="F659" s="5">
        <v>71151.0</v>
      </c>
      <c r="G659" s="5">
        <v>4368.0</v>
      </c>
      <c r="H659" s="5">
        <v>0.0614</v>
      </c>
      <c r="I659" s="5">
        <v>3.23</v>
      </c>
      <c r="J659" s="5">
        <v>14108.64</v>
      </c>
      <c r="K659" s="5">
        <v>202.0</v>
      </c>
      <c r="L659" s="5">
        <v>69.84</v>
      </c>
      <c r="M659" s="5">
        <v>51341.85</v>
      </c>
      <c r="N659" s="5">
        <v>3.64</v>
      </c>
      <c r="O659" s="6">
        <f t="shared" si="1"/>
        <v>69.84475248</v>
      </c>
      <c r="P659" s="6" t="str">
        <f t="shared" si="2"/>
        <v>Baseline</v>
      </c>
      <c r="Q659" s="3">
        <f t="shared" si="3"/>
        <v>32</v>
      </c>
    </row>
    <row r="660">
      <c r="A660" s="4">
        <v>45446.0</v>
      </c>
      <c r="B660" s="2" t="s">
        <v>38</v>
      </c>
      <c r="C660" s="2" t="s">
        <v>31</v>
      </c>
      <c r="D660" s="2" t="s">
        <v>24</v>
      </c>
      <c r="E660" s="2" t="s">
        <v>33</v>
      </c>
      <c r="F660" s="5">
        <v>171797.0</v>
      </c>
      <c r="G660" s="5">
        <v>5153.0</v>
      </c>
      <c r="H660" s="5">
        <v>0.03</v>
      </c>
      <c r="I660" s="5">
        <v>0.54</v>
      </c>
      <c r="J660" s="5">
        <v>2782.62</v>
      </c>
      <c r="K660" s="5">
        <v>255.0</v>
      </c>
      <c r="L660" s="5">
        <v>10.91</v>
      </c>
      <c r="M660" s="5">
        <v>52673.17</v>
      </c>
      <c r="N660" s="5">
        <v>18.93</v>
      </c>
      <c r="O660" s="6">
        <f t="shared" si="1"/>
        <v>10.91223529</v>
      </c>
      <c r="P660" s="6" t="str">
        <f t="shared" si="2"/>
        <v>Baseline</v>
      </c>
      <c r="Q660" s="3">
        <f t="shared" si="3"/>
        <v>10</v>
      </c>
    </row>
    <row r="661">
      <c r="A661" s="4" t="s">
        <v>114</v>
      </c>
      <c r="B661" s="2" t="s">
        <v>23</v>
      </c>
      <c r="C661" s="2" t="s">
        <v>19</v>
      </c>
      <c r="D661" s="2" t="s">
        <v>24</v>
      </c>
      <c r="E661" s="2" t="s">
        <v>58</v>
      </c>
      <c r="F661" s="5">
        <v>173050.0</v>
      </c>
      <c r="G661" s="5">
        <v>8565.0</v>
      </c>
      <c r="H661" s="5">
        <v>0.0495</v>
      </c>
      <c r="I661" s="5">
        <v>0.69</v>
      </c>
      <c r="J661" s="5">
        <v>5909.85</v>
      </c>
      <c r="K661" s="5">
        <v>414.0</v>
      </c>
      <c r="L661" s="5">
        <v>14.28</v>
      </c>
      <c r="M661" s="5">
        <v>118511.8</v>
      </c>
      <c r="N661" s="5">
        <v>20.05</v>
      </c>
      <c r="O661" s="6">
        <f t="shared" si="1"/>
        <v>14.275</v>
      </c>
      <c r="P661" s="6" t="str">
        <f t="shared" si="2"/>
        <v>Post-Shift</v>
      </c>
      <c r="Q661" s="3">
        <f t="shared" si="3"/>
        <v>8</v>
      </c>
    </row>
    <row r="662">
      <c r="A662" s="4">
        <v>45391.0</v>
      </c>
      <c r="B662" s="2" t="s">
        <v>23</v>
      </c>
      <c r="C662" s="2" t="s">
        <v>27</v>
      </c>
      <c r="D662" s="2" t="s">
        <v>45</v>
      </c>
      <c r="E662" s="2" t="s">
        <v>36</v>
      </c>
      <c r="F662" s="5">
        <v>178269.0</v>
      </c>
      <c r="G662" s="5">
        <v>8646.0</v>
      </c>
      <c r="H662" s="5">
        <v>0.0485</v>
      </c>
      <c r="I662" s="5">
        <v>0.63</v>
      </c>
      <c r="J662" s="5">
        <v>5446.98</v>
      </c>
      <c r="K662" s="5">
        <v>93.0</v>
      </c>
      <c r="L662" s="5">
        <v>58.57</v>
      </c>
      <c r="M662" s="5">
        <v>10627.54</v>
      </c>
      <c r="N662" s="5">
        <v>1.95</v>
      </c>
      <c r="O662" s="6">
        <f t="shared" si="1"/>
        <v>58.56967742</v>
      </c>
      <c r="P662" s="6" t="str">
        <f t="shared" si="2"/>
        <v>Baseline</v>
      </c>
      <c r="Q662" s="3">
        <f t="shared" si="3"/>
        <v>36</v>
      </c>
    </row>
    <row r="663">
      <c r="A663" s="4" t="s">
        <v>156</v>
      </c>
      <c r="B663" s="2" t="s">
        <v>18</v>
      </c>
      <c r="C663" s="2" t="s">
        <v>41</v>
      </c>
      <c r="D663" s="2" t="s">
        <v>45</v>
      </c>
      <c r="E663" s="2" t="s">
        <v>21</v>
      </c>
      <c r="F663" s="5">
        <v>164028.0</v>
      </c>
      <c r="G663" s="5">
        <v>5905.0</v>
      </c>
      <c r="H663" s="5">
        <v>0.036</v>
      </c>
      <c r="I663" s="5">
        <v>1.0</v>
      </c>
      <c r="J663" s="5">
        <v>5905.0</v>
      </c>
      <c r="K663" s="5">
        <v>377.0</v>
      </c>
      <c r="L663" s="5">
        <v>15.66</v>
      </c>
      <c r="M663" s="5">
        <v>25718.59</v>
      </c>
      <c r="N663" s="5">
        <v>4.36</v>
      </c>
      <c r="O663" s="6">
        <f t="shared" si="1"/>
        <v>15.66312997</v>
      </c>
      <c r="P663" s="6" t="str">
        <f t="shared" si="2"/>
        <v>Post-Shift</v>
      </c>
      <c r="Q663" s="3">
        <f t="shared" si="3"/>
        <v>51</v>
      </c>
    </row>
    <row r="664">
      <c r="A664" s="4">
        <v>45293.0</v>
      </c>
      <c r="B664" s="2" t="s">
        <v>23</v>
      </c>
      <c r="C664" s="2" t="s">
        <v>27</v>
      </c>
      <c r="D664" s="2" t="s">
        <v>29</v>
      </c>
      <c r="E664" s="2" t="s">
        <v>58</v>
      </c>
      <c r="F664" s="5">
        <v>184504.0</v>
      </c>
      <c r="G664" s="5">
        <v>15479.0</v>
      </c>
      <c r="H664" s="5">
        <v>0.0839</v>
      </c>
      <c r="I664" s="5">
        <v>0.8</v>
      </c>
      <c r="J664" s="5">
        <v>12383.2</v>
      </c>
      <c r="K664" s="5">
        <v>538.0</v>
      </c>
      <c r="L664" s="5">
        <v>23.02</v>
      </c>
      <c r="M664" s="5">
        <v>112251.7</v>
      </c>
      <c r="N664" s="5">
        <v>9.06</v>
      </c>
      <c r="O664" s="6">
        <f t="shared" si="1"/>
        <v>23.01710037</v>
      </c>
      <c r="P664" s="6" t="str">
        <f t="shared" si="2"/>
        <v>Baseline</v>
      </c>
      <c r="Q664" s="3">
        <f t="shared" si="3"/>
        <v>5</v>
      </c>
    </row>
    <row r="665">
      <c r="A665" s="4" t="s">
        <v>229</v>
      </c>
      <c r="B665" s="2" t="s">
        <v>23</v>
      </c>
      <c r="C665" s="2" t="s">
        <v>31</v>
      </c>
      <c r="D665" s="2" t="s">
        <v>29</v>
      </c>
      <c r="E665" s="2" t="s">
        <v>56</v>
      </c>
      <c r="F665" s="5">
        <v>119515.0</v>
      </c>
      <c r="G665" s="5">
        <v>6824.0</v>
      </c>
      <c r="H665" s="5">
        <v>0.0571</v>
      </c>
      <c r="I665" s="5">
        <v>0.86</v>
      </c>
      <c r="J665" s="5">
        <v>5868.64</v>
      </c>
      <c r="K665" s="5">
        <v>89.0</v>
      </c>
      <c r="L665" s="5">
        <v>65.94</v>
      </c>
      <c r="M665" s="5">
        <v>25992.88</v>
      </c>
      <c r="N665" s="5">
        <v>4.43</v>
      </c>
      <c r="O665" s="6">
        <f t="shared" si="1"/>
        <v>65.93977528</v>
      </c>
      <c r="P665" s="6" t="str">
        <f t="shared" si="2"/>
        <v>Post-Shift</v>
      </c>
      <c r="Q665" s="3">
        <f t="shared" si="3"/>
        <v>42</v>
      </c>
    </row>
    <row r="666">
      <c r="A666" s="4" t="s">
        <v>210</v>
      </c>
      <c r="B666" s="2" t="s">
        <v>38</v>
      </c>
      <c r="C666" s="2" t="s">
        <v>19</v>
      </c>
      <c r="D666" s="2" t="s">
        <v>24</v>
      </c>
      <c r="E666" s="2" t="s">
        <v>30</v>
      </c>
      <c r="F666" s="5">
        <v>108591.0</v>
      </c>
      <c r="G666" s="5">
        <v>2084.0</v>
      </c>
      <c r="H666" s="5">
        <v>0.0192</v>
      </c>
      <c r="I666" s="5">
        <v>2.16</v>
      </c>
      <c r="J666" s="5">
        <v>4501.44</v>
      </c>
      <c r="K666" s="5">
        <v>31.0</v>
      </c>
      <c r="L666" s="5">
        <v>145.21</v>
      </c>
      <c r="M666" s="5">
        <v>6469.19</v>
      </c>
      <c r="N666" s="5">
        <v>1.44</v>
      </c>
      <c r="O666" s="6">
        <f t="shared" si="1"/>
        <v>145.2077419</v>
      </c>
      <c r="P666" s="6" t="str">
        <f t="shared" si="2"/>
        <v>Post-Shift</v>
      </c>
      <c r="Q666" s="3">
        <f t="shared" si="3"/>
        <v>42</v>
      </c>
    </row>
    <row r="667">
      <c r="A667" s="4">
        <v>45601.0</v>
      </c>
      <c r="B667" s="2" t="s">
        <v>38</v>
      </c>
      <c r="C667" s="2" t="s">
        <v>31</v>
      </c>
      <c r="D667" s="2" t="s">
        <v>24</v>
      </c>
      <c r="E667" s="2" t="s">
        <v>25</v>
      </c>
      <c r="F667" s="5">
        <v>68472.0</v>
      </c>
      <c r="G667" s="5">
        <v>2601.0</v>
      </c>
      <c r="H667" s="5">
        <v>0.038</v>
      </c>
      <c r="I667" s="5">
        <v>1.38</v>
      </c>
      <c r="J667" s="5">
        <v>3589.38</v>
      </c>
      <c r="K667" s="5">
        <v>63.0</v>
      </c>
      <c r="L667" s="5">
        <v>56.97</v>
      </c>
      <c r="M667" s="5">
        <v>17508.47</v>
      </c>
      <c r="N667" s="5">
        <v>4.88</v>
      </c>
      <c r="O667" s="6">
        <f t="shared" si="1"/>
        <v>56.97428571</v>
      </c>
      <c r="P667" s="6" t="str">
        <f t="shared" si="2"/>
        <v>Post-Shift</v>
      </c>
      <c r="Q667" s="3">
        <f t="shared" si="3"/>
        <v>19</v>
      </c>
    </row>
    <row r="668">
      <c r="A668" s="4" t="s">
        <v>159</v>
      </c>
      <c r="B668" s="2" t="s">
        <v>23</v>
      </c>
      <c r="C668" s="2" t="s">
        <v>31</v>
      </c>
      <c r="D668" s="2" t="s">
        <v>20</v>
      </c>
      <c r="E668" s="2" t="s">
        <v>30</v>
      </c>
      <c r="F668" s="5">
        <v>170201.0</v>
      </c>
      <c r="G668" s="5">
        <v>7931.0</v>
      </c>
      <c r="H668" s="5">
        <v>0.0466</v>
      </c>
      <c r="I668" s="5">
        <v>1.05</v>
      </c>
      <c r="J668" s="5">
        <v>8327.55</v>
      </c>
      <c r="K668" s="5">
        <v>182.0</v>
      </c>
      <c r="L668" s="5">
        <v>45.76</v>
      </c>
      <c r="M668" s="5">
        <v>10360.55</v>
      </c>
      <c r="N668" s="5">
        <v>1.24</v>
      </c>
      <c r="O668" s="6">
        <f t="shared" si="1"/>
        <v>45.75576923</v>
      </c>
      <c r="P668" s="6" t="str">
        <f t="shared" si="2"/>
        <v>Post-Shift</v>
      </c>
      <c r="Q668" s="3">
        <f t="shared" si="3"/>
        <v>38</v>
      </c>
    </row>
    <row r="669">
      <c r="A669" s="4">
        <v>45538.0</v>
      </c>
      <c r="B669" s="2" t="s">
        <v>18</v>
      </c>
      <c r="C669" s="2" t="s">
        <v>27</v>
      </c>
      <c r="D669" s="2" t="s">
        <v>24</v>
      </c>
      <c r="E669" s="2" t="s">
        <v>58</v>
      </c>
      <c r="F669" s="5">
        <v>92340.0</v>
      </c>
      <c r="G669" s="5">
        <v>2502.0</v>
      </c>
      <c r="H669" s="5">
        <v>0.0271</v>
      </c>
      <c r="I669" s="5">
        <v>1.96</v>
      </c>
      <c r="J669" s="5">
        <v>4903.92</v>
      </c>
      <c r="K669" s="5">
        <v>153.0</v>
      </c>
      <c r="L669" s="5">
        <v>32.05</v>
      </c>
      <c r="M669" s="5">
        <v>27593.24</v>
      </c>
      <c r="N669" s="5">
        <v>5.63</v>
      </c>
      <c r="O669" s="6">
        <f t="shared" si="1"/>
        <v>32.05176471</v>
      </c>
      <c r="P669" s="6" t="str">
        <f t="shared" si="2"/>
        <v>Post-Shift</v>
      </c>
      <c r="Q669" s="3">
        <f t="shared" si="3"/>
        <v>10</v>
      </c>
    </row>
    <row r="670">
      <c r="A670" s="4">
        <v>45600.0</v>
      </c>
      <c r="B670" s="2" t="s">
        <v>23</v>
      </c>
      <c r="C670" s="2" t="s">
        <v>19</v>
      </c>
      <c r="D670" s="2" t="s">
        <v>32</v>
      </c>
      <c r="E670" s="2" t="s">
        <v>30</v>
      </c>
      <c r="F670" s="5">
        <v>136940.0</v>
      </c>
      <c r="G670" s="5">
        <v>4683.0</v>
      </c>
      <c r="H670" s="5">
        <v>0.0342</v>
      </c>
      <c r="I670" s="5">
        <v>0.69</v>
      </c>
      <c r="J670" s="5">
        <v>3231.27</v>
      </c>
      <c r="K670" s="5">
        <v>137.0</v>
      </c>
      <c r="L670" s="5">
        <v>23.59</v>
      </c>
      <c r="M670" s="5">
        <v>12153.39</v>
      </c>
      <c r="N670" s="5">
        <v>3.76</v>
      </c>
      <c r="O670" s="6">
        <f t="shared" si="1"/>
        <v>23.58591241</v>
      </c>
      <c r="P670" s="6" t="str">
        <f t="shared" si="2"/>
        <v>Post-Shift</v>
      </c>
      <c r="Q670" s="3">
        <f t="shared" si="3"/>
        <v>15</v>
      </c>
    </row>
    <row r="671">
      <c r="A671" s="4" t="s">
        <v>117</v>
      </c>
      <c r="B671" s="2" t="s">
        <v>18</v>
      </c>
      <c r="C671" s="2" t="s">
        <v>19</v>
      </c>
      <c r="D671" s="2" t="s">
        <v>24</v>
      </c>
      <c r="E671" s="2" t="s">
        <v>58</v>
      </c>
      <c r="F671" s="5">
        <v>106311.0</v>
      </c>
      <c r="G671" s="5">
        <v>5762.0</v>
      </c>
      <c r="H671" s="5">
        <v>0.0542</v>
      </c>
      <c r="I671" s="5">
        <v>0.92</v>
      </c>
      <c r="J671" s="5">
        <v>5301.04</v>
      </c>
      <c r="K671" s="5">
        <v>434.0</v>
      </c>
      <c r="L671" s="5">
        <v>12.21</v>
      </c>
      <c r="M671" s="5">
        <v>55571.88</v>
      </c>
      <c r="N671" s="5">
        <v>10.48</v>
      </c>
      <c r="O671" s="6">
        <f t="shared" si="1"/>
        <v>12.21437788</v>
      </c>
      <c r="P671" s="6" t="str">
        <f t="shared" si="2"/>
        <v>Post-Shift</v>
      </c>
      <c r="Q671" s="3">
        <f t="shared" si="3"/>
        <v>52</v>
      </c>
    </row>
    <row r="672">
      <c r="A672" s="4" t="s">
        <v>238</v>
      </c>
      <c r="B672" s="2" t="s">
        <v>23</v>
      </c>
      <c r="C672" s="2" t="s">
        <v>31</v>
      </c>
      <c r="D672" s="2" t="s">
        <v>45</v>
      </c>
      <c r="E672" s="2" t="s">
        <v>36</v>
      </c>
      <c r="F672" s="5">
        <v>120016.0</v>
      </c>
      <c r="G672" s="5">
        <v>3336.0</v>
      </c>
      <c r="H672" s="5">
        <v>0.0278</v>
      </c>
      <c r="I672" s="5">
        <v>1.33</v>
      </c>
      <c r="J672" s="5">
        <v>4436.88</v>
      </c>
      <c r="K672" s="5">
        <v>43.0</v>
      </c>
      <c r="L672" s="5">
        <v>103.18</v>
      </c>
      <c r="M672" s="5">
        <v>5864.19</v>
      </c>
      <c r="N672" s="5">
        <v>1.32</v>
      </c>
      <c r="O672" s="6">
        <f t="shared" si="1"/>
        <v>103.1832558</v>
      </c>
      <c r="P672" s="6" t="str">
        <f t="shared" si="2"/>
        <v>Post-Shift</v>
      </c>
      <c r="Q672" s="3">
        <f t="shared" si="3"/>
        <v>11</v>
      </c>
    </row>
    <row r="673">
      <c r="A673" s="4" t="s">
        <v>239</v>
      </c>
      <c r="B673" s="2" t="s">
        <v>38</v>
      </c>
      <c r="C673" s="2" t="s">
        <v>41</v>
      </c>
      <c r="D673" s="2" t="s">
        <v>32</v>
      </c>
      <c r="E673" s="2" t="s">
        <v>33</v>
      </c>
      <c r="F673" s="5">
        <v>193946.0</v>
      </c>
      <c r="G673" s="5">
        <v>7854.0</v>
      </c>
      <c r="H673" s="5">
        <v>0.0405</v>
      </c>
      <c r="I673" s="5">
        <v>1.89</v>
      </c>
      <c r="J673" s="5">
        <v>14844.06</v>
      </c>
      <c r="K673" s="5">
        <v>461.0</v>
      </c>
      <c r="L673" s="5">
        <v>32.2</v>
      </c>
      <c r="M673" s="5">
        <v>86871.54</v>
      </c>
      <c r="N673" s="5">
        <v>5.85</v>
      </c>
      <c r="O673" s="6">
        <f t="shared" si="1"/>
        <v>32.19969631</v>
      </c>
      <c r="P673" s="6" t="str">
        <f t="shared" si="2"/>
        <v>Post-Shift</v>
      </c>
      <c r="Q673" s="3">
        <f t="shared" si="3"/>
        <v>43</v>
      </c>
    </row>
    <row r="674">
      <c r="A674" s="4" t="s">
        <v>189</v>
      </c>
      <c r="B674" s="2" t="s">
        <v>23</v>
      </c>
      <c r="C674" s="2" t="s">
        <v>31</v>
      </c>
      <c r="D674" s="2" t="s">
        <v>45</v>
      </c>
      <c r="E674" s="2" t="s">
        <v>58</v>
      </c>
      <c r="F674" s="5">
        <v>138780.0</v>
      </c>
      <c r="G674" s="5">
        <v>4135.0</v>
      </c>
      <c r="H674" s="5">
        <v>0.0298</v>
      </c>
      <c r="I674" s="5">
        <v>0.85</v>
      </c>
      <c r="J674" s="5">
        <v>3514.75</v>
      </c>
      <c r="K674" s="5">
        <v>86.0</v>
      </c>
      <c r="L674" s="5">
        <v>40.87</v>
      </c>
      <c r="M674" s="5">
        <v>7373.66</v>
      </c>
      <c r="N674" s="5">
        <v>2.1</v>
      </c>
      <c r="O674" s="6">
        <f t="shared" si="1"/>
        <v>40.86918605</v>
      </c>
      <c r="P674" s="6" t="str">
        <f t="shared" si="2"/>
        <v>Post-Shift</v>
      </c>
      <c r="Q674" s="3">
        <f t="shared" si="3"/>
        <v>39</v>
      </c>
    </row>
    <row r="675">
      <c r="A675" s="4" t="s">
        <v>152</v>
      </c>
      <c r="B675" s="2" t="s">
        <v>38</v>
      </c>
      <c r="C675" s="2" t="s">
        <v>41</v>
      </c>
      <c r="D675" s="2" t="s">
        <v>32</v>
      </c>
      <c r="E675" s="2" t="s">
        <v>25</v>
      </c>
      <c r="F675" s="5">
        <v>51365.0</v>
      </c>
      <c r="G675" s="5">
        <v>873.0</v>
      </c>
      <c r="H675" s="5">
        <v>0.017</v>
      </c>
      <c r="I675" s="5">
        <v>0.7</v>
      </c>
      <c r="J675" s="5">
        <v>611.1</v>
      </c>
      <c r="K675" s="5">
        <v>19.0</v>
      </c>
      <c r="L675" s="5">
        <v>32.16</v>
      </c>
      <c r="M675" s="5">
        <v>2655.69</v>
      </c>
      <c r="N675" s="5">
        <v>4.35</v>
      </c>
      <c r="O675" s="6">
        <f t="shared" si="1"/>
        <v>32.16315789</v>
      </c>
      <c r="P675" s="6" t="str">
        <f t="shared" si="2"/>
        <v>Post-Shift</v>
      </c>
      <c r="Q675" s="3">
        <f t="shared" si="3"/>
        <v>30</v>
      </c>
    </row>
    <row r="676">
      <c r="A676" s="4">
        <v>45446.0</v>
      </c>
      <c r="B676" s="2" t="s">
        <v>18</v>
      </c>
      <c r="C676" s="2" t="s">
        <v>31</v>
      </c>
      <c r="D676" s="2" t="s">
        <v>29</v>
      </c>
      <c r="E676" s="2" t="s">
        <v>25</v>
      </c>
      <c r="F676" s="5">
        <v>185903.0</v>
      </c>
      <c r="G676" s="5">
        <v>4647.0</v>
      </c>
      <c r="H676" s="5">
        <v>0.025</v>
      </c>
      <c r="I676" s="5">
        <v>2.96</v>
      </c>
      <c r="J676" s="5">
        <v>13755.12</v>
      </c>
      <c r="K676" s="5">
        <v>342.0</v>
      </c>
      <c r="L676" s="5">
        <v>40.22</v>
      </c>
      <c r="M676" s="5">
        <v>58276.63</v>
      </c>
      <c r="N676" s="5">
        <v>4.24</v>
      </c>
      <c r="O676" s="6">
        <f t="shared" si="1"/>
        <v>40.21964912</v>
      </c>
      <c r="P676" s="6" t="str">
        <f t="shared" si="2"/>
        <v>Baseline</v>
      </c>
      <c r="Q676" s="3">
        <f t="shared" si="3"/>
        <v>10</v>
      </c>
    </row>
    <row r="677">
      <c r="A677" s="4">
        <v>45294.0</v>
      </c>
      <c r="B677" s="2" t="s">
        <v>23</v>
      </c>
      <c r="C677" s="2" t="s">
        <v>41</v>
      </c>
      <c r="D677" s="2" t="s">
        <v>32</v>
      </c>
      <c r="E677" s="2" t="s">
        <v>58</v>
      </c>
      <c r="F677" s="5">
        <v>61232.0</v>
      </c>
      <c r="G677" s="5">
        <v>2951.0</v>
      </c>
      <c r="H677" s="5">
        <v>0.0482</v>
      </c>
      <c r="I677" s="5">
        <v>0.75</v>
      </c>
      <c r="J677" s="5">
        <v>2213.25</v>
      </c>
      <c r="K677" s="5">
        <v>51.0</v>
      </c>
      <c r="L677" s="5">
        <v>43.4</v>
      </c>
      <c r="M677" s="5">
        <v>15061.62</v>
      </c>
      <c r="N677" s="5">
        <v>6.81</v>
      </c>
      <c r="O677" s="6">
        <f t="shared" si="1"/>
        <v>43.39705882</v>
      </c>
      <c r="P677" s="6" t="str">
        <f t="shared" si="2"/>
        <v>Baseline</v>
      </c>
      <c r="Q677" s="3">
        <f t="shared" si="3"/>
        <v>9</v>
      </c>
    </row>
    <row r="678">
      <c r="A678" s="4">
        <v>45453.0</v>
      </c>
      <c r="B678" s="2" t="s">
        <v>23</v>
      </c>
      <c r="C678" s="2" t="s">
        <v>41</v>
      </c>
      <c r="D678" s="2" t="s">
        <v>32</v>
      </c>
      <c r="E678" s="2" t="s">
        <v>30</v>
      </c>
      <c r="F678" s="5">
        <v>122286.0</v>
      </c>
      <c r="G678" s="5">
        <v>7642.0</v>
      </c>
      <c r="H678" s="5">
        <v>0.0625</v>
      </c>
      <c r="I678" s="5">
        <v>1.47</v>
      </c>
      <c r="J678" s="5">
        <v>11233.74</v>
      </c>
      <c r="K678" s="5">
        <v>201.0</v>
      </c>
      <c r="L678" s="5">
        <v>55.89</v>
      </c>
      <c r="M678" s="5">
        <v>60002.91</v>
      </c>
      <c r="N678" s="5">
        <v>5.34</v>
      </c>
      <c r="O678" s="6">
        <f t="shared" si="1"/>
        <v>55.88925373</v>
      </c>
      <c r="P678" s="6" t="str">
        <f t="shared" si="2"/>
        <v>Baseline</v>
      </c>
      <c r="Q678" s="3">
        <f t="shared" si="3"/>
        <v>41</v>
      </c>
    </row>
    <row r="679">
      <c r="A679" s="4">
        <v>45446.0</v>
      </c>
      <c r="B679" s="2" t="s">
        <v>23</v>
      </c>
      <c r="C679" s="2" t="s">
        <v>31</v>
      </c>
      <c r="D679" s="2" t="s">
        <v>29</v>
      </c>
      <c r="E679" s="2" t="s">
        <v>25</v>
      </c>
      <c r="F679" s="5">
        <v>60114.0</v>
      </c>
      <c r="G679" s="5">
        <v>4917.0</v>
      </c>
      <c r="H679" s="5">
        <v>0.0818</v>
      </c>
      <c r="I679" s="5">
        <v>1.35</v>
      </c>
      <c r="J679" s="5">
        <v>6637.95</v>
      </c>
      <c r="K679" s="5">
        <v>279.0</v>
      </c>
      <c r="L679" s="5">
        <v>23.79</v>
      </c>
      <c r="M679" s="5">
        <v>15410.94</v>
      </c>
      <c r="N679" s="5">
        <v>2.32</v>
      </c>
      <c r="O679" s="6">
        <f t="shared" si="1"/>
        <v>23.79193548</v>
      </c>
      <c r="P679" s="6" t="str">
        <f t="shared" si="2"/>
        <v>Baseline</v>
      </c>
      <c r="Q679" s="3">
        <f t="shared" si="3"/>
        <v>10</v>
      </c>
    </row>
    <row r="680">
      <c r="A680" s="4">
        <v>45384.0</v>
      </c>
      <c r="B680" s="2" t="s">
        <v>38</v>
      </c>
      <c r="C680" s="2" t="s">
        <v>41</v>
      </c>
      <c r="D680" s="2" t="s">
        <v>29</v>
      </c>
      <c r="E680" s="2" t="s">
        <v>58</v>
      </c>
      <c r="F680" s="5">
        <v>124004.0</v>
      </c>
      <c r="G680" s="5">
        <v>2083.0</v>
      </c>
      <c r="H680" s="5">
        <v>0.0168</v>
      </c>
      <c r="I680" s="5">
        <v>1.51</v>
      </c>
      <c r="J680" s="5">
        <v>3145.33</v>
      </c>
      <c r="K680" s="5">
        <v>49.0</v>
      </c>
      <c r="L680" s="5">
        <v>64.19</v>
      </c>
      <c r="M680" s="5">
        <v>9959.37</v>
      </c>
      <c r="N680" s="5">
        <v>3.17</v>
      </c>
      <c r="O680" s="6">
        <f t="shared" si="1"/>
        <v>64.19040816</v>
      </c>
      <c r="P680" s="6" t="str">
        <f t="shared" si="2"/>
        <v>Baseline</v>
      </c>
      <c r="Q680" s="3">
        <f t="shared" si="3"/>
        <v>6</v>
      </c>
    </row>
    <row r="681">
      <c r="A681" s="4">
        <v>45414.0</v>
      </c>
      <c r="B681" s="2" t="s">
        <v>23</v>
      </c>
      <c r="C681" s="2" t="s">
        <v>19</v>
      </c>
      <c r="D681" s="2" t="s">
        <v>45</v>
      </c>
      <c r="E681" s="2" t="s">
        <v>25</v>
      </c>
      <c r="F681" s="5">
        <v>168322.0</v>
      </c>
      <c r="G681" s="5">
        <v>4965.0</v>
      </c>
      <c r="H681" s="5">
        <v>0.0295</v>
      </c>
      <c r="I681" s="5">
        <v>0.91</v>
      </c>
      <c r="J681" s="5">
        <v>4518.15</v>
      </c>
      <c r="K681" s="5">
        <v>228.0</v>
      </c>
      <c r="L681" s="5">
        <v>19.82</v>
      </c>
      <c r="M681" s="5">
        <v>49052.14</v>
      </c>
      <c r="N681" s="5">
        <v>10.86</v>
      </c>
      <c r="O681" s="6">
        <f t="shared" si="1"/>
        <v>19.81644737</v>
      </c>
      <c r="P681" s="6" t="str">
        <f t="shared" si="2"/>
        <v>Baseline</v>
      </c>
      <c r="Q681" s="3">
        <f t="shared" si="3"/>
        <v>6</v>
      </c>
    </row>
    <row r="682">
      <c r="A682" s="4">
        <v>45540.0</v>
      </c>
      <c r="B682" s="2" t="s">
        <v>38</v>
      </c>
      <c r="C682" s="2" t="s">
        <v>41</v>
      </c>
      <c r="D682" s="2" t="s">
        <v>29</v>
      </c>
      <c r="E682" s="2" t="s">
        <v>33</v>
      </c>
      <c r="F682" s="5">
        <v>113957.0</v>
      </c>
      <c r="G682" s="5">
        <v>3008.0</v>
      </c>
      <c r="H682" s="5">
        <v>0.0264</v>
      </c>
      <c r="I682" s="5">
        <v>2.33</v>
      </c>
      <c r="J682" s="5">
        <v>7008.64</v>
      </c>
      <c r="K682" s="5">
        <v>127.0</v>
      </c>
      <c r="L682" s="5">
        <v>55.19</v>
      </c>
      <c r="M682" s="5">
        <v>17960.45</v>
      </c>
      <c r="N682" s="5">
        <v>2.56</v>
      </c>
      <c r="O682" s="6">
        <f t="shared" si="1"/>
        <v>55.18614173</v>
      </c>
      <c r="P682" s="6" t="str">
        <f t="shared" si="2"/>
        <v>Post-Shift</v>
      </c>
      <c r="Q682" s="3">
        <f t="shared" si="3"/>
        <v>19</v>
      </c>
    </row>
    <row r="683">
      <c r="A683" s="4">
        <v>45384.0</v>
      </c>
      <c r="B683" s="2" t="s">
        <v>18</v>
      </c>
      <c r="C683" s="2" t="s">
        <v>19</v>
      </c>
      <c r="D683" s="2" t="s">
        <v>32</v>
      </c>
      <c r="E683" s="2" t="s">
        <v>30</v>
      </c>
      <c r="F683" s="5">
        <v>137290.0</v>
      </c>
      <c r="G683" s="5">
        <v>5011.0</v>
      </c>
      <c r="H683" s="5">
        <v>0.0365</v>
      </c>
      <c r="I683" s="5">
        <v>1.56</v>
      </c>
      <c r="J683" s="5">
        <v>7817.16</v>
      </c>
      <c r="K683" s="5">
        <v>323.0</v>
      </c>
      <c r="L683" s="5">
        <v>24.2</v>
      </c>
      <c r="M683" s="5">
        <v>28440.57</v>
      </c>
      <c r="N683" s="5">
        <v>3.64</v>
      </c>
      <c r="O683" s="6">
        <f t="shared" si="1"/>
        <v>24.20173375</v>
      </c>
      <c r="P683" s="6" t="str">
        <f t="shared" si="2"/>
        <v>Baseline</v>
      </c>
      <c r="Q683" s="3">
        <f t="shared" si="3"/>
        <v>6</v>
      </c>
    </row>
    <row r="684">
      <c r="A684" s="4" t="s">
        <v>109</v>
      </c>
      <c r="B684" s="2" t="s">
        <v>38</v>
      </c>
      <c r="C684" s="2" t="s">
        <v>27</v>
      </c>
      <c r="D684" s="2" t="s">
        <v>20</v>
      </c>
      <c r="E684" s="2" t="s">
        <v>21</v>
      </c>
      <c r="F684" s="5">
        <v>12253.0</v>
      </c>
      <c r="G684" s="5">
        <v>468.0</v>
      </c>
      <c r="H684" s="5">
        <v>0.0382</v>
      </c>
      <c r="I684" s="5">
        <v>0.77</v>
      </c>
      <c r="J684" s="5">
        <v>360.36</v>
      </c>
      <c r="K684" s="5">
        <v>9.0</v>
      </c>
      <c r="L684" s="5">
        <v>40.04</v>
      </c>
      <c r="M684" s="5">
        <v>1433.96</v>
      </c>
      <c r="N684" s="5">
        <v>3.98</v>
      </c>
      <c r="O684" s="6">
        <f t="shared" si="1"/>
        <v>40.04</v>
      </c>
      <c r="P684" s="6" t="str">
        <f t="shared" si="2"/>
        <v>Post-Shift</v>
      </c>
      <c r="Q684" s="3">
        <f t="shared" si="3"/>
        <v>21</v>
      </c>
    </row>
    <row r="685">
      <c r="A685" s="4" t="s">
        <v>156</v>
      </c>
      <c r="B685" s="2" t="s">
        <v>18</v>
      </c>
      <c r="C685" s="2" t="s">
        <v>27</v>
      </c>
      <c r="D685" s="2" t="s">
        <v>24</v>
      </c>
      <c r="E685" s="2" t="s">
        <v>58</v>
      </c>
      <c r="F685" s="5">
        <v>109216.0</v>
      </c>
      <c r="G685" s="5">
        <v>5777.0</v>
      </c>
      <c r="H685" s="5">
        <v>0.0529</v>
      </c>
      <c r="I685" s="5">
        <v>3.06</v>
      </c>
      <c r="J685" s="5">
        <v>17677.62</v>
      </c>
      <c r="K685" s="5">
        <v>140.0</v>
      </c>
      <c r="L685" s="5">
        <v>126.27</v>
      </c>
      <c r="M685" s="5">
        <v>11237.04</v>
      </c>
      <c r="N685" s="5">
        <v>0.64</v>
      </c>
      <c r="O685" s="6">
        <f t="shared" si="1"/>
        <v>126.2687143</v>
      </c>
      <c r="P685" s="6" t="str">
        <f t="shared" si="2"/>
        <v>Post-Shift</v>
      </c>
      <c r="Q685" s="3">
        <f t="shared" si="3"/>
        <v>51</v>
      </c>
    </row>
    <row r="686">
      <c r="A686" s="4">
        <v>45354.0</v>
      </c>
      <c r="B686" s="2" t="s">
        <v>18</v>
      </c>
      <c r="C686" s="2" t="s">
        <v>31</v>
      </c>
      <c r="D686" s="2" t="s">
        <v>20</v>
      </c>
      <c r="E686" s="2" t="s">
        <v>36</v>
      </c>
      <c r="F686" s="5">
        <v>166215.0</v>
      </c>
      <c r="G686" s="5">
        <v>9158.0</v>
      </c>
      <c r="H686" s="5">
        <v>0.0551</v>
      </c>
      <c r="I686" s="5">
        <v>0.72</v>
      </c>
      <c r="J686" s="5">
        <v>6593.76</v>
      </c>
      <c r="K686" s="5">
        <v>112.0</v>
      </c>
      <c r="L686" s="5">
        <v>58.87</v>
      </c>
      <c r="M686" s="5">
        <v>29121.09</v>
      </c>
      <c r="N686" s="5">
        <v>4.42</v>
      </c>
      <c r="O686" s="6">
        <f t="shared" si="1"/>
        <v>58.87285714</v>
      </c>
      <c r="P686" s="6" t="str">
        <f t="shared" si="2"/>
        <v>Baseline</v>
      </c>
      <c r="Q686" s="3">
        <f t="shared" si="3"/>
        <v>10</v>
      </c>
    </row>
    <row r="687">
      <c r="A687" s="4" t="s">
        <v>72</v>
      </c>
      <c r="B687" s="2" t="s">
        <v>38</v>
      </c>
      <c r="C687" s="2" t="s">
        <v>31</v>
      </c>
      <c r="D687" s="2" t="s">
        <v>32</v>
      </c>
      <c r="E687" s="2" t="s">
        <v>56</v>
      </c>
      <c r="F687" s="5">
        <v>140678.0</v>
      </c>
      <c r="G687" s="5">
        <v>5655.0</v>
      </c>
      <c r="H687" s="5">
        <v>0.0402</v>
      </c>
      <c r="I687" s="5">
        <v>2.07</v>
      </c>
      <c r="J687" s="5">
        <v>11705.85</v>
      </c>
      <c r="K687" s="5">
        <v>154.0</v>
      </c>
      <c r="L687" s="5">
        <v>76.01</v>
      </c>
      <c r="M687" s="5">
        <v>7932.09</v>
      </c>
      <c r="N687" s="5">
        <v>0.68</v>
      </c>
      <c r="O687" s="6">
        <f t="shared" si="1"/>
        <v>76.01201299</v>
      </c>
      <c r="P687" s="6" t="str">
        <f t="shared" si="2"/>
        <v>Post-Shift</v>
      </c>
      <c r="Q687" s="3">
        <f t="shared" si="3"/>
        <v>48</v>
      </c>
    </row>
    <row r="688">
      <c r="A688" s="4" t="s">
        <v>129</v>
      </c>
      <c r="B688" s="2" t="s">
        <v>18</v>
      </c>
      <c r="C688" s="2" t="s">
        <v>19</v>
      </c>
      <c r="D688" s="2" t="s">
        <v>45</v>
      </c>
      <c r="E688" s="2" t="s">
        <v>21</v>
      </c>
      <c r="F688" s="5">
        <v>176066.0</v>
      </c>
      <c r="G688" s="5">
        <v>5264.0</v>
      </c>
      <c r="H688" s="5">
        <v>0.0299</v>
      </c>
      <c r="I688" s="5">
        <v>1.58</v>
      </c>
      <c r="J688" s="5">
        <v>8317.12</v>
      </c>
      <c r="K688" s="5">
        <v>119.0</v>
      </c>
      <c r="L688" s="5">
        <v>69.89</v>
      </c>
      <c r="M688" s="5">
        <v>28182.41</v>
      </c>
      <c r="N688" s="5">
        <v>3.39</v>
      </c>
      <c r="O688" s="6">
        <f t="shared" si="1"/>
        <v>69.89176471</v>
      </c>
      <c r="P688" s="6" t="str">
        <f t="shared" si="2"/>
        <v>Post-Shift</v>
      </c>
      <c r="Q688" s="3">
        <f t="shared" si="3"/>
        <v>29</v>
      </c>
    </row>
    <row r="689">
      <c r="A689" s="4" t="s">
        <v>79</v>
      </c>
      <c r="B689" s="2" t="s">
        <v>18</v>
      </c>
      <c r="C689" s="2" t="s">
        <v>19</v>
      </c>
      <c r="D689" s="2" t="s">
        <v>29</v>
      </c>
      <c r="E689" s="2" t="s">
        <v>36</v>
      </c>
      <c r="F689" s="5">
        <v>59418.0</v>
      </c>
      <c r="G689" s="5">
        <v>1996.0</v>
      </c>
      <c r="H689" s="5">
        <v>0.0336</v>
      </c>
      <c r="I689" s="5">
        <v>1.65</v>
      </c>
      <c r="J689" s="5">
        <v>3293.4</v>
      </c>
      <c r="K689" s="5">
        <v>80.0</v>
      </c>
      <c r="L689" s="5">
        <v>41.17</v>
      </c>
      <c r="M689" s="5">
        <v>3528.5</v>
      </c>
      <c r="N689" s="5">
        <v>1.07</v>
      </c>
      <c r="O689" s="6">
        <f t="shared" si="1"/>
        <v>41.1675</v>
      </c>
      <c r="P689" s="6" t="str">
        <f t="shared" si="2"/>
        <v>Post-Shift</v>
      </c>
      <c r="Q689" s="3">
        <f t="shared" si="3"/>
        <v>18</v>
      </c>
    </row>
    <row r="690">
      <c r="A690" s="4" t="s">
        <v>192</v>
      </c>
      <c r="B690" s="2" t="s">
        <v>18</v>
      </c>
      <c r="C690" s="2" t="s">
        <v>19</v>
      </c>
      <c r="D690" s="2" t="s">
        <v>24</v>
      </c>
      <c r="E690" s="2" t="s">
        <v>21</v>
      </c>
      <c r="F690" s="5">
        <v>143183.0</v>
      </c>
      <c r="G690" s="5">
        <v>5784.0</v>
      </c>
      <c r="H690" s="5">
        <v>0.0404</v>
      </c>
      <c r="I690" s="5">
        <v>0.86</v>
      </c>
      <c r="J690" s="5">
        <v>4974.24</v>
      </c>
      <c r="K690" s="5">
        <v>432.0</v>
      </c>
      <c r="L690" s="5">
        <v>11.51</v>
      </c>
      <c r="M690" s="5">
        <v>88233.11</v>
      </c>
      <c r="N690" s="5">
        <v>17.74</v>
      </c>
      <c r="O690" s="6">
        <f t="shared" si="1"/>
        <v>11.51444444</v>
      </c>
      <c r="P690" s="6" t="str">
        <f t="shared" si="2"/>
        <v>Post-Shift</v>
      </c>
      <c r="Q690" s="3">
        <f t="shared" si="3"/>
        <v>4</v>
      </c>
    </row>
    <row r="691">
      <c r="A691" s="4" t="s">
        <v>129</v>
      </c>
      <c r="B691" s="2" t="s">
        <v>38</v>
      </c>
      <c r="C691" s="2" t="s">
        <v>31</v>
      </c>
      <c r="D691" s="2" t="s">
        <v>45</v>
      </c>
      <c r="E691" s="2" t="s">
        <v>56</v>
      </c>
      <c r="F691" s="5">
        <v>194059.0</v>
      </c>
      <c r="G691" s="5">
        <v>3434.0</v>
      </c>
      <c r="H691" s="5">
        <v>0.0177</v>
      </c>
      <c r="I691" s="5">
        <v>1.36</v>
      </c>
      <c r="J691" s="5">
        <v>4670.24</v>
      </c>
      <c r="K691" s="5">
        <v>193.0</v>
      </c>
      <c r="L691" s="5">
        <v>24.2</v>
      </c>
      <c r="M691" s="5">
        <v>7460.79</v>
      </c>
      <c r="N691" s="5">
        <v>1.6</v>
      </c>
      <c r="O691" s="6">
        <f t="shared" si="1"/>
        <v>24.19813472</v>
      </c>
      <c r="P691" s="6" t="str">
        <f t="shared" si="2"/>
        <v>Post-Shift</v>
      </c>
      <c r="Q691" s="3">
        <f t="shared" si="3"/>
        <v>29</v>
      </c>
    </row>
    <row r="692">
      <c r="A692" s="4">
        <v>45330.0</v>
      </c>
      <c r="B692" s="2" t="s">
        <v>18</v>
      </c>
      <c r="C692" s="2" t="s">
        <v>31</v>
      </c>
      <c r="D692" s="2" t="s">
        <v>32</v>
      </c>
      <c r="E692" s="2" t="s">
        <v>21</v>
      </c>
      <c r="F692" s="5">
        <v>98899.0</v>
      </c>
      <c r="G692" s="5">
        <v>2185.0</v>
      </c>
      <c r="H692" s="5">
        <v>0.0221</v>
      </c>
      <c r="I692" s="5">
        <v>3.16</v>
      </c>
      <c r="J692" s="5">
        <v>6904.6</v>
      </c>
      <c r="K692" s="5">
        <v>171.0</v>
      </c>
      <c r="L692" s="5">
        <v>40.38</v>
      </c>
      <c r="M692" s="5">
        <v>45859.64</v>
      </c>
      <c r="N692" s="5">
        <v>6.64</v>
      </c>
      <c r="O692" s="6">
        <f t="shared" si="1"/>
        <v>40.37777778</v>
      </c>
      <c r="P692" s="6" t="str">
        <f t="shared" si="2"/>
        <v>Baseline</v>
      </c>
      <c r="Q692" s="3">
        <f t="shared" si="3"/>
        <v>31</v>
      </c>
    </row>
    <row r="693">
      <c r="A693" s="4" t="s">
        <v>178</v>
      </c>
      <c r="B693" s="2" t="s">
        <v>38</v>
      </c>
      <c r="C693" s="2" t="s">
        <v>19</v>
      </c>
      <c r="D693" s="2" t="s">
        <v>45</v>
      </c>
      <c r="E693" s="2" t="s">
        <v>25</v>
      </c>
      <c r="F693" s="5">
        <v>129494.0</v>
      </c>
      <c r="G693" s="5">
        <v>1631.0</v>
      </c>
      <c r="H693" s="5">
        <v>0.0126</v>
      </c>
      <c r="I693" s="5">
        <v>2.14</v>
      </c>
      <c r="J693" s="5">
        <v>3490.34</v>
      </c>
      <c r="K693" s="5">
        <v>108.0</v>
      </c>
      <c r="L693" s="5">
        <v>32.32</v>
      </c>
      <c r="M693" s="5">
        <v>28288.04</v>
      </c>
      <c r="N693" s="5">
        <v>8.1</v>
      </c>
      <c r="O693" s="6">
        <f t="shared" si="1"/>
        <v>32.31796296</v>
      </c>
      <c r="P693" s="6" t="str">
        <f t="shared" si="2"/>
        <v>Post-Shift</v>
      </c>
      <c r="Q693" s="3">
        <f t="shared" si="3"/>
        <v>9</v>
      </c>
    </row>
    <row r="694">
      <c r="A694" s="4">
        <v>45354.0</v>
      </c>
      <c r="B694" s="2" t="s">
        <v>23</v>
      </c>
      <c r="C694" s="2" t="s">
        <v>31</v>
      </c>
      <c r="D694" s="2" t="s">
        <v>32</v>
      </c>
      <c r="E694" s="2" t="s">
        <v>21</v>
      </c>
      <c r="F694" s="5">
        <v>191443.0</v>
      </c>
      <c r="G694" s="5">
        <v>6872.0</v>
      </c>
      <c r="H694" s="5">
        <v>0.0359</v>
      </c>
      <c r="I694" s="5">
        <v>1.67</v>
      </c>
      <c r="J694" s="5">
        <v>11476.24</v>
      </c>
      <c r="K694" s="5">
        <v>422.0</v>
      </c>
      <c r="L694" s="5">
        <v>27.19</v>
      </c>
      <c r="M694" s="5">
        <v>108198.8</v>
      </c>
      <c r="N694" s="5">
        <v>9.43</v>
      </c>
      <c r="O694" s="6">
        <f t="shared" si="1"/>
        <v>27.19488152</v>
      </c>
      <c r="P694" s="6" t="str">
        <f t="shared" si="2"/>
        <v>Baseline</v>
      </c>
      <c r="Q694" s="3">
        <f t="shared" si="3"/>
        <v>10</v>
      </c>
    </row>
    <row r="695">
      <c r="A695" s="4" t="s">
        <v>55</v>
      </c>
      <c r="B695" s="2" t="s">
        <v>23</v>
      </c>
      <c r="C695" s="2" t="s">
        <v>19</v>
      </c>
      <c r="D695" s="2" t="s">
        <v>32</v>
      </c>
      <c r="E695" s="2" t="s">
        <v>58</v>
      </c>
      <c r="F695" s="5">
        <v>61950.0</v>
      </c>
      <c r="G695" s="5">
        <v>4076.0</v>
      </c>
      <c r="H695" s="5">
        <v>0.0658</v>
      </c>
      <c r="I695" s="5">
        <v>0.3</v>
      </c>
      <c r="J695" s="5">
        <v>1222.8</v>
      </c>
      <c r="K695" s="5">
        <v>97.0</v>
      </c>
      <c r="L695" s="5">
        <v>12.61</v>
      </c>
      <c r="M695" s="5">
        <v>26763.8</v>
      </c>
      <c r="N695" s="5">
        <v>21.89</v>
      </c>
      <c r="O695" s="6">
        <f t="shared" si="1"/>
        <v>12.60618557</v>
      </c>
      <c r="P695" s="6" t="str">
        <f t="shared" si="2"/>
        <v>Post-Shift</v>
      </c>
      <c r="Q695" s="3">
        <f t="shared" si="3"/>
        <v>53</v>
      </c>
    </row>
    <row r="696">
      <c r="A696" s="4">
        <v>45515.0</v>
      </c>
      <c r="B696" s="2" t="s">
        <v>18</v>
      </c>
      <c r="C696" s="2" t="s">
        <v>31</v>
      </c>
      <c r="D696" s="2" t="s">
        <v>32</v>
      </c>
      <c r="E696" s="2" t="s">
        <v>25</v>
      </c>
      <c r="F696" s="5">
        <v>34605.0</v>
      </c>
      <c r="G696" s="5">
        <v>809.0</v>
      </c>
      <c r="H696" s="5">
        <v>0.0234</v>
      </c>
      <c r="I696" s="5">
        <v>1.76</v>
      </c>
      <c r="J696" s="5">
        <v>1423.84</v>
      </c>
      <c r="K696" s="5">
        <v>40.0</v>
      </c>
      <c r="L696" s="5">
        <v>35.6</v>
      </c>
      <c r="M696" s="5">
        <v>5146.88</v>
      </c>
      <c r="N696" s="5">
        <v>3.61</v>
      </c>
      <c r="O696" s="6">
        <f t="shared" si="1"/>
        <v>35.596</v>
      </c>
      <c r="P696" s="6" t="str">
        <f t="shared" si="2"/>
        <v>Post-Shift</v>
      </c>
      <c r="Q696" s="3">
        <f t="shared" si="3"/>
        <v>45</v>
      </c>
    </row>
    <row r="697">
      <c r="A697" s="4" t="s">
        <v>240</v>
      </c>
      <c r="B697" s="2" t="s">
        <v>23</v>
      </c>
      <c r="C697" s="2" t="s">
        <v>31</v>
      </c>
      <c r="D697" s="2" t="s">
        <v>20</v>
      </c>
      <c r="E697" s="2" t="s">
        <v>21</v>
      </c>
      <c r="F697" s="5">
        <v>127790.0</v>
      </c>
      <c r="G697" s="5">
        <v>7015.0</v>
      </c>
      <c r="H697" s="5">
        <v>0.0549</v>
      </c>
      <c r="I697" s="5">
        <v>1.23</v>
      </c>
      <c r="J697" s="5">
        <v>8628.45</v>
      </c>
      <c r="K697" s="5">
        <v>422.0</v>
      </c>
      <c r="L697" s="5">
        <v>20.45</v>
      </c>
      <c r="M697" s="5">
        <v>90118.48</v>
      </c>
      <c r="N697" s="5">
        <v>10.44</v>
      </c>
      <c r="O697" s="6">
        <f t="shared" si="1"/>
        <v>20.44656398</v>
      </c>
      <c r="P697" s="6" t="str">
        <f t="shared" si="2"/>
        <v>Post-Shift</v>
      </c>
      <c r="Q697" s="3">
        <f t="shared" si="3"/>
        <v>5</v>
      </c>
    </row>
    <row r="698">
      <c r="A698" s="4">
        <v>45536.0</v>
      </c>
      <c r="B698" s="2" t="s">
        <v>23</v>
      </c>
      <c r="C698" s="2" t="s">
        <v>19</v>
      </c>
      <c r="D698" s="2" t="s">
        <v>29</v>
      </c>
      <c r="E698" s="2" t="s">
        <v>33</v>
      </c>
      <c r="F698" s="5">
        <v>96310.0</v>
      </c>
      <c r="G698" s="5">
        <v>6905.0</v>
      </c>
      <c r="H698" s="5">
        <v>0.0717</v>
      </c>
      <c r="I698" s="5">
        <v>1.28</v>
      </c>
      <c r="J698" s="5">
        <v>8838.4</v>
      </c>
      <c r="K698" s="5">
        <v>247.0</v>
      </c>
      <c r="L698" s="5">
        <v>35.78</v>
      </c>
      <c r="M698" s="5">
        <v>8632.99</v>
      </c>
      <c r="N698" s="5">
        <v>0.98</v>
      </c>
      <c r="O698" s="6">
        <f t="shared" si="1"/>
        <v>35.78299595</v>
      </c>
      <c r="P698" s="6" t="str">
        <f t="shared" si="2"/>
        <v>Post-Shift</v>
      </c>
      <c r="Q698" s="3">
        <f t="shared" si="3"/>
        <v>2</v>
      </c>
    </row>
    <row r="699">
      <c r="A699" s="4">
        <v>45421.0</v>
      </c>
      <c r="B699" s="2" t="s">
        <v>18</v>
      </c>
      <c r="C699" s="2" t="s">
        <v>31</v>
      </c>
      <c r="D699" s="2" t="s">
        <v>20</v>
      </c>
      <c r="E699" s="2" t="s">
        <v>56</v>
      </c>
      <c r="F699" s="5">
        <v>197589.0</v>
      </c>
      <c r="G699" s="5">
        <v>4781.0</v>
      </c>
      <c r="H699" s="5">
        <v>0.0242</v>
      </c>
      <c r="I699" s="5">
        <v>1.6</v>
      </c>
      <c r="J699" s="5">
        <v>7649.6</v>
      </c>
      <c r="K699" s="5">
        <v>225.0</v>
      </c>
      <c r="L699" s="5">
        <v>34.0</v>
      </c>
      <c r="M699" s="5">
        <v>12329.91</v>
      </c>
      <c r="N699" s="5">
        <v>1.61</v>
      </c>
      <c r="O699" s="6">
        <f t="shared" si="1"/>
        <v>33.99822222</v>
      </c>
      <c r="P699" s="6" t="str">
        <f t="shared" si="2"/>
        <v>Baseline</v>
      </c>
      <c r="Q699" s="3">
        <f t="shared" si="3"/>
        <v>36</v>
      </c>
    </row>
    <row r="700">
      <c r="A700" s="4" t="s">
        <v>111</v>
      </c>
      <c r="B700" s="2" t="s">
        <v>38</v>
      </c>
      <c r="C700" s="2" t="s">
        <v>27</v>
      </c>
      <c r="D700" s="2" t="s">
        <v>45</v>
      </c>
      <c r="E700" s="2" t="s">
        <v>30</v>
      </c>
      <c r="F700" s="5">
        <v>118566.0</v>
      </c>
      <c r="G700" s="5">
        <v>3711.0</v>
      </c>
      <c r="H700" s="5">
        <v>0.0313</v>
      </c>
      <c r="I700" s="5">
        <v>1.13</v>
      </c>
      <c r="J700" s="5">
        <v>4193.43</v>
      </c>
      <c r="K700" s="5">
        <v>58.0</v>
      </c>
      <c r="L700" s="5">
        <v>72.3</v>
      </c>
      <c r="M700" s="5">
        <v>14643.53</v>
      </c>
      <c r="N700" s="5">
        <v>3.49</v>
      </c>
      <c r="O700" s="6">
        <f t="shared" si="1"/>
        <v>72.30051724</v>
      </c>
      <c r="P700" s="6" t="str">
        <f t="shared" si="2"/>
        <v>Post-Shift</v>
      </c>
      <c r="Q700" s="3">
        <f t="shared" si="3"/>
        <v>7</v>
      </c>
    </row>
    <row r="701">
      <c r="A701" s="4" t="s">
        <v>135</v>
      </c>
      <c r="B701" s="2" t="s">
        <v>38</v>
      </c>
      <c r="C701" s="2" t="s">
        <v>31</v>
      </c>
      <c r="D701" s="2" t="s">
        <v>29</v>
      </c>
      <c r="E701" s="2" t="s">
        <v>33</v>
      </c>
      <c r="F701" s="5">
        <v>199451.0</v>
      </c>
      <c r="G701" s="5">
        <v>3989.0</v>
      </c>
      <c r="H701" s="5">
        <v>0.02</v>
      </c>
      <c r="I701" s="5">
        <v>1.28</v>
      </c>
      <c r="J701" s="5">
        <v>5105.92</v>
      </c>
      <c r="K701" s="5">
        <v>110.0</v>
      </c>
      <c r="L701" s="5">
        <v>46.42</v>
      </c>
      <c r="M701" s="5">
        <v>8236.16</v>
      </c>
      <c r="N701" s="5">
        <v>1.61</v>
      </c>
      <c r="O701" s="6">
        <f t="shared" si="1"/>
        <v>46.41745455</v>
      </c>
      <c r="P701" s="6" t="str">
        <f t="shared" si="2"/>
        <v>Post-Shift</v>
      </c>
      <c r="Q701" s="3">
        <f t="shared" si="3"/>
        <v>39</v>
      </c>
    </row>
    <row r="702">
      <c r="A702" s="4" t="s">
        <v>119</v>
      </c>
      <c r="B702" s="2" t="s">
        <v>18</v>
      </c>
      <c r="C702" s="2" t="s">
        <v>41</v>
      </c>
      <c r="D702" s="2" t="s">
        <v>32</v>
      </c>
      <c r="E702" s="2" t="s">
        <v>21</v>
      </c>
      <c r="F702" s="5">
        <v>88251.0</v>
      </c>
      <c r="G702" s="5">
        <v>5965.0</v>
      </c>
      <c r="H702" s="5">
        <v>0.0676</v>
      </c>
      <c r="I702" s="5">
        <v>0.82</v>
      </c>
      <c r="J702" s="5">
        <v>4891.3</v>
      </c>
      <c r="K702" s="5">
        <v>133.0</v>
      </c>
      <c r="L702" s="5">
        <v>36.78</v>
      </c>
      <c r="M702" s="5">
        <v>14897.06</v>
      </c>
      <c r="N702" s="5">
        <v>3.05</v>
      </c>
      <c r="O702" s="6">
        <f t="shared" si="1"/>
        <v>36.77669173</v>
      </c>
      <c r="P702" s="6" t="str">
        <f t="shared" si="2"/>
        <v>Post-Shift</v>
      </c>
      <c r="Q702" s="3">
        <f t="shared" si="3"/>
        <v>43</v>
      </c>
    </row>
    <row r="703">
      <c r="A703" s="4" t="s">
        <v>203</v>
      </c>
      <c r="B703" s="2" t="s">
        <v>18</v>
      </c>
      <c r="C703" s="2" t="s">
        <v>41</v>
      </c>
      <c r="D703" s="2" t="s">
        <v>20</v>
      </c>
      <c r="E703" s="2" t="s">
        <v>36</v>
      </c>
      <c r="F703" s="5">
        <v>55406.0</v>
      </c>
      <c r="G703" s="5">
        <v>2648.0</v>
      </c>
      <c r="H703" s="5">
        <v>0.0478</v>
      </c>
      <c r="I703" s="5">
        <v>1.9</v>
      </c>
      <c r="J703" s="5">
        <v>5031.2</v>
      </c>
      <c r="K703" s="5">
        <v>149.0</v>
      </c>
      <c r="L703" s="5">
        <v>33.77</v>
      </c>
      <c r="M703" s="5">
        <v>22127.3</v>
      </c>
      <c r="N703" s="5">
        <v>4.4</v>
      </c>
      <c r="O703" s="6">
        <f t="shared" si="1"/>
        <v>33.76644295</v>
      </c>
      <c r="P703" s="6" t="str">
        <f t="shared" si="2"/>
        <v>Post-Shift</v>
      </c>
      <c r="Q703" s="3">
        <f t="shared" si="3"/>
        <v>3</v>
      </c>
    </row>
    <row r="704">
      <c r="A704" s="4" t="s">
        <v>241</v>
      </c>
      <c r="B704" s="2" t="s">
        <v>23</v>
      </c>
      <c r="C704" s="2" t="s">
        <v>41</v>
      </c>
      <c r="D704" s="2" t="s">
        <v>20</v>
      </c>
      <c r="E704" s="2" t="s">
        <v>58</v>
      </c>
      <c r="F704" s="5">
        <v>141447.0</v>
      </c>
      <c r="G704" s="5">
        <v>9873.0</v>
      </c>
      <c r="H704" s="5">
        <v>0.0698</v>
      </c>
      <c r="I704" s="5">
        <v>1.39</v>
      </c>
      <c r="J704" s="5">
        <v>13723.47</v>
      </c>
      <c r="K704" s="5">
        <v>588.0</v>
      </c>
      <c r="L704" s="5">
        <v>23.34</v>
      </c>
      <c r="M704" s="5">
        <v>86774.51</v>
      </c>
      <c r="N704" s="5">
        <v>6.32</v>
      </c>
      <c r="O704" s="6">
        <f t="shared" si="1"/>
        <v>23.33923469</v>
      </c>
      <c r="P704" s="6" t="str">
        <f t="shared" si="2"/>
        <v>Post-Shift</v>
      </c>
      <c r="Q704" s="3">
        <f t="shared" si="3"/>
        <v>7</v>
      </c>
    </row>
    <row r="705">
      <c r="A705" s="4">
        <v>45445.0</v>
      </c>
      <c r="B705" s="2" t="s">
        <v>18</v>
      </c>
      <c r="C705" s="2" t="s">
        <v>27</v>
      </c>
      <c r="D705" s="2" t="s">
        <v>24</v>
      </c>
      <c r="E705" s="2" t="s">
        <v>25</v>
      </c>
      <c r="F705" s="5">
        <v>73591.0</v>
      </c>
      <c r="G705" s="5">
        <v>2649.0</v>
      </c>
      <c r="H705" s="5">
        <v>0.036</v>
      </c>
      <c r="I705" s="5">
        <v>2.83</v>
      </c>
      <c r="J705" s="5">
        <v>7496.67</v>
      </c>
      <c r="K705" s="5">
        <v>161.0</v>
      </c>
      <c r="L705" s="5">
        <v>46.56</v>
      </c>
      <c r="M705" s="5">
        <v>45161.9</v>
      </c>
      <c r="N705" s="5">
        <v>6.02</v>
      </c>
      <c r="O705" s="6">
        <f t="shared" si="1"/>
        <v>46.5631677</v>
      </c>
      <c r="P705" s="6" t="str">
        <f t="shared" si="2"/>
        <v>Baseline</v>
      </c>
      <c r="Q705" s="3">
        <f t="shared" si="3"/>
        <v>6</v>
      </c>
    </row>
    <row r="706">
      <c r="A706" s="4" t="s">
        <v>178</v>
      </c>
      <c r="B706" s="2" t="s">
        <v>18</v>
      </c>
      <c r="C706" s="2" t="s">
        <v>27</v>
      </c>
      <c r="D706" s="2" t="s">
        <v>20</v>
      </c>
      <c r="E706" s="2" t="s">
        <v>56</v>
      </c>
      <c r="F706" s="5">
        <v>66477.0</v>
      </c>
      <c r="G706" s="5">
        <v>2718.0</v>
      </c>
      <c r="H706" s="5">
        <v>0.0409</v>
      </c>
      <c r="I706" s="5">
        <v>2.86</v>
      </c>
      <c r="J706" s="5">
        <v>7773.48</v>
      </c>
      <c r="K706" s="5">
        <v>160.0</v>
      </c>
      <c r="L706" s="5">
        <v>48.58</v>
      </c>
      <c r="M706" s="5">
        <v>16856.48</v>
      </c>
      <c r="N706" s="5">
        <v>2.17</v>
      </c>
      <c r="O706" s="6">
        <f t="shared" si="1"/>
        <v>48.58425</v>
      </c>
      <c r="P706" s="6" t="str">
        <f t="shared" si="2"/>
        <v>Post-Shift</v>
      </c>
      <c r="Q706" s="3">
        <f t="shared" si="3"/>
        <v>9</v>
      </c>
    </row>
    <row r="707">
      <c r="A707" s="4" t="s">
        <v>136</v>
      </c>
      <c r="B707" s="2" t="s">
        <v>38</v>
      </c>
      <c r="C707" s="2" t="s">
        <v>27</v>
      </c>
      <c r="D707" s="2" t="s">
        <v>45</v>
      </c>
      <c r="E707" s="2" t="s">
        <v>21</v>
      </c>
      <c r="F707" s="5">
        <v>196386.0</v>
      </c>
      <c r="G707" s="5">
        <v>6794.0</v>
      </c>
      <c r="H707" s="5">
        <v>0.0346</v>
      </c>
      <c r="I707" s="5">
        <v>0.81</v>
      </c>
      <c r="J707" s="5">
        <v>5503.14</v>
      </c>
      <c r="K707" s="5">
        <v>506.0</v>
      </c>
      <c r="L707" s="5">
        <v>10.88</v>
      </c>
      <c r="M707" s="5">
        <v>34412.06</v>
      </c>
      <c r="N707" s="5">
        <v>6.25</v>
      </c>
      <c r="O707" s="6">
        <f t="shared" si="1"/>
        <v>10.87577075</v>
      </c>
      <c r="P707" s="6" t="str">
        <f t="shared" si="2"/>
        <v>Post-Shift</v>
      </c>
      <c r="Q707" s="3">
        <f t="shared" si="3"/>
        <v>35</v>
      </c>
    </row>
    <row r="708">
      <c r="A708" s="4" t="s">
        <v>118</v>
      </c>
      <c r="B708" s="2" t="s">
        <v>18</v>
      </c>
      <c r="C708" s="2" t="s">
        <v>41</v>
      </c>
      <c r="D708" s="2" t="s">
        <v>20</v>
      </c>
      <c r="E708" s="2" t="s">
        <v>36</v>
      </c>
      <c r="F708" s="5">
        <v>78927.0</v>
      </c>
      <c r="G708" s="5">
        <v>3172.0</v>
      </c>
      <c r="H708" s="5">
        <v>0.0402</v>
      </c>
      <c r="I708" s="5">
        <v>3.2</v>
      </c>
      <c r="J708" s="5">
        <v>10150.4</v>
      </c>
      <c r="K708" s="5">
        <v>62.0</v>
      </c>
      <c r="L708" s="5">
        <v>163.72</v>
      </c>
      <c r="M708" s="5">
        <v>7568.63</v>
      </c>
      <c r="N708" s="5">
        <v>0.75</v>
      </c>
      <c r="O708" s="6">
        <f t="shared" si="1"/>
        <v>163.716129</v>
      </c>
      <c r="P708" s="6" t="str">
        <f t="shared" si="2"/>
        <v>Post-Shift</v>
      </c>
      <c r="Q708" s="3">
        <f t="shared" si="3"/>
        <v>44</v>
      </c>
    </row>
    <row r="709">
      <c r="A709" s="4">
        <v>45577.0</v>
      </c>
      <c r="B709" s="2" t="s">
        <v>18</v>
      </c>
      <c r="C709" s="2" t="s">
        <v>41</v>
      </c>
      <c r="D709" s="2" t="s">
        <v>32</v>
      </c>
      <c r="E709" s="2" t="s">
        <v>36</v>
      </c>
      <c r="F709" s="5">
        <v>184857.0</v>
      </c>
      <c r="G709" s="5">
        <v>3419.0</v>
      </c>
      <c r="H709" s="5">
        <v>0.0185</v>
      </c>
      <c r="I709" s="5">
        <v>2.57</v>
      </c>
      <c r="J709" s="5">
        <v>8786.83</v>
      </c>
      <c r="K709" s="5">
        <v>248.0</v>
      </c>
      <c r="L709" s="5">
        <v>35.43</v>
      </c>
      <c r="M709" s="5">
        <v>70137.51</v>
      </c>
      <c r="N709" s="5">
        <v>7.98</v>
      </c>
      <c r="O709" s="6">
        <f t="shared" si="1"/>
        <v>35.43076613</v>
      </c>
      <c r="P709" s="6" t="str">
        <f t="shared" si="2"/>
        <v>Post-Shift</v>
      </c>
      <c r="Q709" s="3">
        <f t="shared" si="3"/>
        <v>50</v>
      </c>
    </row>
    <row r="710">
      <c r="A710" s="4" t="s">
        <v>200</v>
      </c>
      <c r="B710" s="2" t="s">
        <v>23</v>
      </c>
      <c r="C710" s="2" t="s">
        <v>41</v>
      </c>
      <c r="D710" s="2" t="s">
        <v>24</v>
      </c>
      <c r="E710" s="2" t="s">
        <v>56</v>
      </c>
      <c r="F710" s="5">
        <v>122174.0</v>
      </c>
      <c r="G710" s="5">
        <v>6499.0</v>
      </c>
      <c r="H710" s="5">
        <v>0.0532</v>
      </c>
      <c r="I710" s="5">
        <v>0.88</v>
      </c>
      <c r="J710" s="5">
        <v>5719.12</v>
      </c>
      <c r="K710" s="5">
        <v>413.0</v>
      </c>
      <c r="L710" s="5">
        <v>13.85</v>
      </c>
      <c r="M710" s="5">
        <v>58791.38</v>
      </c>
      <c r="N710" s="5">
        <v>10.28</v>
      </c>
      <c r="O710" s="6">
        <f t="shared" si="1"/>
        <v>13.84774818</v>
      </c>
      <c r="P710" s="6" t="str">
        <f t="shared" si="2"/>
        <v>Post-Shift</v>
      </c>
      <c r="Q710" s="3">
        <f t="shared" si="3"/>
        <v>35</v>
      </c>
    </row>
    <row r="711">
      <c r="A711" s="4" t="s">
        <v>160</v>
      </c>
      <c r="B711" s="2" t="s">
        <v>18</v>
      </c>
      <c r="C711" s="2" t="s">
        <v>19</v>
      </c>
      <c r="D711" s="2" t="s">
        <v>32</v>
      </c>
      <c r="E711" s="2" t="s">
        <v>33</v>
      </c>
      <c r="F711" s="5">
        <v>108719.0</v>
      </c>
      <c r="G711" s="5">
        <v>4207.0</v>
      </c>
      <c r="H711" s="5">
        <v>0.0387</v>
      </c>
      <c r="I711" s="5">
        <v>3.2</v>
      </c>
      <c r="J711" s="5">
        <v>13462.4</v>
      </c>
      <c r="K711" s="5">
        <v>121.0</v>
      </c>
      <c r="L711" s="5">
        <v>111.26</v>
      </c>
      <c r="M711" s="5">
        <v>21018.47</v>
      </c>
      <c r="N711" s="5">
        <v>1.56</v>
      </c>
      <c r="O711" s="6">
        <f t="shared" si="1"/>
        <v>111.2595041</v>
      </c>
      <c r="P711" s="6" t="str">
        <f t="shared" si="2"/>
        <v>Post-Shift</v>
      </c>
      <c r="Q711" s="3">
        <f t="shared" si="3"/>
        <v>30</v>
      </c>
    </row>
    <row r="712">
      <c r="A712" s="4">
        <v>45515.0</v>
      </c>
      <c r="B712" s="2" t="s">
        <v>38</v>
      </c>
      <c r="C712" s="2" t="s">
        <v>31</v>
      </c>
      <c r="D712" s="2" t="s">
        <v>29</v>
      </c>
      <c r="E712" s="2" t="s">
        <v>58</v>
      </c>
      <c r="F712" s="5">
        <v>186949.0</v>
      </c>
      <c r="G712" s="5">
        <v>3140.0</v>
      </c>
      <c r="H712" s="5">
        <v>0.0168</v>
      </c>
      <c r="I712" s="5">
        <v>0.6</v>
      </c>
      <c r="J712" s="5">
        <v>1884.0</v>
      </c>
      <c r="K712" s="5">
        <v>186.0</v>
      </c>
      <c r="L712" s="5">
        <v>10.13</v>
      </c>
      <c r="M712" s="5">
        <v>30294.1</v>
      </c>
      <c r="N712" s="5">
        <v>16.08</v>
      </c>
      <c r="O712" s="6">
        <f t="shared" si="1"/>
        <v>10.12903226</v>
      </c>
      <c r="P712" s="6" t="str">
        <f t="shared" si="2"/>
        <v>Post-Shift</v>
      </c>
      <c r="Q712" s="3">
        <f t="shared" si="3"/>
        <v>45</v>
      </c>
    </row>
    <row r="713">
      <c r="A713" s="4">
        <v>45635.0</v>
      </c>
      <c r="B713" s="2" t="s">
        <v>18</v>
      </c>
      <c r="C713" s="2" t="s">
        <v>27</v>
      </c>
      <c r="D713" s="2" t="s">
        <v>45</v>
      </c>
      <c r="E713" s="2" t="s">
        <v>25</v>
      </c>
      <c r="F713" s="5">
        <v>193869.0</v>
      </c>
      <c r="G713" s="5">
        <v>13124.0</v>
      </c>
      <c r="H713" s="5">
        <v>0.0677</v>
      </c>
      <c r="I713" s="5">
        <v>2.93</v>
      </c>
      <c r="J713" s="5">
        <v>38453.32</v>
      </c>
      <c r="K713" s="5">
        <v>264.0</v>
      </c>
      <c r="L713" s="5">
        <v>145.66</v>
      </c>
      <c r="M713" s="5">
        <v>67604.89</v>
      </c>
      <c r="N713" s="5">
        <v>1.76</v>
      </c>
      <c r="O713" s="6">
        <f t="shared" si="1"/>
        <v>145.6565152</v>
      </c>
      <c r="P713" s="6" t="str">
        <f t="shared" si="2"/>
        <v>Post-Shift</v>
      </c>
      <c r="Q713" s="3">
        <f t="shared" si="3"/>
        <v>37</v>
      </c>
    </row>
    <row r="714">
      <c r="A714" s="4" t="s">
        <v>165</v>
      </c>
      <c r="B714" s="2" t="s">
        <v>18</v>
      </c>
      <c r="C714" s="2" t="s">
        <v>19</v>
      </c>
      <c r="D714" s="2" t="s">
        <v>24</v>
      </c>
      <c r="E714" s="2" t="s">
        <v>58</v>
      </c>
      <c r="F714" s="5">
        <v>158535.0</v>
      </c>
      <c r="G714" s="5">
        <v>3836.0</v>
      </c>
      <c r="H714" s="5">
        <v>0.0242</v>
      </c>
      <c r="I714" s="5">
        <v>2.16</v>
      </c>
      <c r="J714" s="5">
        <v>8285.76</v>
      </c>
      <c r="K714" s="5">
        <v>120.0</v>
      </c>
      <c r="L714" s="5">
        <v>69.05</v>
      </c>
      <c r="M714" s="5">
        <v>12930.51</v>
      </c>
      <c r="N714" s="5">
        <v>1.56</v>
      </c>
      <c r="O714" s="6">
        <f t="shared" si="1"/>
        <v>69.048</v>
      </c>
      <c r="P714" s="6" t="str">
        <f t="shared" si="2"/>
        <v>Post-Shift</v>
      </c>
      <c r="Q714" s="3">
        <f t="shared" si="3"/>
        <v>31</v>
      </c>
    </row>
    <row r="715">
      <c r="A715" s="4" t="s">
        <v>57</v>
      </c>
      <c r="B715" s="2" t="s">
        <v>23</v>
      </c>
      <c r="C715" s="2" t="s">
        <v>19</v>
      </c>
      <c r="D715" s="2" t="s">
        <v>24</v>
      </c>
      <c r="E715" s="2" t="s">
        <v>21</v>
      </c>
      <c r="F715" s="5">
        <v>148949.0</v>
      </c>
      <c r="G715" s="5">
        <v>12332.0</v>
      </c>
      <c r="H715" s="5">
        <v>0.0828</v>
      </c>
      <c r="I715" s="5">
        <v>1.01</v>
      </c>
      <c r="J715" s="5">
        <v>12455.32</v>
      </c>
      <c r="K715" s="5">
        <v>546.0</v>
      </c>
      <c r="L715" s="5">
        <v>22.81</v>
      </c>
      <c r="M715" s="5">
        <v>95805.85</v>
      </c>
      <c r="N715" s="5">
        <v>7.69</v>
      </c>
      <c r="O715" s="6">
        <f t="shared" si="1"/>
        <v>22.81194139</v>
      </c>
      <c r="P715" s="6" t="str">
        <f t="shared" si="2"/>
        <v>Post-Shift</v>
      </c>
      <c r="Q715" s="3">
        <f t="shared" si="3"/>
        <v>50</v>
      </c>
    </row>
    <row r="716">
      <c r="A716" s="4" t="s">
        <v>129</v>
      </c>
      <c r="B716" s="2" t="s">
        <v>18</v>
      </c>
      <c r="C716" s="2" t="s">
        <v>41</v>
      </c>
      <c r="D716" s="2" t="s">
        <v>20</v>
      </c>
      <c r="E716" s="2" t="s">
        <v>30</v>
      </c>
      <c r="F716" s="5">
        <v>184810.0</v>
      </c>
      <c r="G716" s="5">
        <v>7447.0</v>
      </c>
      <c r="H716" s="5">
        <v>0.0403</v>
      </c>
      <c r="I716" s="5">
        <v>3.12</v>
      </c>
      <c r="J716" s="5">
        <v>23234.64</v>
      </c>
      <c r="K716" s="5">
        <v>334.0</v>
      </c>
      <c r="L716" s="5">
        <v>69.56</v>
      </c>
      <c r="M716" s="5">
        <v>51289.24</v>
      </c>
      <c r="N716" s="5">
        <v>2.21</v>
      </c>
      <c r="O716" s="6">
        <f t="shared" si="1"/>
        <v>69.56479042</v>
      </c>
      <c r="P716" s="6" t="str">
        <f t="shared" si="2"/>
        <v>Post-Shift</v>
      </c>
      <c r="Q716" s="3">
        <f t="shared" si="3"/>
        <v>29</v>
      </c>
    </row>
    <row r="717">
      <c r="A717" s="4" t="s">
        <v>187</v>
      </c>
      <c r="B717" s="2" t="s">
        <v>38</v>
      </c>
      <c r="C717" s="2" t="s">
        <v>27</v>
      </c>
      <c r="D717" s="2" t="s">
        <v>45</v>
      </c>
      <c r="E717" s="2" t="s">
        <v>30</v>
      </c>
      <c r="F717" s="5">
        <v>85989.0</v>
      </c>
      <c r="G717" s="5">
        <v>997.0</v>
      </c>
      <c r="H717" s="5">
        <v>0.0116</v>
      </c>
      <c r="I717" s="5">
        <v>1.69</v>
      </c>
      <c r="J717" s="5">
        <v>1684.93</v>
      </c>
      <c r="K717" s="5">
        <v>37.0</v>
      </c>
      <c r="L717" s="5">
        <v>45.54</v>
      </c>
      <c r="M717" s="5">
        <v>4865.84</v>
      </c>
      <c r="N717" s="5">
        <v>2.89</v>
      </c>
      <c r="O717" s="6">
        <f t="shared" si="1"/>
        <v>45.53864865</v>
      </c>
      <c r="P717" s="6" t="str">
        <f t="shared" si="2"/>
        <v>Post-Shift</v>
      </c>
      <c r="Q717" s="3">
        <f t="shared" si="3"/>
        <v>29</v>
      </c>
    </row>
    <row r="718">
      <c r="A718" s="4" t="s">
        <v>241</v>
      </c>
      <c r="B718" s="2" t="s">
        <v>38</v>
      </c>
      <c r="C718" s="2" t="s">
        <v>31</v>
      </c>
      <c r="D718" s="2" t="s">
        <v>20</v>
      </c>
      <c r="E718" s="2" t="s">
        <v>36</v>
      </c>
      <c r="F718" s="5">
        <v>35755.0</v>
      </c>
      <c r="G718" s="5">
        <v>654.0</v>
      </c>
      <c r="H718" s="5">
        <v>0.0183</v>
      </c>
      <c r="I718" s="5">
        <v>1.6</v>
      </c>
      <c r="J718" s="5">
        <v>1046.4</v>
      </c>
      <c r="K718" s="5">
        <v>40.0</v>
      </c>
      <c r="L718" s="5">
        <v>26.16</v>
      </c>
      <c r="M718" s="5">
        <v>11846.71</v>
      </c>
      <c r="N718" s="5">
        <v>11.32</v>
      </c>
      <c r="O718" s="6">
        <f t="shared" si="1"/>
        <v>26.16</v>
      </c>
      <c r="P718" s="6" t="str">
        <f t="shared" si="2"/>
        <v>Post-Shift</v>
      </c>
      <c r="Q718" s="3">
        <f t="shared" si="3"/>
        <v>7</v>
      </c>
    </row>
    <row r="719">
      <c r="A719" s="4" t="s">
        <v>141</v>
      </c>
      <c r="B719" s="2" t="s">
        <v>38</v>
      </c>
      <c r="C719" s="2" t="s">
        <v>27</v>
      </c>
      <c r="D719" s="2" t="s">
        <v>20</v>
      </c>
      <c r="E719" s="2" t="s">
        <v>25</v>
      </c>
      <c r="F719" s="5">
        <v>184298.0</v>
      </c>
      <c r="G719" s="5">
        <v>7758.0</v>
      </c>
      <c r="H719" s="5">
        <v>0.0421</v>
      </c>
      <c r="I719" s="5">
        <v>1.55</v>
      </c>
      <c r="J719" s="5">
        <v>12024.9</v>
      </c>
      <c r="K719" s="5">
        <v>351.0</v>
      </c>
      <c r="L719" s="5">
        <v>34.26</v>
      </c>
      <c r="M719" s="5">
        <v>91198.92</v>
      </c>
      <c r="N719" s="5">
        <v>7.58</v>
      </c>
      <c r="O719" s="6">
        <f t="shared" si="1"/>
        <v>34.25897436</v>
      </c>
      <c r="P719" s="6" t="str">
        <f t="shared" si="2"/>
        <v>Post-Shift</v>
      </c>
      <c r="Q719" s="3">
        <f t="shared" si="3"/>
        <v>43</v>
      </c>
    </row>
    <row r="720">
      <c r="A720" s="4" t="s">
        <v>161</v>
      </c>
      <c r="B720" s="2" t="s">
        <v>38</v>
      </c>
      <c r="C720" s="2" t="s">
        <v>27</v>
      </c>
      <c r="D720" s="2" t="s">
        <v>32</v>
      </c>
      <c r="E720" s="2" t="s">
        <v>56</v>
      </c>
      <c r="F720" s="5">
        <v>22878.0</v>
      </c>
      <c r="G720" s="5">
        <v>619.0</v>
      </c>
      <c r="H720" s="5">
        <v>0.0271</v>
      </c>
      <c r="I720" s="5">
        <v>1.01</v>
      </c>
      <c r="J720" s="5">
        <v>625.19</v>
      </c>
      <c r="K720" s="5">
        <v>43.0</v>
      </c>
      <c r="L720" s="5">
        <v>14.54</v>
      </c>
      <c r="M720" s="5">
        <v>8615.57</v>
      </c>
      <c r="N720" s="5">
        <v>13.78</v>
      </c>
      <c r="O720" s="6">
        <f t="shared" si="1"/>
        <v>14.53930233</v>
      </c>
      <c r="P720" s="6" t="str">
        <f t="shared" si="2"/>
        <v>Post-Shift</v>
      </c>
      <c r="Q720" s="3">
        <f t="shared" si="3"/>
        <v>12</v>
      </c>
    </row>
    <row r="721">
      <c r="A721" s="4" t="s">
        <v>63</v>
      </c>
      <c r="B721" s="2" t="s">
        <v>38</v>
      </c>
      <c r="C721" s="2" t="s">
        <v>19</v>
      </c>
      <c r="D721" s="2" t="s">
        <v>20</v>
      </c>
      <c r="E721" s="2" t="s">
        <v>25</v>
      </c>
      <c r="F721" s="5">
        <v>151539.0</v>
      </c>
      <c r="G721" s="5">
        <v>3455.0</v>
      </c>
      <c r="H721" s="5">
        <v>0.0228</v>
      </c>
      <c r="I721" s="5">
        <v>2.05</v>
      </c>
      <c r="J721" s="5">
        <v>7082.75</v>
      </c>
      <c r="K721" s="5">
        <v>135.0</v>
      </c>
      <c r="L721" s="5">
        <v>52.46</v>
      </c>
      <c r="M721" s="5">
        <v>4666.78</v>
      </c>
      <c r="N721" s="5">
        <v>0.66</v>
      </c>
      <c r="O721" s="6">
        <f t="shared" si="1"/>
        <v>52.46481481</v>
      </c>
      <c r="P721" s="6" t="str">
        <f t="shared" si="2"/>
        <v>Post-Shift</v>
      </c>
      <c r="Q721" s="3">
        <f t="shared" si="3"/>
        <v>46</v>
      </c>
    </row>
    <row r="722">
      <c r="A722" s="4" t="s">
        <v>103</v>
      </c>
      <c r="B722" s="2" t="s">
        <v>18</v>
      </c>
      <c r="C722" s="2" t="s">
        <v>41</v>
      </c>
      <c r="D722" s="2" t="s">
        <v>29</v>
      </c>
      <c r="E722" s="2" t="s">
        <v>58</v>
      </c>
      <c r="F722" s="5">
        <v>180365.0</v>
      </c>
      <c r="G722" s="5">
        <v>6114.0</v>
      </c>
      <c r="H722" s="5">
        <v>0.0339</v>
      </c>
      <c r="I722" s="5">
        <v>3.46</v>
      </c>
      <c r="J722" s="5">
        <v>21154.44</v>
      </c>
      <c r="K722" s="5">
        <v>400.0</v>
      </c>
      <c r="L722" s="5">
        <v>52.89</v>
      </c>
      <c r="M722" s="5">
        <v>111623.1</v>
      </c>
      <c r="N722" s="5">
        <v>5.28</v>
      </c>
      <c r="O722" s="6">
        <f t="shared" si="1"/>
        <v>52.8861</v>
      </c>
      <c r="P722" s="6" t="str">
        <f t="shared" si="2"/>
        <v>Post-Shift</v>
      </c>
      <c r="Q722" s="3">
        <f t="shared" si="3"/>
        <v>43</v>
      </c>
    </row>
    <row r="723">
      <c r="A723" s="4" t="s">
        <v>207</v>
      </c>
      <c r="B723" s="2" t="s">
        <v>38</v>
      </c>
      <c r="C723" s="2" t="s">
        <v>27</v>
      </c>
      <c r="D723" s="2" t="s">
        <v>20</v>
      </c>
      <c r="E723" s="2" t="s">
        <v>58</v>
      </c>
      <c r="F723" s="5">
        <v>30168.0</v>
      </c>
      <c r="G723" s="5">
        <v>1080.0</v>
      </c>
      <c r="H723" s="5">
        <v>0.0358</v>
      </c>
      <c r="I723" s="5">
        <v>0.46</v>
      </c>
      <c r="J723" s="5">
        <v>496.8</v>
      </c>
      <c r="K723" s="5">
        <v>34.0</v>
      </c>
      <c r="L723" s="5">
        <v>14.61</v>
      </c>
      <c r="M723" s="5">
        <v>5163.27</v>
      </c>
      <c r="N723" s="5">
        <v>10.39</v>
      </c>
      <c r="O723" s="6">
        <f t="shared" si="1"/>
        <v>14.61176471</v>
      </c>
      <c r="P723" s="6" t="str">
        <f t="shared" si="2"/>
        <v>Post-Shift</v>
      </c>
      <c r="Q723" s="3">
        <f t="shared" si="3"/>
        <v>34</v>
      </c>
    </row>
    <row r="724">
      <c r="A724" s="4">
        <v>45631.0</v>
      </c>
      <c r="B724" s="2" t="s">
        <v>18</v>
      </c>
      <c r="C724" s="2" t="s">
        <v>41</v>
      </c>
      <c r="D724" s="2" t="s">
        <v>20</v>
      </c>
      <c r="E724" s="2" t="s">
        <v>21</v>
      </c>
      <c r="F724" s="5">
        <v>26352.0</v>
      </c>
      <c r="G724" s="5">
        <v>1697.0</v>
      </c>
      <c r="H724" s="5">
        <v>0.0644</v>
      </c>
      <c r="I724" s="5">
        <v>1.71</v>
      </c>
      <c r="J724" s="5">
        <v>2901.87</v>
      </c>
      <c r="K724" s="5">
        <v>126.0</v>
      </c>
      <c r="L724" s="5">
        <v>23.03</v>
      </c>
      <c r="M724" s="5">
        <v>31980.19</v>
      </c>
      <c r="N724" s="5">
        <v>11.02</v>
      </c>
      <c r="O724" s="6">
        <f t="shared" si="1"/>
        <v>23.03071429</v>
      </c>
      <c r="P724" s="6" t="str">
        <f t="shared" si="2"/>
        <v>Post-Shift</v>
      </c>
      <c r="Q724" s="3">
        <f t="shared" si="3"/>
        <v>20</v>
      </c>
    </row>
    <row r="725">
      <c r="A725" s="4" t="s">
        <v>137</v>
      </c>
      <c r="B725" s="2" t="s">
        <v>18</v>
      </c>
      <c r="C725" s="2" t="s">
        <v>19</v>
      </c>
      <c r="D725" s="2" t="s">
        <v>29</v>
      </c>
      <c r="E725" s="2" t="s">
        <v>56</v>
      </c>
      <c r="F725" s="5">
        <v>57979.0</v>
      </c>
      <c r="G725" s="5">
        <v>2081.0</v>
      </c>
      <c r="H725" s="5">
        <v>0.0359</v>
      </c>
      <c r="I725" s="5">
        <v>1.89</v>
      </c>
      <c r="J725" s="5">
        <v>3933.09</v>
      </c>
      <c r="K725" s="5">
        <v>148.0</v>
      </c>
      <c r="L725" s="5">
        <v>26.57</v>
      </c>
      <c r="M725" s="5">
        <v>18788.47</v>
      </c>
      <c r="N725" s="5">
        <v>4.78</v>
      </c>
      <c r="O725" s="6">
        <f t="shared" si="1"/>
        <v>26.57493243</v>
      </c>
      <c r="P725" s="6" t="str">
        <f t="shared" si="2"/>
        <v>Post-Shift</v>
      </c>
      <c r="Q725" s="3">
        <f t="shared" si="3"/>
        <v>4</v>
      </c>
    </row>
    <row r="726">
      <c r="A726" s="4">
        <v>45636.0</v>
      </c>
      <c r="B726" s="2" t="s">
        <v>18</v>
      </c>
      <c r="C726" s="2" t="s">
        <v>27</v>
      </c>
      <c r="D726" s="2" t="s">
        <v>20</v>
      </c>
      <c r="E726" s="2" t="s">
        <v>58</v>
      </c>
      <c r="F726" s="5">
        <v>173769.0</v>
      </c>
      <c r="G726" s="5">
        <v>6759.0</v>
      </c>
      <c r="H726" s="5">
        <v>0.0389</v>
      </c>
      <c r="I726" s="5">
        <v>2.86</v>
      </c>
      <c r="J726" s="5">
        <v>19330.74</v>
      </c>
      <c r="K726" s="5">
        <v>158.0</v>
      </c>
      <c r="L726" s="5">
        <v>122.35</v>
      </c>
      <c r="M726" s="5">
        <v>21350.44</v>
      </c>
      <c r="N726" s="5">
        <v>1.1</v>
      </c>
      <c r="O726" s="6">
        <f t="shared" si="1"/>
        <v>122.3464557</v>
      </c>
      <c r="P726" s="6" t="str">
        <f t="shared" si="2"/>
        <v>Post-Shift</v>
      </c>
      <c r="Q726" s="3">
        <f t="shared" si="3"/>
        <v>41</v>
      </c>
    </row>
    <row r="727">
      <c r="A727" s="4">
        <v>45300.0</v>
      </c>
      <c r="B727" s="2" t="s">
        <v>23</v>
      </c>
      <c r="C727" s="2" t="s">
        <v>31</v>
      </c>
      <c r="D727" s="2" t="s">
        <v>32</v>
      </c>
      <c r="E727" s="2" t="s">
        <v>33</v>
      </c>
      <c r="F727" s="5">
        <v>131206.0</v>
      </c>
      <c r="G727" s="5">
        <v>8279.0</v>
      </c>
      <c r="H727" s="5">
        <v>0.0631</v>
      </c>
      <c r="I727" s="5">
        <v>1.53</v>
      </c>
      <c r="J727" s="5">
        <v>12666.87</v>
      </c>
      <c r="K727" s="5">
        <v>553.0</v>
      </c>
      <c r="L727" s="5">
        <v>22.91</v>
      </c>
      <c r="M727" s="5">
        <v>61485.88</v>
      </c>
      <c r="N727" s="5">
        <v>4.85</v>
      </c>
      <c r="O727" s="6">
        <f t="shared" si="1"/>
        <v>22.90573237</v>
      </c>
      <c r="P727" s="6" t="str">
        <f t="shared" si="2"/>
        <v>Baseline</v>
      </c>
      <c r="Q727" s="3">
        <f t="shared" si="3"/>
        <v>36</v>
      </c>
    </row>
    <row r="728">
      <c r="A728" s="4" t="s">
        <v>106</v>
      </c>
      <c r="B728" s="2" t="s">
        <v>38</v>
      </c>
      <c r="C728" s="2" t="s">
        <v>41</v>
      </c>
      <c r="D728" s="2" t="s">
        <v>24</v>
      </c>
      <c r="E728" s="2" t="s">
        <v>25</v>
      </c>
      <c r="F728" s="5">
        <v>64799.0</v>
      </c>
      <c r="G728" s="5">
        <v>842.0</v>
      </c>
      <c r="H728" s="5">
        <v>0.013</v>
      </c>
      <c r="I728" s="5">
        <v>1.75</v>
      </c>
      <c r="J728" s="5">
        <v>1473.5</v>
      </c>
      <c r="K728" s="5">
        <v>52.0</v>
      </c>
      <c r="L728" s="5">
        <v>28.34</v>
      </c>
      <c r="M728" s="5">
        <v>15157.93</v>
      </c>
      <c r="N728" s="5">
        <v>10.29</v>
      </c>
      <c r="O728" s="6">
        <f t="shared" si="1"/>
        <v>28.33653846</v>
      </c>
      <c r="P728" s="6" t="str">
        <f t="shared" si="2"/>
        <v>Post-Shift</v>
      </c>
      <c r="Q728" s="3">
        <f t="shared" si="3"/>
        <v>21</v>
      </c>
    </row>
    <row r="729">
      <c r="A729" s="4" t="s">
        <v>182</v>
      </c>
      <c r="B729" s="2" t="s">
        <v>38</v>
      </c>
      <c r="C729" s="2" t="s">
        <v>31</v>
      </c>
      <c r="D729" s="2" t="s">
        <v>45</v>
      </c>
      <c r="E729" s="2" t="s">
        <v>25</v>
      </c>
      <c r="F729" s="5">
        <v>167893.0</v>
      </c>
      <c r="G729" s="5">
        <v>4432.0</v>
      </c>
      <c r="H729" s="5">
        <v>0.0264</v>
      </c>
      <c r="I729" s="5">
        <v>0.58</v>
      </c>
      <c r="J729" s="5">
        <v>2570.56</v>
      </c>
      <c r="K729" s="5">
        <v>66.0</v>
      </c>
      <c r="L729" s="5">
        <v>38.95</v>
      </c>
      <c r="M729" s="5">
        <v>15989.78</v>
      </c>
      <c r="N729" s="5">
        <v>6.22</v>
      </c>
      <c r="O729" s="6">
        <f t="shared" si="1"/>
        <v>38.94787879</v>
      </c>
      <c r="P729" s="6" t="str">
        <f t="shared" si="2"/>
        <v>Post-Shift</v>
      </c>
      <c r="Q729" s="3">
        <f t="shared" si="3"/>
        <v>3</v>
      </c>
    </row>
    <row r="730">
      <c r="A730" s="4" t="s">
        <v>79</v>
      </c>
      <c r="B730" s="2" t="s">
        <v>18</v>
      </c>
      <c r="C730" s="2" t="s">
        <v>41</v>
      </c>
      <c r="D730" s="2" t="s">
        <v>24</v>
      </c>
      <c r="E730" s="2" t="s">
        <v>58</v>
      </c>
      <c r="F730" s="5">
        <v>72474.0</v>
      </c>
      <c r="G730" s="5">
        <v>4022.0</v>
      </c>
      <c r="H730" s="5">
        <v>0.0555</v>
      </c>
      <c r="I730" s="5">
        <v>3.11</v>
      </c>
      <c r="J730" s="5">
        <v>12508.42</v>
      </c>
      <c r="K730" s="5">
        <v>142.0</v>
      </c>
      <c r="L730" s="5">
        <v>88.09</v>
      </c>
      <c r="M730" s="5">
        <v>38937.53</v>
      </c>
      <c r="N730" s="5">
        <v>3.11</v>
      </c>
      <c r="O730" s="6">
        <f t="shared" si="1"/>
        <v>88.08746479</v>
      </c>
      <c r="P730" s="6" t="str">
        <f t="shared" si="2"/>
        <v>Post-Shift</v>
      </c>
      <c r="Q730" s="3">
        <f t="shared" si="3"/>
        <v>18</v>
      </c>
    </row>
    <row r="731">
      <c r="A731" s="4" t="s">
        <v>141</v>
      </c>
      <c r="B731" s="2" t="s">
        <v>38</v>
      </c>
      <c r="C731" s="2" t="s">
        <v>27</v>
      </c>
      <c r="D731" s="2" t="s">
        <v>24</v>
      </c>
      <c r="E731" s="2" t="s">
        <v>36</v>
      </c>
      <c r="F731" s="5">
        <v>138678.0</v>
      </c>
      <c r="G731" s="5">
        <v>1802.0</v>
      </c>
      <c r="H731" s="5">
        <v>0.013</v>
      </c>
      <c r="I731" s="5">
        <v>1.9</v>
      </c>
      <c r="J731" s="5">
        <v>3423.8</v>
      </c>
      <c r="K731" s="5">
        <v>61.0</v>
      </c>
      <c r="L731" s="5">
        <v>56.13</v>
      </c>
      <c r="M731" s="5">
        <v>2147.03</v>
      </c>
      <c r="N731" s="5">
        <v>0.63</v>
      </c>
      <c r="O731" s="6">
        <f t="shared" si="1"/>
        <v>56.12786885</v>
      </c>
      <c r="P731" s="6" t="str">
        <f t="shared" si="2"/>
        <v>Post-Shift</v>
      </c>
      <c r="Q731" s="3">
        <f t="shared" si="3"/>
        <v>43</v>
      </c>
    </row>
    <row r="732">
      <c r="A732" s="4">
        <v>45450.0</v>
      </c>
      <c r="B732" s="2" t="s">
        <v>23</v>
      </c>
      <c r="C732" s="2" t="s">
        <v>19</v>
      </c>
      <c r="D732" s="2" t="s">
        <v>29</v>
      </c>
      <c r="E732" s="2" t="s">
        <v>21</v>
      </c>
      <c r="F732" s="5">
        <v>70195.0</v>
      </c>
      <c r="G732" s="5">
        <v>4239.0</v>
      </c>
      <c r="H732" s="5">
        <v>0.0604</v>
      </c>
      <c r="I732" s="5">
        <v>1.42</v>
      </c>
      <c r="J732" s="5">
        <v>6019.38</v>
      </c>
      <c r="K732" s="5">
        <v>234.0</v>
      </c>
      <c r="L732" s="5">
        <v>25.72</v>
      </c>
      <c r="M732" s="5">
        <v>38776.78</v>
      </c>
      <c r="N732" s="5">
        <v>6.44</v>
      </c>
      <c r="O732" s="6">
        <f t="shared" si="1"/>
        <v>25.72384615</v>
      </c>
      <c r="P732" s="6" t="str">
        <f t="shared" si="2"/>
        <v>Baseline</v>
      </c>
      <c r="Q732" s="3">
        <f t="shared" si="3"/>
        <v>27</v>
      </c>
    </row>
    <row r="733">
      <c r="A733" s="4" t="s">
        <v>136</v>
      </c>
      <c r="B733" s="2" t="s">
        <v>38</v>
      </c>
      <c r="C733" s="2" t="s">
        <v>19</v>
      </c>
      <c r="D733" s="2" t="s">
        <v>24</v>
      </c>
      <c r="E733" s="2" t="s">
        <v>30</v>
      </c>
      <c r="F733" s="5">
        <v>73513.0</v>
      </c>
      <c r="G733" s="5">
        <v>2073.0</v>
      </c>
      <c r="H733" s="5">
        <v>0.0282</v>
      </c>
      <c r="I733" s="5">
        <v>2.22</v>
      </c>
      <c r="J733" s="5">
        <v>4602.06</v>
      </c>
      <c r="K733" s="5">
        <v>31.0</v>
      </c>
      <c r="L733" s="5">
        <v>148.45</v>
      </c>
      <c r="M733" s="5">
        <v>3401.33</v>
      </c>
      <c r="N733" s="5">
        <v>0.74</v>
      </c>
      <c r="O733" s="6">
        <f t="shared" si="1"/>
        <v>148.4535484</v>
      </c>
      <c r="P733" s="6" t="str">
        <f t="shared" si="2"/>
        <v>Post-Shift</v>
      </c>
      <c r="Q733" s="3">
        <f t="shared" si="3"/>
        <v>35</v>
      </c>
    </row>
    <row r="734">
      <c r="A734" s="4">
        <v>45328.0</v>
      </c>
      <c r="B734" s="2" t="s">
        <v>18</v>
      </c>
      <c r="C734" s="2" t="s">
        <v>19</v>
      </c>
      <c r="D734" s="2" t="s">
        <v>32</v>
      </c>
      <c r="E734" s="2" t="s">
        <v>33</v>
      </c>
      <c r="F734" s="5">
        <v>162786.0</v>
      </c>
      <c r="G734" s="5">
        <v>7406.0</v>
      </c>
      <c r="H734" s="5">
        <v>0.0455</v>
      </c>
      <c r="I734" s="5">
        <v>1.45</v>
      </c>
      <c r="J734" s="5">
        <v>10738.7</v>
      </c>
      <c r="K734" s="5">
        <v>513.0</v>
      </c>
      <c r="L734" s="5">
        <v>20.93</v>
      </c>
      <c r="M734" s="5">
        <v>67523.57</v>
      </c>
      <c r="N734" s="5">
        <v>6.29</v>
      </c>
      <c r="O734" s="6">
        <f t="shared" si="1"/>
        <v>20.9331384</v>
      </c>
      <c r="P734" s="6" t="str">
        <f t="shared" si="2"/>
        <v>Baseline</v>
      </c>
      <c r="Q734" s="3">
        <f t="shared" si="3"/>
        <v>23</v>
      </c>
    </row>
    <row r="735">
      <c r="A735" s="4" t="s">
        <v>90</v>
      </c>
      <c r="B735" s="2" t="s">
        <v>18</v>
      </c>
      <c r="C735" s="2" t="s">
        <v>27</v>
      </c>
      <c r="D735" s="2" t="s">
        <v>29</v>
      </c>
      <c r="E735" s="2" t="s">
        <v>30</v>
      </c>
      <c r="F735" s="5">
        <v>133909.0</v>
      </c>
      <c r="G735" s="5">
        <v>5664.0</v>
      </c>
      <c r="H735" s="5">
        <v>0.0423</v>
      </c>
      <c r="I735" s="5">
        <v>2.88</v>
      </c>
      <c r="J735" s="5">
        <v>16312.32</v>
      </c>
      <c r="K735" s="5">
        <v>117.0</v>
      </c>
      <c r="L735" s="5">
        <v>139.42</v>
      </c>
      <c r="M735" s="5">
        <v>11886.29</v>
      </c>
      <c r="N735" s="5">
        <v>0.73</v>
      </c>
      <c r="O735" s="6">
        <f t="shared" si="1"/>
        <v>139.4215385</v>
      </c>
      <c r="P735" s="6" t="str">
        <f t="shared" si="2"/>
        <v>Post-Shift</v>
      </c>
      <c r="Q735" s="3">
        <f t="shared" si="3"/>
        <v>39</v>
      </c>
    </row>
    <row r="736">
      <c r="A736" s="4" t="s">
        <v>110</v>
      </c>
      <c r="B736" s="2" t="s">
        <v>18</v>
      </c>
      <c r="C736" s="2" t="s">
        <v>19</v>
      </c>
      <c r="D736" s="2" t="s">
        <v>45</v>
      </c>
      <c r="E736" s="2" t="s">
        <v>58</v>
      </c>
      <c r="F736" s="5">
        <v>92185.0</v>
      </c>
      <c r="G736" s="5">
        <v>3779.0</v>
      </c>
      <c r="H736" s="5">
        <v>0.041</v>
      </c>
      <c r="I736" s="5">
        <v>1.62</v>
      </c>
      <c r="J736" s="5">
        <v>6121.98</v>
      </c>
      <c r="K736" s="5">
        <v>82.0</v>
      </c>
      <c r="L736" s="5">
        <v>74.66</v>
      </c>
      <c r="M736" s="5">
        <v>11861.33</v>
      </c>
      <c r="N736" s="5">
        <v>1.94</v>
      </c>
      <c r="O736" s="6">
        <f t="shared" si="1"/>
        <v>74.65829268</v>
      </c>
      <c r="P736" s="6" t="str">
        <f t="shared" si="2"/>
        <v>Post-Shift</v>
      </c>
      <c r="Q736" s="3">
        <f t="shared" si="3"/>
        <v>4</v>
      </c>
    </row>
    <row r="737">
      <c r="A737" s="4" t="s">
        <v>242</v>
      </c>
      <c r="B737" s="2" t="s">
        <v>38</v>
      </c>
      <c r="C737" s="2" t="s">
        <v>19</v>
      </c>
      <c r="D737" s="2" t="s">
        <v>45</v>
      </c>
      <c r="E737" s="2" t="s">
        <v>58</v>
      </c>
      <c r="F737" s="5">
        <v>136637.0</v>
      </c>
      <c r="G737" s="5">
        <v>4399.0</v>
      </c>
      <c r="H737" s="5">
        <v>0.0322</v>
      </c>
      <c r="I737" s="5">
        <v>1.31</v>
      </c>
      <c r="J737" s="5">
        <v>5762.69</v>
      </c>
      <c r="K737" s="5">
        <v>254.0</v>
      </c>
      <c r="L737" s="5">
        <v>22.69</v>
      </c>
      <c r="M737" s="5">
        <v>21909.38</v>
      </c>
      <c r="N737" s="5">
        <v>3.8</v>
      </c>
      <c r="O737" s="6">
        <f t="shared" si="1"/>
        <v>22.68775591</v>
      </c>
      <c r="P737" s="6" t="str">
        <f t="shared" si="2"/>
        <v>Post-Shift</v>
      </c>
      <c r="Q737" s="3">
        <f t="shared" si="3"/>
        <v>25</v>
      </c>
    </row>
    <row r="738">
      <c r="A738" s="4">
        <v>45388.0</v>
      </c>
      <c r="B738" s="2" t="s">
        <v>38</v>
      </c>
      <c r="C738" s="2" t="s">
        <v>41</v>
      </c>
      <c r="D738" s="2" t="s">
        <v>45</v>
      </c>
      <c r="E738" s="2" t="s">
        <v>56</v>
      </c>
      <c r="F738" s="5">
        <v>56986.0</v>
      </c>
      <c r="G738" s="5">
        <v>1270.0</v>
      </c>
      <c r="H738" s="5">
        <v>0.0223</v>
      </c>
      <c r="I738" s="5">
        <v>0.93</v>
      </c>
      <c r="J738" s="5">
        <v>1181.1</v>
      </c>
      <c r="K738" s="5">
        <v>13.0</v>
      </c>
      <c r="L738" s="5">
        <v>90.85</v>
      </c>
      <c r="M738" s="5">
        <v>3679.26</v>
      </c>
      <c r="N738" s="5">
        <v>3.12</v>
      </c>
      <c r="O738" s="6">
        <f t="shared" si="1"/>
        <v>90.85384615</v>
      </c>
      <c r="P738" s="6" t="str">
        <f t="shared" si="2"/>
        <v>Baseline</v>
      </c>
      <c r="Q738" s="3">
        <f t="shared" si="3"/>
        <v>23</v>
      </c>
    </row>
    <row r="739">
      <c r="A739" s="4" t="s">
        <v>74</v>
      </c>
      <c r="B739" s="2" t="s">
        <v>38</v>
      </c>
      <c r="C739" s="2" t="s">
        <v>41</v>
      </c>
      <c r="D739" s="2" t="s">
        <v>32</v>
      </c>
      <c r="E739" s="2" t="s">
        <v>25</v>
      </c>
      <c r="F739" s="5">
        <v>148859.0</v>
      </c>
      <c r="G739" s="5">
        <v>3840.0</v>
      </c>
      <c r="H739" s="5">
        <v>0.0258</v>
      </c>
      <c r="I739" s="5">
        <v>1.8</v>
      </c>
      <c r="J739" s="5">
        <v>6912.0</v>
      </c>
      <c r="K739" s="5">
        <v>250.0</v>
      </c>
      <c r="L739" s="5">
        <v>27.65</v>
      </c>
      <c r="M739" s="5">
        <v>22027.39</v>
      </c>
      <c r="N739" s="5">
        <v>3.19</v>
      </c>
      <c r="O739" s="6">
        <f t="shared" si="1"/>
        <v>27.648</v>
      </c>
      <c r="P739" s="6" t="str">
        <f t="shared" si="2"/>
        <v>Post-Shift</v>
      </c>
      <c r="Q739" s="3">
        <f t="shared" si="3"/>
        <v>8</v>
      </c>
    </row>
    <row r="740">
      <c r="A740" s="4">
        <v>45359.0</v>
      </c>
      <c r="B740" s="2" t="s">
        <v>18</v>
      </c>
      <c r="C740" s="2" t="s">
        <v>19</v>
      </c>
      <c r="D740" s="2" t="s">
        <v>24</v>
      </c>
      <c r="E740" s="2" t="s">
        <v>30</v>
      </c>
      <c r="F740" s="5">
        <v>151900.0</v>
      </c>
      <c r="G740" s="5">
        <v>5270.0</v>
      </c>
      <c r="H740" s="5">
        <v>0.0347</v>
      </c>
      <c r="I740" s="5">
        <v>1.11</v>
      </c>
      <c r="J740" s="5">
        <v>5849.7</v>
      </c>
      <c r="K740" s="5">
        <v>291.0</v>
      </c>
      <c r="L740" s="5">
        <v>20.1</v>
      </c>
      <c r="M740" s="5">
        <v>47553.46</v>
      </c>
      <c r="N740" s="5">
        <v>8.13</v>
      </c>
      <c r="O740" s="6">
        <f t="shared" si="1"/>
        <v>20.10206186</v>
      </c>
      <c r="P740" s="6" t="str">
        <f t="shared" si="2"/>
        <v>Baseline</v>
      </c>
      <c r="Q740" s="3">
        <f t="shared" si="3"/>
        <v>31</v>
      </c>
    </row>
    <row r="741">
      <c r="A741" s="4">
        <v>45514.0</v>
      </c>
      <c r="B741" s="2" t="s">
        <v>38</v>
      </c>
      <c r="C741" s="2" t="s">
        <v>31</v>
      </c>
      <c r="D741" s="2" t="s">
        <v>24</v>
      </c>
      <c r="E741" s="2" t="s">
        <v>21</v>
      </c>
      <c r="F741" s="5">
        <v>155555.0</v>
      </c>
      <c r="G741" s="5">
        <v>4588.0</v>
      </c>
      <c r="H741" s="5">
        <v>0.0295</v>
      </c>
      <c r="I741" s="5">
        <v>1.55</v>
      </c>
      <c r="J741" s="5">
        <v>7111.4</v>
      </c>
      <c r="K741" s="5">
        <v>332.0</v>
      </c>
      <c r="L741" s="5">
        <v>21.42</v>
      </c>
      <c r="M741" s="5">
        <v>12719.4</v>
      </c>
      <c r="N741" s="5">
        <v>1.79</v>
      </c>
      <c r="O741" s="6">
        <f t="shared" si="1"/>
        <v>21.41987952</v>
      </c>
      <c r="P741" s="6" t="str">
        <f t="shared" si="2"/>
        <v>Post-Shift</v>
      </c>
      <c r="Q741" s="3">
        <f t="shared" si="3"/>
        <v>41</v>
      </c>
    </row>
    <row r="742">
      <c r="A742" s="4">
        <v>45606.0</v>
      </c>
      <c r="B742" s="2" t="s">
        <v>38</v>
      </c>
      <c r="C742" s="2" t="s">
        <v>41</v>
      </c>
      <c r="D742" s="2" t="s">
        <v>32</v>
      </c>
      <c r="E742" s="2" t="s">
        <v>33</v>
      </c>
      <c r="F742" s="5">
        <v>198979.0</v>
      </c>
      <c r="G742" s="5">
        <v>2089.0</v>
      </c>
      <c r="H742" s="5">
        <v>0.0105</v>
      </c>
      <c r="I742" s="5">
        <v>1.7</v>
      </c>
      <c r="J742" s="5">
        <v>3551.3</v>
      </c>
      <c r="K742" s="5">
        <v>66.0</v>
      </c>
      <c r="L742" s="5">
        <v>53.81</v>
      </c>
      <c r="M742" s="5">
        <v>7694.86</v>
      </c>
      <c r="N742" s="5">
        <v>2.17</v>
      </c>
      <c r="O742" s="6">
        <f t="shared" si="1"/>
        <v>53.80757576</v>
      </c>
      <c r="P742" s="6" t="str">
        <f t="shared" si="2"/>
        <v>Post-Shift</v>
      </c>
      <c r="Q742" s="3">
        <f t="shared" si="3"/>
        <v>41</v>
      </c>
    </row>
    <row r="743">
      <c r="A743" s="4">
        <v>45394.0</v>
      </c>
      <c r="B743" s="2" t="s">
        <v>38</v>
      </c>
      <c r="C743" s="2" t="s">
        <v>19</v>
      </c>
      <c r="D743" s="2" t="s">
        <v>45</v>
      </c>
      <c r="E743" s="2" t="s">
        <v>56</v>
      </c>
      <c r="F743" s="5">
        <v>186740.0</v>
      </c>
      <c r="G743" s="5">
        <v>4182.0</v>
      </c>
      <c r="H743" s="5">
        <v>0.0224</v>
      </c>
      <c r="I743" s="5">
        <v>0.56</v>
      </c>
      <c r="J743" s="5">
        <v>2341.92</v>
      </c>
      <c r="K743" s="5">
        <v>47.0</v>
      </c>
      <c r="L743" s="5">
        <v>49.83</v>
      </c>
      <c r="M743" s="5">
        <v>8643.08</v>
      </c>
      <c r="N743" s="5">
        <v>3.69</v>
      </c>
      <c r="O743" s="6">
        <f t="shared" si="1"/>
        <v>49.82808511</v>
      </c>
      <c r="P743" s="6" t="str">
        <f t="shared" si="2"/>
        <v>Baseline</v>
      </c>
      <c r="Q743" s="3">
        <f t="shared" si="3"/>
        <v>49</v>
      </c>
    </row>
    <row r="744">
      <c r="A744" s="4">
        <v>45389.0</v>
      </c>
      <c r="B744" s="2" t="s">
        <v>18</v>
      </c>
      <c r="C744" s="2" t="s">
        <v>31</v>
      </c>
      <c r="D744" s="2" t="s">
        <v>20</v>
      </c>
      <c r="E744" s="2" t="s">
        <v>58</v>
      </c>
      <c r="F744" s="5">
        <v>126246.0</v>
      </c>
      <c r="G744" s="5">
        <v>4203.0</v>
      </c>
      <c r="H744" s="5">
        <v>0.0333</v>
      </c>
      <c r="I744" s="5">
        <v>2.05</v>
      </c>
      <c r="J744" s="5">
        <v>8616.15</v>
      </c>
      <c r="K744" s="5">
        <v>290.0</v>
      </c>
      <c r="L744" s="5">
        <v>29.71</v>
      </c>
      <c r="M744" s="5">
        <v>31939.46</v>
      </c>
      <c r="N744" s="5">
        <v>3.71</v>
      </c>
      <c r="O744" s="6">
        <f t="shared" si="1"/>
        <v>29.71086207</v>
      </c>
      <c r="P744" s="6" t="str">
        <f t="shared" si="2"/>
        <v>Baseline</v>
      </c>
      <c r="Q744" s="3">
        <f t="shared" si="3"/>
        <v>27</v>
      </c>
    </row>
    <row r="745">
      <c r="A745" s="4" t="s">
        <v>173</v>
      </c>
      <c r="B745" s="2" t="s">
        <v>18</v>
      </c>
      <c r="C745" s="2" t="s">
        <v>19</v>
      </c>
      <c r="D745" s="2" t="s">
        <v>20</v>
      </c>
      <c r="E745" s="2" t="s">
        <v>33</v>
      </c>
      <c r="F745" s="5">
        <v>30835.0</v>
      </c>
      <c r="G745" s="5">
        <v>925.0</v>
      </c>
      <c r="H745" s="5">
        <v>0.03</v>
      </c>
      <c r="I745" s="5">
        <v>1.96</v>
      </c>
      <c r="J745" s="5">
        <v>1813.0</v>
      </c>
      <c r="K745" s="5">
        <v>14.0</v>
      </c>
      <c r="L745" s="5">
        <v>129.5</v>
      </c>
      <c r="M745" s="5">
        <v>3805.56</v>
      </c>
      <c r="N745" s="5">
        <v>2.1</v>
      </c>
      <c r="O745" s="6">
        <f t="shared" si="1"/>
        <v>129.5</v>
      </c>
      <c r="P745" s="6" t="str">
        <f t="shared" si="2"/>
        <v>Post-Shift</v>
      </c>
      <c r="Q745" s="3">
        <f t="shared" si="3"/>
        <v>7</v>
      </c>
    </row>
    <row r="746">
      <c r="A746" s="4" t="s">
        <v>130</v>
      </c>
      <c r="B746" s="2" t="s">
        <v>23</v>
      </c>
      <c r="C746" s="2" t="s">
        <v>27</v>
      </c>
      <c r="D746" s="2" t="s">
        <v>24</v>
      </c>
      <c r="E746" s="2" t="s">
        <v>36</v>
      </c>
      <c r="F746" s="5">
        <v>112938.0</v>
      </c>
      <c r="G746" s="5">
        <v>3263.0</v>
      </c>
      <c r="H746" s="5">
        <v>0.0289</v>
      </c>
      <c r="I746" s="5">
        <v>0.39</v>
      </c>
      <c r="J746" s="5">
        <v>1272.57</v>
      </c>
      <c r="K746" s="5">
        <v>80.0</v>
      </c>
      <c r="L746" s="5">
        <v>15.91</v>
      </c>
      <c r="M746" s="5">
        <v>22895.07</v>
      </c>
      <c r="N746" s="5">
        <v>17.99</v>
      </c>
      <c r="O746" s="6">
        <f t="shared" si="1"/>
        <v>15.907125</v>
      </c>
      <c r="P746" s="6" t="str">
        <f t="shared" si="2"/>
        <v>Post-Shift</v>
      </c>
      <c r="Q746" s="3">
        <f t="shared" si="3"/>
        <v>52</v>
      </c>
    </row>
    <row r="747">
      <c r="A747" s="4" t="s">
        <v>155</v>
      </c>
      <c r="B747" s="2" t="s">
        <v>18</v>
      </c>
      <c r="C747" s="2" t="s">
        <v>41</v>
      </c>
      <c r="D747" s="2" t="s">
        <v>32</v>
      </c>
      <c r="E747" s="2" t="s">
        <v>36</v>
      </c>
      <c r="F747" s="5">
        <v>143573.0</v>
      </c>
      <c r="G747" s="5">
        <v>3474.0</v>
      </c>
      <c r="H747" s="5">
        <v>0.0242</v>
      </c>
      <c r="I747" s="5">
        <v>1.63</v>
      </c>
      <c r="J747" s="5">
        <v>5662.62</v>
      </c>
      <c r="K747" s="5">
        <v>131.0</v>
      </c>
      <c r="L747" s="5">
        <v>43.23</v>
      </c>
      <c r="M747" s="5">
        <v>11434.82</v>
      </c>
      <c r="N747" s="5">
        <v>2.02</v>
      </c>
      <c r="O747" s="6">
        <f t="shared" si="1"/>
        <v>43.22610687</v>
      </c>
      <c r="P747" s="6" t="str">
        <f t="shared" si="2"/>
        <v>Post-Shift</v>
      </c>
      <c r="Q747" s="3">
        <f t="shared" si="3"/>
        <v>51</v>
      </c>
    </row>
    <row r="748">
      <c r="A748" s="4" t="s">
        <v>94</v>
      </c>
      <c r="B748" s="2" t="s">
        <v>23</v>
      </c>
      <c r="C748" s="2" t="s">
        <v>41</v>
      </c>
      <c r="D748" s="2" t="s">
        <v>45</v>
      </c>
      <c r="E748" s="2" t="s">
        <v>36</v>
      </c>
      <c r="F748" s="5">
        <v>113621.0</v>
      </c>
      <c r="G748" s="5">
        <v>10112.0</v>
      </c>
      <c r="H748" s="5">
        <v>0.089</v>
      </c>
      <c r="I748" s="5">
        <v>0.99</v>
      </c>
      <c r="J748" s="5">
        <v>10010.88</v>
      </c>
      <c r="K748" s="5">
        <v>472.0</v>
      </c>
      <c r="L748" s="5">
        <v>21.21</v>
      </c>
      <c r="M748" s="5">
        <v>84899.73</v>
      </c>
      <c r="N748" s="5">
        <v>8.48</v>
      </c>
      <c r="O748" s="6">
        <f t="shared" si="1"/>
        <v>21.20949153</v>
      </c>
      <c r="P748" s="6" t="str">
        <f t="shared" si="2"/>
        <v>Post-Shift</v>
      </c>
      <c r="Q748" s="3">
        <f t="shared" si="3"/>
        <v>29</v>
      </c>
    </row>
    <row r="749">
      <c r="A749" s="4" t="s">
        <v>164</v>
      </c>
      <c r="B749" s="2" t="s">
        <v>38</v>
      </c>
      <c r="C749" s="2" t="s">
        <v>19</v>
      </c>
      <c r="D749" s="2" t="s">
        <v>29</v>
      </c>
      <c r="E749" s="2" t="s">
        <v>25</v>
      </c>
      <c r="F749" s="5">
        <v>125155.0</v>
      </c>
      <c r="G749" s="5">
        <v>5256.0</v>
      </c>
      <c r="H749" s="5">
        <v>0.042</v>
      </c>
      <c r="I749" s="5">
        <v>1.07</v>
      </c>
      <c r="J749" s="5">
        <v>5623.92</v>
      </c>
      <c r="K749" s="5">
        <v>247.0</v>
      </c>
      <c r="L749" s="5">
        <v>22.77</v>
      </c>
      <c r="M749" s="5">
        <v>26802.91</v>
      </c>
      <c r="N749" s="5">
        <v>4.77</v>
      </c>
      <c r="O749" s="6">
        <f t="shared" si="1"/>
        <v>22.76890688</v>
      </c>
      <c r="P749" s="6" t="str">
        <f t="shared" si="2"/>
        <v>Post-Shift</v>
      </c>
      <c r="Q749" s="3">
        <f t="shared" si="3"/>
        <v>35</v>
      </c>
    </row>
    <row r="750">
      <c r="A750" s="4" t="s">
        <v>202</v>
      </c>
      <c r="B750" s="2" t="s">
        <v>38</v>
      </c>
      <c r="C750" s="2" t="s">
        <v>31</v>
      </c>
      <c r="D750" s="2" t="s">
        <v>20</v>
      </c>
      <c r="E750" s="2" t="s">
        <v>30</v>
      </c>
      <c r="F750" s="5">
        <v>52940.0</v>
      </c>
      <c r="G750" s="5">
        <v>1281.0</v>
      </c>
      <c r="H750" s="5">
        <v>0.0242</v>
      </c>
      <c r="I750" s="5">
        <v>1.5</v>
      </c>
      <c r="J750" s="5">
        <v>1921.5</v>
      </c>
      <c r="K750" s="5">
        <v>37.0</v>
      </c>
      <c r="L750" s="5">
        <v>51.93</v>
      </c>
      <c r="M750" s="5">
        <v>8409.06</v>
      </c>
      <c r="N750" s="5">
        <v>4.38</v>
      </c>
      <c r="O750" s="6">
        <f t="shared" si="1"/>
        <v>51.93243243</v>
      </c>
      <c r="P750" s="6" t="str">
        <f t="shared" si="2"/>
        <v>Post-Shift</v>
      </c>
      <c r="Q750" s="3">
        <f t="shared" si="3"/>
        <v>26</v>
      </c>
    </row>
    <row r="751">
      <c r="A751" s="4">
        <v>45300.0</v>
      </c>
      <c r="B751" s="2" t="s">
        <v>23</v>
      </c>
      <c r="C751" s="2" t="s">
        <v>41</v>
      </c>
      <c r="D751" s="2" t="s">
        <v>32</v>
      </c>
      <c r="E751" s="2" t="s">
        <v>30</v>
      </c>
      <c r="F751" s="5">
        <v>106069.0</v>
      </c>
      <c r="G751" s="5">
        <v>3139.0</v>
      </c>
      <c r="H751" s="5">
        <v>0.0296</v>
      </c>
      <c r="I751" s="5">
        <v>0.5</v>
      </c>
      <c r="J751" s="5">
        <v>1569.5</v>
      </c>
      <c r="K751" s="5">
        <v>78.0</v>
      </c>
      <c r="L751" s="5">
        <v>20.12</v>
      </c>
      <c r="M751" s="5">
        <v>6648.74</v>
      </c>
      <c r="N751" s="5">
        <v>4.24</v>
      </c>
      <c r="O751" s="6">
        <f t="shared" si="1"/>
        <v>20.12179487</v>
      </c>
      <c r="P751" s="6" t="str">
        <f t="shared" si="2"/>
        <v>Baseline</v>
      </c>
      <c r="Q751" s="3">
        <f t="shared" si="3"/>
        <v>36</v>
      </c>
    </row>
    <row r="752">
      <c r="A752" s="4" t="s">
        <v>190</v>
      </c>
      <c r="B752" s="2" t="s">
        <v>18</v>
      </c>
      <c r="C752" s="2" t="s">
        <v>27</v>
      </c>
      <c r="D752" s="2" t="s">
        <v>24</v>
      </c>
      <c r="E752" s="2" t="s">
        <v>36</v>
      </c>
      <c r="F752" s="5">
        <v>185523.0</v>
      </c>
      <c r="G752" s="5">
        <v>6029.0</v>
      </c>
      <c r="H752" s="5">
        <v>0.0325</v>
      </c>
      <c r="I752" s="5">
        <v>1.38</v>
      </c>
      <c r="J752" s="5">
        <v>8320.02</v>
      </c>
      <c r="K752" s="5">
        <v>252.0</v>
      </c>
      <c r="L752" s="5">
        <v>33.02</v>
      </c>
      <c r="M752" s="5">
        <v>12404.91</v>
      </c>
      <c r="N752" s="5">
        <v>1.49</v>
      </c>
      <c r="O752" s="6">
        <f t="shared" si="1"/>
        <v>33.01595238</v>
      </c>
      <c r="P752" s="6" t="str">
        <f t="shared" si="2"/>
        <v>Post-Shift</v>
      </c>
      <c r="Q752" s="3">
        <f t="shared" si="3"/>
        <v>13</v>
      </c>
    </row>
    <row r="753">
      <c r="A753" s="4">
        <v>45607.0</v>
      </c>
      <c r="B753" s="2" t="s">
        <v>23</v>
      </c>
      <c r="C753" s="2" t="s">
        <v>31</v>
      </c>
      <c r="D753" s="2" t="s">
        <v>24</v>
      </c>
      <c r="E753" s="2" t="s">
        <v>56</v>
      </c>
      <c r="F753" s="5">
        <v>184969.0</v>
      </c>
      <c r="G753" s="5">
        <v>15407.0</v>
      </c>
      <c r="H753" s="5">
        <v>0.0833</v>
      </c>
      <c r="I753" s="5">
        <v>1.34</v>
      </c>
      <c r="J753" s="5">
        <v>20645.38</v>
      </c>
      <c r="K753" s="5">
        <v>352.0</v>
      </c>
      <c r="L753" s="5">
        <v>58.65</v>
      </c>
      <c r="M753" s="5">
        <v>52669.94</v>
      </c>
      <c r="N753" s="5">
        <v>2.55</v>
      </c>
      <c r="O753" s="6">
        <f t="shared" si="1"/>
        <v>58.65164773</v>
      </c>
      <c r="P753" s="6" t="str">
        <f t="shared" si="2"/>
        <v>Post-Shift</v>
      </c>
      <c r="Q753" s="3">
        <f t="shared" si="3"/>
        <v>46</v>
      </c>
    </row>
    <row r="754">
      <c r="A754" s="4" t="s">
        <v>117</v>
      </c>
      <c r="B754" s="2" t="s">
        <v>18</v>
      </c>
      <c r="C754" s="2" t="s">
        <v>27</v>
      </c>
      <c r="D754" s="2" t="s">
        <v>29</v>
      </c>
      <c r="E754" s="2" t="s">
        <v>36</v>
      </c>
      <c r="F754" s="5">
        <v>118005.0</v>
      </c>
      <c r="G754" s="5">
        <v>5003.0</v>
      </c>
      <c r="H754" s="5">
        <v>0.0424</v>
      </c>
      <c r="I754" s="5">
        <v>1.8</v>
      </c>
      <c r="J754" s="5">
        <v>9005.4</v>
      </c>
      <c r="K754" s="5">
        <v>63.0</v>
      </c>
      <c r="L754" s="5">
        <v>142.94</v>
      </c>
      <c r="M754" s="5">
        <v>6740.12</v>
      </c>
      <c r="N754" s="5">
        <v>0.75</v>
      </c>
      <c r="O754" s="6">
        <f t="shared" si="1"/>
        <v>142.9428571</v>
      </c>
      <c r="P754" s="6" t="str">
        <f t="shared" si="2"/>
        <v>Post-Shift</v>
      </c>
      <c r="Q754" s="3">
        <f t="shared" si="3"/>
        <v>52</v>
      </c>
    </row>
    <row r="755">
      <c r="A755" s="4">
        <v>45452.0</v>
      </c>
      <c r="B755" s="2" t="s">
        <v>18</v>
      </c>
      <c r="C755" s="2" t="s">
        <v>27</v>
      </c>
      <c r="D755" s="2" t="s">
        <v>32</v>
      </c>
      <c r="E755" s="2" t="s">
        <v>56</v>
      </c>
      <c r="F755" s="5">
        <v>47176.0</v>
      </c>
      <c r="G755" s="5">
        <v>1278.0</v>
      </c>
      <c r="H755" s="5">
        <v>0.0271</v>
      </c>
      <c r="I755" s="5">
        <v>1.43</v>
      </c>
      <c r="J755" s="5">
        <v>1827.54</v>
      </c>
      <c r="K755" s="5">
        <v>62.0</v>
      </c>
      <c r="L755" s="5">
        <v>29.48</v>
      </c>
      <c r="M755" s="5">
        <v>2278.75</v>
      </c>
      <c r="N755" s="5">
        <v>1.25</v>
      </c>
      <c r="O755" s="6">
        <f t="shared" si="1"/>
        <v>29.47645161</v>
      </c>
      <c r="P755" s="6" t="str">
        <f t="shared" si="2"/>
        <v>Baseline</v>
      </c>
      <c r="Q755" s="3">
        <f t="shared" si="3"/>
        <v>36</v>
      </c>
    </row>
    <row r="756">
      <c r="A756" s="4">
        <v>45577.0</v>
      </c>
      <c r="B756" s="2" t="s">
        <v>38</v>
      </c>
      <c r="C756" s="2" t="s">
        <v>27</v>
      </c>
      <c r="D756" s="2" t="s">
        <v>20</v>
      </c>
      <c r="E756" s="2" t="s">
        <v>25</v>
      </c>
      <c r="F756" s="5">
        <v>8512.0</v>
      </c>
      <c r="G756" s="5">
        <v>251.0</v>
      </c>
      <c r="H756" s="5">
        <v>0.0296</v>
      </c>
      <c r="I756" s="5">
        <v>0.64</v>
      </c>
      <c r="J756" s="5">
        <v>160.64</v>
      </c>
      <c r="K756" s="5">
        <v>11.0</v>
      </c>
      <c r="L756" s="5">
        <v>14.6</v>
      </c>
      <c r="M756" s="5">
        <v>1671.09</v>
      </c>
      <c r="N756" s="5">
        <v>10.4</v>
      </c>
      <c r="O756" s="6">
        <f t="shared" si="1"/>
        <v>14.60363636</v>
      </c>
      <c r="P756" s="6" t="str">
        <f t="shared" si="2"/>
        <v>Post-Shift</v>
      </c>
      <c r="Q756" s="3">
        <f t="shared" si="3"/>
        <v>50</v>
      </c>
    </row>
    <row r="757">
      <c r="A757" s="4" t="s">
        <v>144</v>
      </c>
      <c r="B757" s="2" t="s">
        <v>38</v>
      </c>
      <c r="C757" s="2" t="s">
        <v>31</v>
      </c>
      <c r="D757" s="2" t="s">
        <v>24</v>
      </c>
      <c r="E757" s="2" t="s">
        <v>58</v>
      </c>
      <c r="F757" s="5">
        <v>83591.0</v>
      </c>
      <c r="G757" s="5">
        <v>2499.0</v>
      </c>
      <c r="H757" s="5">
        <v>0.0299</v>
      </c>
      <c r="I757" s="5">
        <v>1.68</v>
      </c>
      <c r="J757" s="5">
        <v>4198.32</v>
      </c>
      <c r="K757" s="5">
        <v>84.0</v>
      </c>
      <c r="L757" s="5">
        <v>49.98</v>
      </c>
      <c r="M757" s="5">
        <v>18620.43</v>
      </c>
      <c r="N757" s="5">
        <v>4.44</v>
      </c>
      <c r="O757" s="6">
        <f t="shared" si="1"/>
        <v>49.98</v>
      </c>
      <c r="P757" s="6" t="str">
        <f t="shared" si="2"/>
        <v>Post-Shift</v>
      </c>
      <c r="Q757" s="3">
        <f t="shared" si="3"/>
        <v>25</v>
      </c>
    </row>
    <row r="758">
      <c r="A758" s="4" t="s">
        <v>151</v>
      </c>
      <c r="B758" s="2" t="s">
        <v>18</v>
      </c>
      <c r="C758" s="2" t="s">
        <v>19</v>
      </c>
      <c r="D758" s="2" t="s">
        <v>45</v>
      </c>
      <c r="E758" s="2" t="s">
        <v>21</v>
      </c>
      <c r="F758" s="5">
        <v>88323.0</v>
      </c>
      <c r="G758" s="5">
        <v>3965.0</v>
      </c>
      <c r="H758" s="5">
        <v>0.0449</v>
      </c>
      <c r="I758" s="5">
        <v>2.36</v>
      </c>
      <c r="J758" s="5">
        <v>9357.4</v>
      </c>
      <c r="K758" s="5">
        <v>95.0</v>
      </c>
      <c r="L758" s="5">
        <v>98.5</v>
      </c>
      <c r="M758" s="5">
        <v>8337.4</v>
      </c>
      <c r="N758" s="5">
        <v>0.89</v>
      </c>
      <c r="O758" s="6">
        <f t="shared" si="1"/>
        <v>98.49894737</v>
      </c>
      <c r="P758" s="6" t="str">
        <f t="shared" si="2"/>
        <v>Post-Shift</v>
      </c>
      <c r="Q758" s="3">
        <f t="shared" si="3"/>
        <v>26</v>
      </c>
    </row>
    <row r="759">
      <c r="A759" s="4" t="s">
        <v>208</v>
      </c>
      <c r="B759" s="2" t="s">
        <v>18</v>
      </c>
      <c r="C759" s="2" t="s">
        <v>27</v>
      </c>
      <c r="D759" s="2" t="s">
        <v>29</v>
      </c>
      <c r="E759" s="2" t="s">
        <v>33</v>
      </c>
      <c r="F759" s="5">
        <v>24755.0</v>
      </c>
      <c r="G759" s="5">
        <v>811.0</v>
      </c>
      <c r="H759" s="5">
        <v>0.0328</v>
      </c>
      <c r="I759" s="5">
        <v>2.48</v>
      </c>
      <c r="J759" s="5">
        <v>2011.28</v>
      </c>
      <c r="K759" s="5">
        <v>8.0</v>
      </c>
      <c r="L759" s="5">
        <v>251.41</v>
      </c>
      <c r="M759" s="5">
        <v>1786.84</v>
      </c>
      <c r="N759" s="5">
        <v>0.89</v>
      </c>
      <c r="O759" s="6">
        <f t="shared" si="1"/>
        <v>251.41</v>
      </c>
      <c r="P759" s="6" t="str">
        <f t="shared" si="2"/>
        <v>Post-Shift</v>
      </c>
      <c r="Q759" s="3">
        <f t="shared" si="3"/>
        <v>48</v>
      </c>
    </row>
    <row r="760">
      <c r="A760" s="4">
        <v>45385.0</v>
      </c>
      <c r="B760" s="2" t="s">
        <v>18</v>
      </c>
      <c r="C760" s="2" t="s">
        <v>27</v>
      </c>
      <c r="D760" s="2" t="s">
        <v>45</v>
      </c>
      <c r="E760" s="2" t="s">
        <v>21</v>
      </c>
      <c r="F760" s="5">
        <v>99410.0</v>
      </c>
      <c r="G760" s="5">
        <v>4195.0</v>
      </c>
      <c r="H760" s="5">
        <v>0.0422</v>
      </c>
      <c r="I760" s="5">
        <v>0.83</v>
      </c>
      <c r="J760" s="5">
        <v>3481.85</v>
      </c>
      <c r="K760" s="5">
        <v>196.0</v>
      </c>
      <c r="L760" s="5">
        <v>17.76</v>
      </c>
      <c r="M760" s="5">
        <v>56004.19</v>
      </c>
      <c r="N760" s="5">
        <v>16.08</v>
      </c>
      <c r="O760" s="6">
        <f t="shared" si="1"/>
        <v>17.76454082</v>
      </c>
      <c r="P760" s="6" t="str">
        <f t="shared" si="2"/>
        <v>Baseline</v>
      </c>
      <c r="Q760" s="3">
        <f t="shared" si="3"/>
        <v>10</v>
      </c>
    </row>
    <row r="761">
      <c r="A761" s="4">
        <v>45627.0</v>
      </c>
      <c r="B761" s="2" t="s">
        <v>38</v>
      </c>
      <c r="C761" s="2" t="s">
        <v>27</v>
      </c>
      <c r="D761" s="2" t="s">
        <v>32</v>
      </c>
      <c r="E761" s="2" t="s">
        <v>58</v>
      </c>
      <c r="F761" s="5">
        <v>176250.0</v>
      </c>
      <c r="G761" s="5">
        <v>6204.0</v>
      </c>
      <c r="H761" s="5">
        <v>0.0352</v>
      </c>
      <c r="I761" s="5">
        <v>0.65</v>
      </c>
      <c r="J761" s="5">
        <v>4032.6</v>
      </c>
      <c r="K761" s="5">
        <v>312.0</v>
      </c>
      <c r="L761" s="5">
        <v>12.92</v>
      </c>
      <c r="M761" s="5">
        <v>84311.3</v>
      </c>
      <c r="N761" s="5">
        <v>20.91</v>
      </c>
      <c r="O761" s="6">
        <f t="shared" si="1"/>
        <v>12.925</v>
      </c>
      <c r="P761" s="6" t="str">
        <f t="shared" si="2"/>
        <v>Post-Shift</v>
      </c>
      <c r="Q761" s="3">
        <f t="shared" si="3"/>
        <v>2</v>
      </c>
    </row>
    <row r="762">
      <c r="A762" s="4">
        <v>45383.0</v>
      </c>
      <c r="B762" s="2" t="s">
        <v>38</v>
      </c>
      <c r="C762" s="2" t="s">
        <v>31</v>
      </c>
      <c r="D762" s="2" t="s">
        <v>24</v>
      </c>
      <c r="E762" s="2" t="s">
        <v>25</v>
      </c>
      <c r="F762" s="5">
        <v>184729.0</v>
      </c>
      <c r="G762" s="5">
        <v>2586.0</v>
      </c>
      <c r="H762" s="5">
        <v>0.014</v>
      </c>
      <c r="I762" s="5">
        <v>0.9</v>
      </c>
      <c r="J762" s="5">
        <v>2327.4</v>
      </c>
      <c r="K762" s="5">
        <v>201.0</v>
      </c>
      <c r="L762" s="5">
        <v>11.58</v>
      </c>
      <c r="M762" s="5">
        <v>16864.93</v>
      </c>
      <c r="N762" s="5">
        <v>7.25</v>
      </c>
      <c r="O762" s="6">
        <f t="shared" si="1"/>
        <v>11.57910448</v>
      </c>
      <c r="P762" s="6" t="str">
        <f t="shared" si="2"/>
        <v>Baseline</v>
      </c>
      <c r="Q762" s="3">
        <f t="shared" si="3"/>
        <v>1</v>
      </c>
    </row>
    <row r="763">
      <c r="A763" s="4" t="s">
        <v>182</v>
      </c>
      <c r="B763" s="2" t="s">
        <v>18</v>
      </c>
      <c r="C763" s="2" t="s">
        <v>19</v>
      </c>
      <c r="D763" s="2" t="s">
        <v>29</v>
      </c>
      <c r="E763" s="2" t="s">
        <v>25</v>
      </c>
      <c r="F763" s="5">
        <v>175381.0</v>
      </c>
      <c r="G763" s="5">
        <v>4226.0</v>
      </c>
      <c r="H763" s="5">
        <v>0.0241</v>
      </c>
      <c r="I763" s="5">
        <v>0.91</v>
      </c>
      <c r="J763" s="5">
        <v>3845.66</v>
      </c>
      <c r="K763" s="5">
        <v>204.0</v>
      </c>
      <c r="L763" s="5">
        <v>18.85</v>
      </c>
      <c r="M763" s="5">
        <v>11471.83</v>
      </c>
      <c r="N763" s="5">
        <v>2.98</v>
      </c>
      <c r="O763" s="6">
        <f t="shared" si="1"/>
        <v>18.85127451</v>
      </c>
      <c r="P763" s="6" t="str">
        <f t="shared" si="2"/>
        <v>Post-Shift</v>
      </c>
      <c r="Q763" s="3">
        <f t="shared" si="3"/>
        <v>3</v>
      </c>
    </row>
    <row r="764">
      <c r="A764" s="4" t="s">
        <v>124</v>
      </c>
      <c r="B764" s="2" t="s">
        <v>18</v>
      </c>
      <c r="C764" s="2" t="s">
        <v>27</v>
      </c>
      <c r="D764" s="2" t="s">
        <v>32</v>
      </c>
      <c r="E764" s="2" t="s">
        <v>25</v>
      </c>
      <c r="F764" s="5">
        <v>174741.0</v>
      </c>
      <c r="G764" s="5">
        <v>7129.0</v>
      </c>
      <c r="H764" s="5">
        <v>0.0408</v>
      </c>
      <c r="I764" s="5">
        <v>2.17</v>
      </c>
      <c r="J764" s="5">
        <v>15469.93</v>
      </c>
      <c r="K764" s="5">
        <v>326.0</v>
      </c>
      <c r="L764" s="5">
        <v>47.45</v>
      </c>
      <c r="M764" s="5">
        <v>58786.78</v>
      </c>
      <c r="N764" s="5">
        <v>3.8</v>
      </c>
      <c r="O764" s="6">
        <f t="shared" si="1"/>
        <v>47.45377301</v>
      </c>
      <c r="P764" s="6" t="str">
        <f t="shared" si="2"/>
        <v>Post-Shift</v>
      </c>
      <c r="Q764" s="3">
        <f t="shared" si="3"/>
        <v>44</v>
      </c>
    </row>
    <row r="765">
      <c r="A765" s="4" t="s">
        <v>143</v>
      </c>
      <c r="B765" s="2" t="s">
        <v>38</v>
      </c>
      <c r="C765" s="2" t="s">
        <v>31</v>
      </c>
      <c r="D765" s="2" t="s">
        <v>45</v>
      </c>
      <c r="E765" s="2" t="s">
        <v>33</v>
      </c>
      <c r="F765" s="5">
        <v>62033.0</v>
      </c>
      <c r="G765" s="5">
        <v>2667.0</v>
      </c>
      <c r="H765" s="5">
        <v>0.043</v>
      </c>
      <c r="I765" s="5">
        <v>1.1</v>
      </c>
      <c r="J765" s="5">
        <v>2933.7</v>
      </c>
      <c r="K765" s="5">
        <v>135.0</v>
      </c>
      <c r="L765" s="5">
        <v>21.73</v>
      </c>
      <c r="M765" s="5">
        <v>14288.2</v>
      </c>
      <c r="N765" s="5">
        <v>4.87</v>
      </c>
      <c r="O765" s="6">
        <f t="shared" si="1"/>
        <v>21.73111111</v>
      </c>
      <c r="P765" s="6" t="str">
        <f t="shared" si="2"/>
        <v>Post-Shift</v>
      </c>
      <c r="Q765" s="3">
        <f t="shared" si="3"/>
        <v>3</v>
      </c>
    </row>
    <row r="766">
      <c r="A766" s="4" t="s">
        <v>139</v>
      </c>
      <c r="B766" s="2" t="s">
        <v>23</v>
      </c>
      <c r="C766" s="2" t="s">
        <v>19</v>
      </c>
      <c r="D766" s="2" t="s">
        <v>20</v>
      </c>
      <c r="E766" s="2" t="s">
        <v>36</v>
      </c>
      <c r="F766" s="5">
        <v>6067.0</v>
      </c>
      <c r="G766" s="5">
        <v>201.0</v>
      </c>
      <c r="H766" s="5">
        <v>0.0332</v>
      </c>
      <c r="I766" s="5">
        <v>0.63</v>
      </c>
      <c r="J766" s="5">
        <v>126.63</v>
      </c>
      <c r="K766" s="5">
        <v>12.0</v>
      </c>
      <c r="L766" s="5">
        <v>10.55</v>
      </c>
      <c r="M766" s="5">
        <v>2449.28</v>
      </c>
      <c r="N766" s="5">
        <v>19.34</v>
      </c>
      <c r="O766" s="6">
        <f t="shared" si="1"/>
        <v>10.5525</v>
      </c>
      <c r="P766" s="6" t="str">
        <f t="shared" si="2"/>
        <v>Post-Shift</v>
      </c>
      <c r="Q766" s="3">
        <f t="shared" si="3"/>
        <v>16</v>
      </c>
    </row>
    <row r="767">
      <c r="A767" s="4">
        <v>45449.0</v>
      </c>
      <c r="B767" s="2" t="s">
        <v>18</v>
      </c>
      <c r="C767" s="2" t="s">
        <v>19</v>
      </c>
      <c r="D767" s="2" t="s">
        <v>32</v>
      </c>
      <c r="E767" s="2" t="s">
        <v>21</v>
      </c>
      <c r="F767" s="5">
        <v>187941.0</v>
      </c>
      <c r="G767" s="5">
        <v>9303.0</v>
      </c>
      <c r="H767" s="5">
        <v>0.0495</v>
      </c>
      <c r="I767" s="5">
        <v>2.33</v>
      </c>
      <c r="J767" s="5">
        <v>21675.99</v>
      </c>
      <c r="K767" s="5">
        <v>528.0</v>
      </c>
      <c r="L767" s="5">
        <v>41.05</v>
      </c>
      <c r="M767" s="5">
        <v>92564.99</v>
      </c>
      <c r="N767" s="5">
        <v>4.27</v>
      </c>
      <c r="O767" s="6">
        <f t="shared" si="1"/>
        <v>41.05301136</v>
      </c>
      <c r="P767" s="6" t="str">
        <f t="shared" si="2"/>
        <v>Baseline</v>
      </c>
      <c r="Q767" s="3">
        <f t="shared" si="3"/>
        <v>23</v>
      </c>
    </row>
    <row r="768">
      <c r="A768" s="4" t="s">
        <v>119</v>
      </c>
      <c r="B768" s="2" t="s">
        <v>23</v>
      </c>
      <c r="C768" s="2" t="s">
        <v>31</v>
      </c>
      <c r="D768" s="2" t="s">
        <v>24</v>
      </c>
      <c r="E768" s="2" t="s">
        <v>21</v>
      </c>
      <c r="F768" s="5">
        <v>16094.0</v>
      </c>
      <c r="G768" s="5">
        <v>535.0</v>
      </c>
      <c r="H768" s="5">
        <v>0.0333</v>
      </c>
      <c r="I768" s="5">
        <v>1.81</v>
      </c>
      <c r="J768" s="5">
        <v>968.35</v>
      </c>
      <c r="K768" s="5">
        <v>8.0</v>
      </c>
      <c r="L768" s="5">
        <v>121.04</v>
      </c>
      <c r="M768" s="5">
        <v>469.8</v>
      </c>
      <c r="N768" s="5">
        <v>0.49</v>
      </c>
      <c r="O768" s="6">
        <f t="shared" si="1"/>
        <v>121.04375</v>
      </c>
      <c r="P768" s="6" t="str">
        <f t="shared" si="2"/>
        <v>Post-Shift</v>
      </c>
      <c r="Q768" s="3">
        <f t="shared" si="3"/>
        <v>43</v>
      </c>
    </row>
    <row r="769">
      <c r="A769" s="4" t="s">
        <v>95</v>
      </c>
      <c r="B769" s="2" t="s">
        <v>38</v>
      </c>
      <c r="C769" s="2" t="s">
        <v>41</v>
      </c>
      <c r="D769" s="2" t="s">
        <v>24</v>
      </c>
      <c r="E769" s="2" t="s">
        <v>56</v>
      </c>
      <c r="F769" s="5">
        <v>8599.0</v>
      </c>
      <c r="G769" s="5">
        <v>258.0</v>
      </c>
      <c r="H769" s="5">
        <v>0.0301</v>
      </c>
      <c r="I769" s="5">
        <v>0.65</v>
      </c>
      <c r="J769" s="5">
        <v>167.7</v>
      </c>
      <c r="K769" s="5">
        <v>6.0</v>
      </c>
      <c r="L769" s="5">
        <v>27.95</v>
      </c>
      <c r="M769" s="5">
        <v>594.69</v>
      </c>
      <c r="N769" s="5">
        <v>3.55</v>
      </c>
      <c r="O769" s="6">
        <f t="shared" si="1"/>
        <v>27.95</v>
      </c>
      <c r="P769" s="6" t="str">
        <f t="shared" si="2"/>
        <v>Post-Shift</v>
      </c>
      <c r="Q769" s="3">
        <f t="shared" si="3"/>
        <v>39</v>
      </c>
    </row>
    <row r="770">
      <c r="A770" s="4">
        <v>45474.0</v>
      </c>
      <c r="B770" s="2" t="s">
        <v>18</v>
      </c>
      <c r="C770" s="2" t="s">
        <v>27</v>
      </c>
      <c r="D770" s="2" t="s">
        <v>20</v>
      </c>
      <c r="E770" s="2" t="s">
        <v>21</v>
      </c>
      <c r="F770" s="5">
        <v>32476.0</v>
      </c>
      <c r="G770" s="5">
        <v>1136.0</v>
      </c>
      <c r="H770" s="5">
        <v>0.035</v>
      </c>
      <c r="I770" s="5">
        <v>1.64</v>
      </c>
      <c r="J770" s="5">
        <v>1863.04</v>
      </c>
      <c r="K770" s="5">
        <v>86.0</v>
      </c>
      <c r="L770" s="5">
        <v>21.66</v>
      </c>
      <c r="M770" s="5">
        <v>21754.11</v>
      </c>
      <c r="N770" s="5">
        <v>11.68</v>
      </c>
      <c r="O770" s="6">
        <f t="shared" si="1"/>
        <v>21.66325581</v>
      </c>
      <c r="P770" s="6" t="str">
        <f t="shared" si="2"/>
        <v>Post-Shift</v>
      </c>
      <c r="Q770" s="3">
        <f t="shared" si="3"/>
        <v>2</v>
      </c>
    </row>
    <row r="771">
      <c r="A771" s="4" t="s">
        <v>240</v>
      </c>
      <c r="B771" s="2" t="s">
        <v>18</v>
      </c>
      <c r="C771" s="2" t="s">
        <v>41</v>
      </c>
      <c r="D771" s="2" t="s">
        <v>20</v>
      </c>
      <c r="E771" s="2" t="s">
        <v>36</v>
      </c>
      <c r="F771" s="5">
        <v>64739.0</v>
      </c>
      <c r="G771" s="5">
        <v>1599.0</v>
      </c>
      <c r="H771" s="5">
        <v>0.0247</v>
      </c>
      <c r="I771" s="5">
        <v>3.26</v>
      </c>
      <c r="J771" s="5">
        <v>5212.74</v>
      </c>
      <c r="K771" s="5">
        <v>109.0</v>
      </c>
      <c r="L771" s="5">
        <v>47.82</v>
      </c>
      <c r="M771" s="5">
        <v>22723.24</v>
      </c>
      <c r="N771" s="5">
        <v>4.36</v>
      </c>
      <c r="O771" s="6">
        <f t="shared" si="1"/>
        <v>47.82330275</v>
      </c>
      <c r="P771" s="6" t="str">
        <f t="shared" si="2"/>
        <v>Post-Shift</v>
      </c>
      <c r="Q771" s="3">
        <f t="shared" si="3"/>
        <v>5</v>
      </c>
    </row>
    <row r="772">
      <c r="A772" s="4">
        <v>45448.0</v>
      </c>
      <c r="B772" s="2" t="s">
        <v>18</v>
      </c>
      <c r="C772" s="2" t="s">
        <v>19</v>
      </c>
      <c r="D772" s="2" t="s">
        <v>24</v>
      </c>
      <c r="E772" s="2" t="s">
        <v>25</v>
      </c>
      <c r="F772" s="5">
        <v>51666.0</v>
      </c>
      <c r="G772" s="5">
        <v>2965.0</v>
      </c>
      <c r="H772" s="5">
        <v>0.0574</v>
      </c>
      <c r="I772" s="5">
        <v>2.92</v>
      </c>
      <c r="J772" s="5">
        <v>8657.8</v>
      </c>
      <c r="K772" s="5">
        <v>80.0</v>
      </c>
      <c r="L772" s="5">
        <v>108.22</v>
      </c>
      <c r="M772" s="5">
        <v>16836.59</v>
      </c>
      <c r="N772" s="5">
        <v>1.94</v>
      </c>
      <c r="O772" s="6">
        <f t="shared" si="1"/>
        <v>108.2225</v>
      </c>
      <c r="P772" s="6" t="str">
        <f t="shared" si="2"/>
        <v>Baseline</v>
      </c>
      <c r="Q772" s="3">
        <f t="shared" si="3"/>
        <v>19</v>
      </c>
    </row>
    <row r="773">
      <c r="A773" s="4">
        <v>45362.0</v>
      </c>
      <c r="B773" s="2" t="s">
        <v>38</v>
      </c>
      <c r="C773" s="2" t="s">
        <v>31</v>
      </c>
      <c r="D773" s="2" t="s">
        <v>32</v>
      </c>
      <c r="E773" s="2" t="s">
        <v>56</v>
      </c>
      <c r="F773" s="5">
        <v>39723.0</v>
      </c>
      <c r="G773" s="5">
        <v>1116.0</v>
      </c>
      <c r="H773" s="5">
        <v>0.0281</v>
      </c>
      <c r="I773" s="5">
        <v>0.95</v>
      </c>
      <c r="J773" s="5">
        <v>1060.2</v>
      </c>
      <c r="K773" s="5">
        <v>14.0</v>
      </c>
      <c r="L773" s="5">
        <v>75.73</v>
      </c>
      <c r="M773" s="5">
        <v>582.59</v>
      </c>
      <c r="N773" s="5">
        <v>0.55</v>
      </c>
      <c r="O773" s="6">
        <f t="shared" si="1"/>
        <v>75.72857143</v>
      </c>
      <c r="P773" s="6" t="str">
        <f t="shared" si="2"/>
        <v>Baseline</v>
      </c>
      <c r="Q773" s="3">
        <f t="shared" si="3"/>
        <v>45</v>
      </c>
    </row>
    <row r="774">
      <c r="A774" s="4">
        <v>45638.0</v>
      </c>
      <c r="B774" s="2" t="s">
        <v>23</v>
      </c>
      <c r="C774" s="2" t="s">
        <v>19</v>
      </c>
      <c r="D774" s="2" t="s">
        <v>29</v>
      </c>
      <c r="E774" s="2" t="s">
        <v>36</v>
      </c>
      <c r="F774" s="5">
        <v>163984.0</v>
      </c>
      <c r="G774" s="5">
        <v>12971.0</v>
      </c>
      <c r="H774" s="5">
        <v>0.0791</v>
      </c>
      <c r="I774" s="5">
        <v>1.68</v>
      </c>
      <c r="J774" s="5">
        <v>21791.28</v>
      </c>
      <c r="K774" s="5">
        <v>962.0</v>
      </c>
      <c r="L774" s="5">
        <v>22.65</v>
      </c>
      <c r="M774" s="5">
        <v>170813.7</v>
      </c>
      <c r="N774" s="5">
        <v>7.84</v>
      </c>
      <c r="O774" s="6">
        <f t="shared" si="1"/>
        <v>22.65205821</v>
      </c>
      <c r="P774" s="6" t="str">
        <f t="shared" si="2"/>
        <v>Post-Shift</v>
      </c>
      <c r="Q774" s="3">
        <f t="shared" si="3"/>
        <v>50</v>
      </c>
    </row>
    <row r="775">
      <c r="A775" s="4">
        <v>45566.0</v>
      </c>
      <c r="B775" s="2" t="s">
        <v>38</v>
      </c>
      <c r="C775" s="2" t="s">
        <v>27</v>
      </c>
      <c r="D775" s="2" t="s">
        <v>20</v>
      </c>
      <c r="E775" s="2" t="s">
        <v>58</v>
      </c>
      <c r="F775" s="5">
        <v>51698.0</v>
      </c>
      <c r="G775" s="5">
        <v>1307.0</v>
      </c>
      <c r="H775" s="5">
        <v>0.0253</v>
      </c>
      <c r="I775" s="5">
        <v>1.96</v>
      </c>
      <c r="J775" s="5">
        <v>2561.72</v>
      </c>
      <c r="K775" s="5">
        <v>91.0</v>
      </c>
      <c r="L775" s="5">
        <v>28.15</v>
      </c>
      <c r="M775" s="5">
        <v>15551.2</v>
      </c>
      <c r="N775" s="5">
        <v>6.07</v>
      </c>
      <c r="O775" s="6">
        <f t="shared" si="1"/>
        <v>28.15076923</v>
      </c>
      <c r="P775" s="6" t="str">
        <f t="shared" si="2"/>
        <v>Post-Shift</v>
      </c>
      <c r="Q775" s="3">
        <f t="shared" si="3"/>
        <v>2</v>
      </c>
    </row>
    <row r="776">
      <c r="A776" s="4" t="s">
        <v>241</v>
      </c>
      <c r="B776" s="2" t="s">
        <v>18</v>
      </c>
      <c r="C776" s="2" t="s">
        <v>31</v>
      </c>
      <c r="D776" s="2" t="s">
        <v>32</v>
      </c>
      <c r="E776" s="2" t="s">
        <v>21</v>
      </c>
      <c r="F776" s="5">
        <v>50206.0</v>
      </c>
      <c r="G776" s="5">
        <v>2399.0</v>
      </c>
      <c r="H776" s="5">
        <v>0.0478</v>
      </c>
      <c r="I776" s="5">
        <v>2.02</v>
      </c>
      <c r="J776" s="5">
        <v>4845.98</v>
      </c>
      <c r="K776" s="5">
        <v>163.0</v>
      </c>
      <c r="L776" s="5">
        <v>29.73</v>
      </c>
      <c r="M776" s="5">
        <v>5571.38</v>
      </c>
      <c r="N776" s="5">
        <v>1.15</v>
      </c>
      <c r="O776" s="6">
        <f t="shared" si="1"/>
        <v>29.72993865</v>
      </c>
      <c r="P776" s="6" t="str">
        <f t="shared" si="2"/>
        <v>Post-Shift</v>
      </c>
      <c r="Q776" s="3">
        <f t="shared" si="3"/>
        <v>7</v>
      </c>
    </row>
    <row r="777">
      <c r="A777" s="4">
        <v>45514.0</v>
      </c>
      <c r="B777" s="2" t="s">
        <v>18</v>
      </c>
      <c r="C777" s="2" t="s">
        <v>27</v>
      </c>
      <c r="D777" s="2" t="s">
        <v>20</v>
      </c>
      <c r="E777" s="2" t="s">
        <v>21</v>
      </c>
      <c r="F777" s="5">
        <v>194099.0</v>
      </c>
      <c r="G777" s="5">
        <v>4774.0</v>
      </c>
      <c r="H777" s="5">
        <v>0.0246</v>
      </c>
      <c r="I777" s="5">
        <v>2.49</v>
      </c>
      <c r="J777" s="5">
        <v>11887.26</v>
      </c>
      <c r="K777" s="5">
        <v>134.0</v>
      </c>
      <c r="L777" s="5">
        <v>88.71</v>
      </c>
      <c r="M777" s="5">
        <v>8446.21</v>
      </c>
      <c r="N777" s="5">
        <v>0.71</v>
      </c>
      <c r="O777" s="6">
        <f t="shared" si="1"/>
        <v>88.71089552</v>
      </c>
      <c r="P777" s="6" t="str">
        <f t="shared" si="2"/>
        <v>Post-Shift</v>
      </c>
      <c r="Q777" s="3">
        <f t="shared" si="3"/>
        <v>41</v>
      </c>
    </row>
    <row r="778">
      <c r="A778" s="4" t="s">
        <v>243</v>
      </c>
      <c r="B778" s="2" t="s">
        <v>23</v>
      </c>
      <c r="C778" s="2" t="s">
        <v>27</v>
      </c>
      <c r="D778" s="2" t="s">
        <v>45</v>
      </c>
      <c r="E778" s="2" t="s">
        <v>30</v>
      </c>
      <c r="F778" s="5">
        <v>11820.0</v>
      </c>
      <c r="G778" s="5">
        <v>366.0</v>
      </c>
      <c r="H778" s="5">
        <v>0.031</v>
      </c>
      <c r="I778" s="5">
        <v>1.72</v>
      </c>
      <c r="J778" s="5">
        <v>629.52</v>
      </c>
      <c r="K778" s="5">
        <v>12.0</v>
      </c>
      <c r="L778" s="5">
        <v>52.46</v>
      </c>
      <c r="M778" s="5">
        <v>2301.99</v>
      </c>
      <c r="N778" s="5">
        <v>3.66</v>
      </c>
      <c r="O778" s="6">
        <f t="shared" si="1"/>
        <v>52.46</v>
      </c>
      <c r="P778" s="6" t="str">
        <f t="shared" si="2"/>
        <v>Post-Shift</v>
      </c>
      <c r="Q778" s="3">
        <f t="shared" si="3"/>
        <v>53</v>
      </c>
    </row>
    <row r="779">
      <c r="A779" s="4" t="s">
        <v>155</v>
      </c>
      <c r="B779" s="2" t="s">
        <v>23</v>
      </c>
      <c r="C779" s="2" t="s">
        <v>19</v>
      </c>
      <c r="D779" s="2" t="s">
        <v>32</v>
      </c>
      <c r="E779" s="2" t="s">
        <v>30</v>
      </c>
      <c r="F779" s="5">
        <v>56782.0</v>
      </c>
      <c r="G779" s="5">
        <v>3264.0</v>
      </c>
      <c r="H779" s="5">
        <v>0.0575</v>
      </c>
      <c r="I779" s="5">
        <v>0.8</v>
      </c>
      <c r="J779" s="5">
        <v>2611.2</v>
      </c>
      <c r="K779" s="5">
        <v>154.0</v>
      </c>
      <c r="L779" s="5">
        <v>16.96</v>
      </c>
      <c r="M779" s="5">
        <v>15749.58</v>
      </c>
      <c r="N779" s="5">
        <v>6.03</v>
      </c>
      <c r="O779" s="6">
        <f t="shared" si="1"/>
        <v>16.95584416</v>
      </c>
      <c r="P779" s="6" t="str">
        <f t="shared" si="2"/>
        <v>Post-Shift</v>
      </c>
      <c r="Q779" s="3">
        <f t="shared" si="3"/>
        <v>51</v>
      </c>
    </row>
    <row r="780">
      <c r="A780" s="4" t="s">
        <v>52</v>
      </c>
      <c r="B780" s="2" t="s">
        <v>23</v>
      </c>
      <c r="C780" s="2" t="s">
        <v>27</v>
      </c>
      <c r="D780" s="2" t="s">
        <v>32</v>
      </c>
      <c r="E780" s="2" t="s">
        <v>25</v>
      </c>
      <c r="F780" s="5">
        <v>191894.0</v>
      </c>
      <c r="G780" s="5">
        <v>7138.0</v>
      </c>
      <c r="H780" s="5">
        <v>0.0372</v>
      </c>
      <c r="I780" s="5">
        <v>0.77</v>
      </c>
      <c r="J780" s="5">
        <v>5496.26</v>
      </c>
      <c r="K780" s="5">
        <v>380.0</v>
      </c>
      <c r="L780" s="5">
        <v>14.46</v>
      </c>
      <c r="M780" s="5">
        <v>85112.1</v>
      </c>
      <c r="N780" s="5">
        <v>15.49</v>
      </c>
      <c r="O780" s="6">
        <f t="shared" si="1"/>
        <v>14.46384211</v>
      </c>
      <c r="P780" s="6" t="str">
        <f t="shared" si="2"/>
        <v>Post-Shift</v>
      </c>
      <c r="Q780" s="3">
        <f t="shared" si="3"/>
        <v>33</v>
      </c>
    </row>
    <row r="781">
      <c r="A781" s="4" t="s">
        <v>107</v>
      </c>
      <c r="B781" s="2" t="s">
        <v>18</v>
      </c>
      <c r="C781" s="2" t="s">
        <v>31</v>
      </c>
      <c r="D781" s="2" t="s">
        <v>20</v>
      </c>
      <c r="E781" s="2" t="s">
        <v>25</v>
      </c>
      <c r="F781" s="5">
        <v>55075.0</v>
      </c>
      <c r="G781" s="5">
        <v>3056.0</v>
      </c>
      <c r="H781" s="5">
        <v>0.0555</v>
      </c>
      <c r="I781" s="5">
        <v>2.36</v>
      </c>
      <c r="J781" s="5">
        <v>7212.16</v>
      </c>
      <c r="K781" s="5">
        <v>156.0</v>
      </c>
      <c r="L781" s="5">
        <v>46.23</v>
      </c>
      <c r="M781" s="5">
        <v>5145.31</v>
      </c>
      <c r="N781" s="5">
        <v>0.71</v>
      </c>
      <c r="O781" s="6">
        <f t="shared" si="1"/>
        <v>46.23179487</v>
      </c>
      <c r="P781" s="6" t="str">
        <f t="shared" si="2"/>
        <v>Post-Shift</v>
      </c>
      <c r="Q781" s="3">
        <f t="shared" si="3"/>
        <v>3</v>
      </c>
    </row>
    <row r="782">
      <c r="A782" s="4" t="s">
        <v>176</v>
      </c>
      <c r="B782" s="2" t="s">
        <v>18</v>
      </c>
      <c r="C782" s="2" t="s">
        <v>31</v>
      </c>
      <c r="D782" s="2" t="s">
        <v>24</v>
      </c>
      <c r="E782" s="2" t="s">
        <v>56</v>
      </c>
      <c r="F782" s="5">
        <v>81830.0</v>
      </c>
      <c r="G782" s="5">
        <v>4091.0</v>
      </c>
      <c r="H782" s="5">
        <v>0.05</v>
      </c>
      <c r="I782" s="5">
        <v>1.45</v>
      </c>
      <c r="J782" s="5">
        <v>5931.95</v>
      </c>
      <c r="K782" s="5">
        <v>49.0</v>
      </c>
      <c r="L782" s="5">
        <v>121.06</v>
      </c>
      <c r="M782" s="5">
        <v>7206.83</v>
      </c>
      <c r="N782" s="5">
        <v>1.21</v>
      </c>
      <c r="O782" s="6">
        <f t="shared" si="1"/>
        <v>121.0602041</v>
      </c>
      <c r="P782" s="6" t="str">
        <f t="shared" si="2"/>
        <v>Post-Shift</v>
      </c>
      <c r="Q782" s="3">
        <f t="shared" si="3"/>
        <v>18</v>
      </c>
    </row>
    <row r="783">
      <c r="A783" s="4" t="s">
        <v>244</v>
      </c>
      <c r="B783" s="2" t="s">
        <v>38</v>
      </c>
      <c r="C783" s="2" t="s">
        <v>19</v>
      </c>
      <c r="D783" s="2" t="s">
        <v>24</v>
      </c>
      <c r="E783" s="2" t="s">
        <v>30</v>
      </c>
      <c r="F783" s="5">
        <v>87911.0</v>
      </c>
      <c r="G783" s="5">
        <v>1116.0</v>
      </c>
      <c r="H783" s="5">
        <v>0.0127</v>
      </c>
      <c r="I783" s="5">
        <v>0.48</v>
      </c>
      <c r="J783" s="5">
        <v>535.68</v>
      </c>
      <c r="K783" s="5">
        <v>61.0</v>
      </c>
      <c r="L783" s="5">
        <v>8.78</v>
      </c>
      <c r="M783" s="5">
        <v>16688.84</v>
      </c>
      <c r="N783" s="5">
        <v>31.15</v>
      </c>
      <c r="O783" s="6">
        <f t="shared" si="1"/>
        <v>8.781639344</v>
      </c>
      <c r="P783" s="6" t="str">
        <f t="shared" si="2"/>
        <v>Post-Shift</v>
      </c>
      <c r="Q783" s="3">
        <f t="shared" si="3"/>
        <v>51</v>
      </c>
    </row>
    <row r="784">
      <c r="A784" s="4" t="s">
        <v>123</v>
      </c>
      <c r="B784" s="2" t="s">
        <v>38</v>
      </c>
      <c r="C784" s="2" t="s">
        <v>19</v>
      </c>
      <c r="D784" s="2" t="s">
        <v>32</v>
      </c>
      <c r="E784" s="2" t="s">
        <v>36</v>
      </c>
      <c r="F784" s="5">
        <v>9521.0</v>
      </c>
      <c r="G784" s="5">
        <v>237.0</v>
      </c>
      <c r="H784" s="5">
        <v>0.0249</v>
      </c>
      <c r="I784" s="5">
        <v>1.77</v>
      </c>
      <c r="J784" s="5">
        <v>419.49</v>
      </c>
      <c r="K784" s="5">
        <v>17.0</v>
      </c>
      <c r="L784" s="5">
        <v>24.68</v>
      </c>
      <c r="M784" s="5">
        <v>1502.31</v>
      </c>
      <c r="N784" s="5">
        <v>3.58</v>
      </c>
      <c r="O784" s="6">
        <f t="shared" si="1"/>
        <v>24.67588235</v>
      </c>
      <c r="P784" s="6" t="str">
        <f t="shared" si="2"/>
        <v>Post-Shift</v>
      </c>
      <c r="Q784" s="3">
        <f t="shared" si="3"/>
        <v>38</v>
      </c>
    </row>
    <row r="785">
      <c r="A785" s="4" t="s">
        <v>184</v>
      </c>
      <c r="B785" s="2" t="s">
        <v>23</v>
      </c>
      <c r="C785" s="2" t="s">
        <v>19</v>
      </c>
      <c r="D785" s="2" t="s">
        <v>45</v>
      </c>
      <c r="E785" s="2" t="s">
        <v>25</v>
      </c>
      <c r="F785" s="5">
        <v>88115.0</v>
      </c>
      <c r="G785" s="5">
        <v>5383.0</v>
      </c>
      <c r="H785" s="5">
        <v>0.0611</v>
      </c>
      <c r="I785" s="5">
        <v>0.68</v>
      </c>
      <c r="J785" s="5">
        <v>3660.44</v>
      </c>
      <c r="K785" s="5">
        <v>121.0</v>
      </c>
      <c r="L785" s="5">
        <v>30.25</v>
      </c>
      <c r="M785" s="5">
        <v>28357.39</v>
      </c>
      <c r="N785" s="5">
        <v>7.75</v>
      </c>
      <c r="O785" s="6">
        <f t="shared" si="1"/>
        <v>30.25157025</v>
      </c>
      <c r="P785" s="6" t="str">
        <f t="shared" si="2"/>
        <v>Post-Shift</v>
      </c>
      <c r="Q785" s="3">
        <f t="shared" si="3"/>
        <v>16</v>
      </c>
    </row>
    <row r="786">
      <c r="A786" s="4" t="s">
        <v>91</v>
      </c>
      <c r="B786" s="2" t="s">
        <v>18</v>
      </c>
      <c r="C786" s="2" t="s">
        <v>31</v>
      </c>
      <c r="D786" s="2" t="s">
        <v>45</v>
      </c>
      <c r="E786" s="2" t="s">
        <v>33</v>
      </c>
      <c r="F786" s="5">
        <v>184030.0</v>
      </c>
      <c r="G786" s="5">
        <v>5649.0</v>
      </c>
      <c r="H786" s="5">
        <v>0.0307</v>
      </c>
      <c r="I786" s="5">
        <v>2.23</v>
      </c>
      <c r="J786" s="5">
        <v>12597.27</v>
      </c>
      <c r="K786" s="5">
        <v>90.0</v>
      </c>
      <c r="L786" s="5">
        <v>139.97</v>
      </c>
      <c r="M786" s="5">
        <v>23192.98</v>
      </c>
      <c r="N786" s="5">
        <v>1.84</v>
      </c>
      <c r="O786" s="6">
        <f t="shared" si="1"/>
        <v>139.9696667</v>
      </c>
      <c r="P786" s="6" t="str">
        <f t="shared" si="2"/>
        <v>Post-Shift</v>
      </c>
      <c r="Q786" s="3">
        <f t="shared" si="3"/>
        <v>26</v>
      </c>
    </row>
    <row r="787">
      <c r="A787" s="4" t="s">
        <v>219</v>
      </c>
      <c r="B787" s="2" t="s">
        <v>38</v>
      </c>
      <c r="C787" s="2" t="s">
        <v>27</v>
      </c>
      <c r="D787" s="2" t="s">
        <v>24</v>
      </c>
      <c r="E787" s="2" t="s">
        <v>25</v>
      </c>
      <c r="F787" s="5">
        <v>151729.0</v>
      </c>
      <c r="G787" s="5">
        <v>4491.0</v>
      </c>
      <c r="H787" s="5">
        <v>0.0296</v>
      </c>
      <c r="I787" s="5">
        <v>1.85</v>
      </c>
      <c r="J787" s="5">
        <v>8308.35</v>
      </c>
      <c r="K787" s="5">
        <v>228.0</v>
      </c>
      <c r="L787" s="5">
        <v>36.44</v>
      </c>
      <c r="M787" s="5">
        <v>48165.44</v>
      </c>
      <c r="N787" s="5">
        <v>5.8</v>
      </c>
      <c r="O787" s="6">
        <f t="shared" si="1"/>
        <v>36.44013158</v>
      </c>
      <c r="P787" s="6" t="str">
        <f t="shared" si="2"/>
        <v>Post-Shift</v>
      </c>
      <c r="Q787" s="3">
        <f t="shared" si="3"/>
        <v>34</v>
      </c>
    </row>
    <row r="788">
      <c r="A788" s="4" t="s">
        <v>99</v>
      </c>
      <c r="B788" s="2" t="s">
        <v>23</v>
      </c>
      <c r="C788" s="2" t="s">
        <v>27</v>
      </c>
      <c r="D788" s="2" t="s">
        <v>32</v>
      </c>
      <c r="E788" s="2" t="s">
        <v>56</v>
      </c>
      <c r="F788" s="5">
        <v>68176.0</v>
      </c>
      <c r="G788" s="5">
        <v>2679.0</v>
      </c>
      <c r="H788" s="5">
        <v>0.0393</v>
      </c>
      <c r="I788" s="5">
        <v>1.24</v>
      </c>
      <c r="J788" s="5">
        <v>3321.96</v>
      </c>
      <c r="K788" s="5">
        <v>173.0</v>
      </c>
      <c r="L788" s="5">
        <v>19.2</v>
      </c>
      <c r="M788" s="5">
        <v>19288.91</v>
      </c>
      <c r="N788" s="5">
        <v>5.81</v>
      </c>
      <c r="O788" s="6">
        <f t="shared" si="1"/>
        <v>19.20208092</v>
      </c>
      <c r="P788" s="6" t="str">
        <f t="shared" si="2"/>
        <v>Post-Shift</v>
      </c>
      <c r="Q788" s="3">
        <f t="shared" si="3"/>
        <v>8</v>
      </c>
    </row>
    <row r="789">
      <c r="A789" s="4">
        <v>45636.0</v>
      </c>
      <c r="B789" s="2" t="s">
        <v>38</v>
      </c>
      <c r="C789" s="2" t="s">
        <v>31</v>
      </c>
      <c r="D789" s="2" t="s">
        <v>29</v>
      </c>
      <c r="E789" s="2" t="s">
        <v>21</v>
      </c>
      <c r="F789" s="5">
        <v>160136.0</v>
      </c>
      <c r="G789" s="5">
        <v>6581.0</v>
      </c>
      <c r="H789" s="5">
        <v>0.0411</v>
      </c>
      <c r="I789" s="5">
        <v>0.4</v>
      </c>
      <c r="J789" s="5">
        <v>2632.4</v>
      </c>
      <c r="K789" s="5">
        <v>393.0</v>
      </c>
      <c r="L789" s="5">
        <v>6.7</v>
      </c>
      <c r="M789" s="5">
        <v>81942.57</v>
      </c>
      <c r="N789" s="5">
        <v>31.13</v>
      </c>
      <c r="O789" s="6">
        <f t="shared" si="1"/>
        <v>6.69821883</v>
      </c>
      <c r="P789" s="6" t="str">
        <f t="shared" si="2"/>
        <v>Post-Shift</v>
      </c>
      <c r="Q789" s="3">
        <f t="shared" si="3"/>
        <v>41</v>
      </c>
    </row>
    <row r="790">
      <c r="A790" s="4" t="s">
        <v>44</v>
      </c>
      <c r="B790" s="2" t="s">
        <v>18</v>
      </c>
      <c r="C790" s="2" t="s">
        <v>27</v>
      </c>
      <c r="D790" s="2" t="s">
        <v>29</v>
      </c>
      <c r="E790" s="2" t="s">
        <v>36</v>
      </c>
      <c r="F790" s="5">
        <v>164504.0</v>
      </c>
      <c r="G790" s="5">
        <v>3322.0</v>
      </c>
      <c r="H790" s="5">
        <v>0.0202</v>
      </c>
      <c r="I790" s="5">
        <v>2.07</v>
      </c>
      <c r="J790" s="5">
        <v>6876.54</v>
      </c>
      <c r="K790" s="5">
        <v>96.0</v>
      </c>
      <c r="L790" s="5">
        <v>71.63</v>
      </c>
      <c r="M790" s="5">
        <v>10570.76</v>
      </c>
      <c r="N790" s="5">
        <v>1.54</v>
      </c>
      <c r="O790" s="6">
        <f t="shared" si="1"/>
        <v>71.630625</v>
      </c>
      <c r="P790" s="6" t="str">
        <f t="shared" si="2"/>
        <v>Post-Shift</v>
      </c>
      <c r="Q790" s="3">
        <f t="shared" si="3"/>
        <v>17</v>
      </c>
    </row>
    <row r="791">
      <c r="A791" s="4" t="s">
        <v>245</v>
      </c>
      <c r="B791" s="2" t="s">
        <v>23</v>
      </c>
      <c r="C791" s="2" t="s">
        <v>41</v>
      </c>
      <c r="D791" s="2" t="s">
        <v>29</v>
      </c>
      <c r="E791" s="2" t="s">
        <v>58</v>
      </c>
      <c r="F791" s="5">
        <v>111399.0</v>
      </c>
      <c r="G791" s="5">
        <v>4155.0</v>
      </c>
      <c r="H791" s="5">
        <v>0.0373</v>
      </c>
      <c r="I791" s="5">
        <v>1.22</v>
      </c>
      <c r="J791" s="5">
        <v>5069.1</v>
      </c>
      <c r="K791" s="5">
        <v>176.0</v>
      </c>
      <c r="L791" s="5">
        <v>28.8</v>
      </c>
      <c r="M791" s="5">
        <v>18559.1</v>
      </c>
      <c r="N791" s="5">
        <v>3.66</v>
      </c>
      <c r="O791" s="6">
        <f t="shared" si="1"/>
        <v>28.80170455</v>
      </c>
      <c r="P791" s="6" t="str">
        <f t="shared" si="2"/>
        <v>Post-Shift</v>
      </c>
      <c r="Q791" s="3">
        <f t="shared" si="3"/>
        <v>16</v>
      </c>
    </row>
    <row r="792">
      <c r="A792" s="4" t="s">
        <v>246</v>
      </c>
      <c r="B792" s="2" t="s">
        <v>18</v>
      </c>
      <c r="C792" s="2" t="s">
        <v>19</v>
      </c>
      <c r="D792" s="2" t="s">
        <v>45</v>
      </c>
      <c r="E792" s="2" t="s">
        <v>33</v>
      </c>
      <c r="F792" s="5">
        <v>135011.0</v>
      </c>
      <c r="G792" s="5">
        <v>3496.0</v>
      </c>
      <c r="H792" s="5">
        <v>0.0259</v>
      </c>
      <c r="I792" s="5">
        <v>1.89</v>
      </c>
      <c r="J792" s="5">
        <v>6607.44</v>
      </c>
      <c r="K792" s="5">
        <v>254.0</v>
      </c>
      <c r="L792" s="5">
        <v>26.01</v>
      </c>
      <c r="M792" s="5">
        <v>69461.44</v>
      </c>
      <c r="N792" s="5">
        <v>10.51</v>
      </c>
      <c r="O792" s="6">
        <f t="shared" si="1"/>
        <v>26.01354331</v>
      </c>
      <c r="P792" s="6" t="str">
        <f t="shared" si="2"/>
        <v>Post-Shift</v>
      </c>
      <c r="Q792" s="3">
        <f t="shared" si="3"/>
        <v>31</v>
      </c>
    </row>
    <row r="793">
      <c r="A793" s="4">
        <v>45390.0</v>
      </c>
      <c r="B793" s="2" t="s">
        <v>18</v>
      </c>
      <c r="C793" s="2" t="s">
        <v>41</v>
      </c>
      <c r="D793" s="2" t="s">
        <v>29</v>
      </c>
      <c r="E793" s="2" t="s">
        <v>30</v>
      </c>
      <c r="F793" s="5">
        <v>24359.0</v>
      </c>
      <c r="G793" s="5">
        <v>1461.0</v>
      </c>
      <c r="H793" s="5">
        <v>0.06</v>
      </c>
      <c r="I793" s="5">
        <v>2.34</v>
      </c>
      <c r="J793" s="5">
        <v>3418.74</v>
      </c>
      <c r="K793" s="5">
        <v>35.0</v>
      </c>
      <c r="L793" s="5">
        <v>97.68</v>
      </c>
      <c r="M793" s="5">
        <v>4110.39</v>
      </c>
      <c r="N793" s="5">
        <v>1.2</v>
      </c>
      <c r="O793" s="6">
        <f t="shared" si="1"/>
        <v>97.67828571</v>
      </c>
      <c r="P793" s="6" t="str">
        <f t="shared" si="2"/>
        <v>Baseline</v>
      </c>
      <c r="Q793" s="3">
        <f t="shared" si="3"/>
        <v>32</v>
      </c>
    </row>
    <row r="794">
      <c r="A794" s="4" t="s">
        <v>61</v>
      </c>
      <c r="B794" s="2" t="s">
        <v>38</v>
      </c>
      <c r="C794" s="2" t="s">
        <v>31</v>
      </c>
      <c r="D794" s="2" t="s">
        <v>29</v>
      </c>
      <c r="E794" s="2" t="s">
        <v>25</v>
      </c>
      <c r="F794" s="5">
        <v>130611.0</v>
      </c>
      <c r="G794" s="5">
        <v>2207.0</v>
      </c>
      <c r="H794" s="5">
        <v>0.0169</v>
      </c>
      <c r="I794" s="5">
        <v>0.73</v>
      </c>
      <c r="J794" s="5">
        <v>1611.11</v>
      </c>
      <c r="K794" s="5">
        <v>44.0</v>
      </c>
      <c r="L794" s="5">
        <v>36.62</v>
      </c>
      <c r="M794" s="5">
        <v>9567.41</v>
      </c>
      <c r="N794" s="5">
        <v>5.94</v>
      </c>
      <c r="O794" s="6">
        <f t="shared" si="1"/>
        <v>36.61613636</v>
      </c>
      <c r="P794" s="6" t="str">
        <f t="shared" si="2"/>
        <v>Post-Shift</v>
      </c>
      <c r="Q794" s="3">
        <f t="shared" si="3"/>
        <v>21</v>
      </c>
    </row>
    <row r="795">
      <c r="A795" s="4">
        <v>45363.0</v>
      </c>
      <c r="B795" s="2" t="s">
        <v>23</v>
      </c>
      <c r="C795" s="2" t="s">
        <v>19</v>
      </c>
      <c r="D795" s="2" t="s">
        <v>32</v>
      </c>
      <c r="E795" s="2" t="s">
        <v>25</v>
      </c>
      <c r="F795" s="5">
        <v>156601.0</v>
      </c>
      <c r="G795" s="5">
        <v>8628.0</v>
      </c>
      <c r="H795" s="5">
        <v>0.0551</v>
      </c>
      <c r="I795" s="5">
        <v>0.31</v>
      </c>
      <c r="J795" s="5">
        <v>2674.68</v>
      </c>
      <c r="K795" s="5">
        <v>362.0</v>
      </c>
      <c r="L795" s="5">
        <v>7.39</v>
      </c>
      <c r="M795" s="5">
        <v>23745.71</v>
      </c>
      <c r="N795" s="5">
        <v>8.88</v>
      </c>
      <c r="O795" s="6">
        <f t="shared" si="1"/>
        <v>7.388618785</v>
      </c>
      <c r="P795" s="6" t="str">
        <f t="shared" si="2"/>
        <v>Baseline</v>
      </c>
      <c r="Q795" s="3">
        <f t="shared" si="3"/>
        <v>49</v>
      </c>
    </row>
    <row r="796">
      <c r="A796" s="4" t="s">
        <v>72</v>
      </c>
      <c r="B796" s="2" t="s">
        <v>38</v>
      </c>
      <c r="C796" s="2" t="s">
        <v>19</v>
      </c>
      <c r="D796" s="2" t="s">
        <v>32</v>
      </c>
      <c r="E796" s="2" t="s">
        <v>33</v>
      </c>
      <c r="F796" s="5">
        <v>172967.0</v>
      </c>
      <c r="G796" s="5">
        <v>5016.0</v>
      </c>
      <c r="H796" s="5">
        <v>0.029</v>
      </c>
      <c r="I796" s="5">
        <v>2.08</v>
      </c>
      <c r="J796" s="5">
        <v>10433.28</v>
      </c>
      <c r="K796" s="5">
        <v>331.0</v>
      </c>
      <c r="L796" s="5">
        <v>31.52</v>
      </c>
      <c r="M796" s="5">
        <v>75767.62</v>
      </c>
      <c r="N796" s="5">
        <v>7.26</v>
      </c>
      <c r="O796" s="6">
        <f t="shared" si="1"/>
        <v>31.52048338</v>
      </c>
      <c r="P796" s="6" t="str">
        <f t="shared" si="2"/>
        <v>Post-Shift</v>
      </c>
      <c r="Q796" s="3">
        <f t="shared" si="3"/>
        <v>48</v>
      </c>
    </row>
    <row r="797">
      <c r="A797" s="4" t="s">
        <v>132</v>
      </c>
      <c r="B797" s="2" t="s">
        <v>18</v>
      </c>
      <c r="C797" s="2" t="s">
        <v>31</v>
      </c>
      <c r="D797" s="2" t="s">
        <v>32</v>
      </c>
      <c r="E797" s="2" t="s">
        <v>36</v>
      </c>
      <c r="F797" s="5">
        <v>165104.0</v>
      </c>
      <c r="G797" s="5">
        <v>7958.0</v>
      </c>
      <c r="H797" s="5">
        <v>0.0482</v>
      </c>
      <c r="I797" s="5">
        <v>3.09</v>
      </c>
      <c r="J797" s="5">
        <v>24590.22</v>
      </c>
      <c r="K797" s="5">
        <v>105.0</v>
      </c>
      <c r="L797" s="5">
        <v>234.19</v>
      </c>
      <c r="M797" s="5">
        <v>29946.1</v>
      </c>
      <c r="N797" s="5">
        <v>1.22</v>
      </c>
      <c r="O797" s="6">
        <f t="shared" si="1"/>
        <v>234.1925714</v>
      </c>
      <c r="P797" s="6" t="str">
        <f t="shared" si="2"/>
        <v>Post-Shift</v>
      </c>
      <c r="Q797" s="3">
        <f t="shared" si="3"/>
        <v>15</v>
      </c>
    </row>
    <row r="798">
      <c r="A798" s="4" t="s">
        <v>143</v>
      </c>
      <c r="B798" s="2" t="s">
        <v>18</v>
      </c>
      <c r="C798" s="2" t="s">
        <v>27</v>
      </c>
      <c r="D798" s="2" t="s">
        <v>20</v>
      </c>
      <c r="E798" s="2" t="s">
        <v>36</v>
      </c>
      <c r="F798" s="5">
        <v>49109.0</v>
      </c>
      <c r="G798" s="5">
        <v>1203.0</v>
      </c>
      <c r="H798" s="5">
        <v>0.0245</v>
      </c>
      <c r="I798" s="5">
        <v>3.26</v>
      </c>
      <c r="J798" s="5">
        <v>3921.78</v>
      </c>
      <c r="K798" s="5">
        <v>25.0</v>
      </c>
      <c r="L798" s="5">
        <v>156.87</v>
      </c>
      <c r="M798" s="5">
        <v>4734.61</v>
      </c>
      <c r="N798" s="5">
        <v>1.21</v>
      </c>
      <c r="O798" s="6">
        <f t="shared" si="1"/>
        <v>156.8712</v>
      </c>
      <c r="P798" s="6" t="str">
        <f t="shared" si="2"/>
        <v>Post-Shift</v>
      </c>
      <c r="Q798" s="3">
        <f t="shared" si="3"/>
        <v>3</v>
      </c>
    </row>
    <row r="799">
      <c r="A799" s="4" t="s">
        <v>54</v>
      </c>
      <c r="B799" s="2" t="s">
        <v>38</v>
      </c>
      <c r="C799" s="2" t="s">
        <v>31</v>
      </c>
      <c r="D799" s="2" t="s">
        <v>32</v>
      </c>
      <c r="E799" s="2" t="s">
        <v>25</v>
      </c>
      <c r="F799" s="5">
        <v>46291.0</v>
      </c>
      <c r="G799" s="5">
        <v>1976.0</v>
      </c>
      <c r="H799" s="5">
        <v>0.0427</v>
      </c>
      <c r="I799" s="5">
        <v>0.73</v>
      </c>
      <c r="J799" s="5">
        <v>1442.48</v>
      </c>
      <c r="K799" s="5">
        <v>74.0</v>
      </c>
      <c r="L799" s="5">
        <v>19.49</v>
      </c>
      <c r="M799" s="5">
        <v>2307.39</v>
      </c>
      <c r="N799" s="5">
        <v>1.6</v>
      </c>
      <c r="O799" s="6">
        <f t="shared" si="1"/>
        <v>19.49297297</v>
      </c>
      <c r="P799" s="6" t="str">
        <f t="shared" si="2"/>
        <v>Post-Shift</v>
      </c>
      <c r="Q799" s="3">
        <f t="shared" si="3"/>
        <v>52</v>
      </c>
    </row>
    <row r="800">
      <c r="A800" s="4">
        <v>45330.0</v>
      </c>
      <c r="B800" s="2" t="s">
        <v>18</v>
      </c>
      <c r="C800" s="2" t="s">
        <v>27</v>
      </c>
      <c r="D800" s="2" t="s">
        <v>20</v>
      </c>
      <c r="E800" s="2" t="s">
        <v>33</v>
      </c>
      <c r="F800" s="5">
        <v>33750.0</v>
      </c>
      <c r="G800" s="5">
        <v>1410.0</v>
      </c>
      <c r="H800" s="5">
        <v>0.0418</v>
      </c>
      <c r="I800" s="5">
        <v>1.91</v>
      </c>
      <c r="J800" s="5">
        <v>2693.1</v>
      </c>
      <c r="K800" s="5">
        <v>106.0</v>
      </c>
      <c r="L800" s="5">
        <v>25.41</v>
      </c>
      <c r="M800" s="5">
        <v>5682.79</v>
      </c>
      <c r="N800" s="5">
        <v>2.11</v>
      </c>
      <c r="O800" s="6">
        <f t="shared" si="1"/>
        <v>25.40660377</v>
      </c>
      <c r="P800" s="6" t="str">
        <f t="shared" si="2"/>
        <v>Baseline</v>
      </c>
      <c r="Q800" s="3">
        <f t="shared" si="3"/>
        <v>31</v>
      </c>
    </row>
    <row r="801">
      <c r="A801" s="4" t="s">
        <v>122</v>
      </c>
      <c r="B801" s="2" t="s">
        <v>38</v>
      </c>
      <c r="C801" s="2" t="s">
        <v>19</v>
      </c>
      <c r="D801" s="2" t="s">
        <v>29</v>
      </c>
      <c r="E801" s="2" t="s">
        <v>30</v>
      </c>
      <c r="F801" s="5">
        <v>177593.0</v>
      </c>
      <c r="G801" s="5">
        <v>1811.0</v>
      </c>
      <c r="H801" s="5">
        <v>0.0102</v>
      </c>
      <c r="I801" s="5">
        <v>0.79</v>
      </c>
      <c r="J801" s="5">
        <v>1430.69</v>
      </c>
      <c r="K801" s="5">
        <v>128.0</v>
      </c>
      <c r="L801" s="5">
        <v>11.18</v>
      </c>
      <c r="M801" s="5">
        <v>17092.48</v>
      </c>
      <c r="N801" s="5">
        <v>11.95</v>
      </c>
      <c r="O801" s="6">
        <f t="shared" si="1"/>
        <v>11.17726563</v>
      </c>
      <c r="P801" s="6" t="str">
        <f t="shared" si="2"/>
        <v>Post-Shift</v>
      </c>
      <c r="Q801" s="3">
        <f t="shared" si="3"/>
        <v>4</v>
      </c>
    </row>
    <row r="802">
      <c r="A802" s="4" t="s">
        <v>201</v>
      </c>
      <c r="B802" s="2" t="s">
        <v>18</v>
      </c>
      <c r="C802" s="2" t="s">
        <v>41</v>
      </c>
      <c r="D802" s="2" t="s">
        <v>32</v>
      </c>
      <c r="E802" s="2" t="s">
        <v>56</v>
      </c>
      <c r="F802" s="5">
        <v>150465.0</v>
      </c>
      <c r="G802" s="5">
        <v>5311.0</v>
      </c>
      <c r="H802" s="5">
        <v>0.0353</v>
      </c>
      <c r="I802" s="5">
        <v>3.13</v>
      </c>
      <c r="J802" s="5">
        <v>16623.43</v>
      </c>
      <c r="K802" s="5">
        <v>295.0</v>
      </c>
      <c r="L802" s="5">
        <v>56.35</v>
      </c>
      <c r="M802" s="5">
        <v>57602.12</v>
      </c>
      <c r="N802" s="5">
        <v>3.47</v>
      </c>
      <c r="O802" s="6">
        <f t="shared" si="1"/>
        <v>56.35061017</v>
      </c>
      <c r="P802" s="6" t="str">
        <f t="shared" si="2"/>
        <v>Post-Shift</v>
      </c>
      <c r="Q802" s="3">
        <f t="shared" si="3"/>
        <v>12</v>
      </c>
    </row>
    <row r="803">
      <c r="A803" s="4">
        <v>45516.0</v>
      </c>
      <c r="B803" s="2" t="s">
        <v>23</v>
      </c>
      <c r="C803" s="2" t="s">
        <v>31</v>
      </c>
      <c r="D803" s="2" t="s">
        <v>32</v>
      </c>
      <c r="E803" s="2" t="s">
        <v>36</v>
      </c>
      <c r="F803" s="5">
        <v>25860.0</v>
      </c>
      <c r="G803" s="5">
        <v>1569.0</v>
      </c>
      <c r="H803" s="5">
        <v>0.0607</v>
      </c>
      <c r="I803" s="5">
        <v>1.08</v>
      </c>
      <c r="J803" s="5">
        <v>1694.52</v>
      </c>
      <c r="K803" s="5">
        <v>79.0</v>
      </c>
      <c r="L803" s="5">
        <v>21.45</v>
      </c>
      <c r="M803" s="5">
        <v>13162.62</v>
      </c>
      <c r="N803" s="5">
        <v>7.77</v>
      </c>
      <c r="O803" s="6">
        <f t="shared" si="1"/>
        <v>21.44962025</v>
      </c>
      <c r="P803" s="6" t="str">
        <f t="shared" si="2"/>
        <v>Post-Shift</v>
      </c>
      <c r="Q803" s="3">
        <f t="shared" si="3"/>
        <v>50</v>
      </c>
    </row>
    <row r="804">
      <c r="A804" s="4" t="s">
        <v>168</v>
      </c>
      <c r="B804" s="2" t="s">
        <v>18</v>
      </c>
      <c r="C804" s="2" t="s">
        <v>41</v>
      </c>
      <c r="D804" s="2" t="s">
        <v>32</v>
      </c>
      <c r="E804" s="2" t="s">
        <v>33</v>
      </c>
      <c r="F804" s="5">
        <v>41375.0</v>
      </c>
      <c r="G804" s="5">
        <v>2350.0</v>
      </c>
      <c r="H804" s="5">
        <v>0.0568</v>
      </c>
      <c r="I804" s="5">
        <v>2.2</v>
      </c>
      <c r="J804" s="5">
        <v>5170.0</v>
      </c>
      <c r="K804" s="5">
        <v>148.0</v>
      </c>
      <c r="L804" s="5">
        <v>34.93</v>
      </c>
      <c r="M804" s="5">
        <v>14702.27</v>
      </c>
      <c r="N804" s="5">
        <v>2.84</v>
      </c>
      <c r="O804" s="6">
        <f t="shared" si="1"/>
        <v>34.93243243</v>
      </c>
      <c r="P804" s="6" t="str">
        <f t="shared" si="2"/>
        <v>Post-Shift</v>
      </c>
      <c r="Q804" s="3">
        <f t="shared" si="3"/>
        <v>33</v>
      </c>
    </row>
    <row r="805">
      <c r="A805" s="4" t="s">
        <v>176</v>
      </c>
      <c r="B805" s="2" t="s">
        <v>38</v>
      </c>
      <c r="C805" s="2" t="s">
        <v>41</v>
      </c>
      <c r="D805" s="2" t="s">
        <v>32</v>
      </c>
      <c r="E805" s="2" t="s">
        <v>21</v>
      </c>
      <c r="F805" s="5">
        <v>26159.0</v>
      </c>
      <c r="G805" s="5">
        <v>782.0</v>
      </c>
      <c r="H805" s="5">
        <v>0.0299</v>
      </c>
      <c r="I805" s="5">
        <v>1.51</v>
      </c>
      <c r="J805" s="5">
        <v>1180.82</v>
      </c>
      <c r="K805" s="5">
        <v>52.0</v>
      </c>
      <c r="L805" s="5">
        <v>22.71</v>
      </c>
      <c r="M805" s="5">
        <v>8689.29</v>
      </c>
      <c r="N805" s="5">
        <v>7.36</v>
      </c>
      <c r="O805" s="6">
        <f t="shared" si="1"/>
        <v>22.70807692</v>
      </c>
      <c r="P805" s="6" t="str">
        <f t="shared" si="2"/>
        <v>Post-Shift</v>
      </c>
      <c r="Q805" s="3">
        <f t="shared" si="3"/>
        <v>18</v>
      </c>
    </row>
    <row r="806">
      <c r="A806" s="4">
        <v>45445.0</v>
      </c>
      <c r="B806" s="2" t="s">
        <v>38</v>
      </c>
      <c r="C806" s="2" t="s">
        <v>41</v>
      </c>
      <c r="D806" s="2" t="s">
        <v>24</v>
      </c>
      <c r="E806" s="2" t="s">
        <v>56</v>
      </c>
      <c r="F806" s="5">
        <v>184541.0</v>
      </c>
      <c r="G806" s="5">
        <v>3063.0</v>
      </c>
      <c r="H806" s="5">
        <v>0.0166</v>
      </c>
      <c r="I806" s="5">
        <v>1.72</v>
      </c>
      <c r="J806" s="5">
        <v>5268.36</v>
      </c>
      <c r="K806" s="5">
        <v>215.0</v>
      </c>
      <c r="L806" s="5">
        <v>24.5</v>
      </c>
      <c r="M806" s="5">
        <v>16566.88</v>
      </c>
      <c r="N806" s="5">
        <v>3.14</v>
      </c>
      <c r="O806" s="6">
        <f t="shared" si="1"/>
        <v>24.504</v>
      </c>
      <c r="P806" s="6" t="str">
        <f t="shared" si="2"/>
        <v>Baseline</v>
      </c>
      <c r="Q806" s="3">
        <f t="shared" si="3"/>
        <v>6</v>
      </c>
    </row>
    <row r="807">
      <c r="A807" s="4" t="s">
        <v>164</v>
      </c>
      <c r="B807" s="2" t="s">
        <v>38</v>
      </c>
      <c r="C807" s="2" t="s">
        <v>27</v>
      </c>
      <c r="D807" s="2" t="s">
        <v>45</v>
      </c>
      <c r="E807" s="2" t="s">
        <v>21</v>
      </c>
      <c r="F807" s="5">
        <v>196373.0</v>
      </c>
      <c r="G807" s="5">
        <v>5184.0</v>
      </c>
      <c r="H807" s="5">
        <v>0.0264</v>
      </c>
      <c r="I807" s="5">
        <v>0.86</v>
      </c>
      <c r="J807" s="5">
        <v>4458.24</v>
      </c>
      <c r="K807" s="5">
        <v>173.0</v>
      </c>
      <c r="L807" s="5">
        <v>25.77</v>
      </c>
      <c r="M807" s="5">
        <v>36583.06</v>
      </c>
      <c r="N807" s="5">
        <v>8.21</v>
      </c>
      <c r="O807" s="6">
        <f t="shared" si="1"/>
        <v>25.77017341</v>
      </c>
      <c r="P807" s="6" t="str">
        <f t="shared" si="2"/>
        <v>Post-Shift</v>
      </c>
      <c r="Q807" s="3">
        <f t="shared" si="3"/>
        <v>35</v>
      </c>
    </row>
    <row r="808">
      <c r="A808" s="4">
        <v>45566.0</v>
      </c>
      <c r="B808" s="2" t="s">
        <v>18</v>
      </c>
      <c r="C808" s="2" t="s">
        <v>27</v>
      </c>
      <c r="D808" s="2" t="s">
        <v>29</v>
      </c>
      <c r="E808" s="2" t="s">
        <v>58</v>
      </c>
      <c r="F808" s="5">
        <v>131031.0</v>
      </c>
      <c r="G808" s="5">
        <v>6092.0</v>
      </c>
      <c r="H808" s="5">
        <v>0.0465</v>
      </c>
      <c r="I808" s="5">
        <v>2.94</v>
      </c>
      <c r="J808" s="5">
        <v>17910.48</v>
      </c>
      <c r="K808" s="5">
        <v>482.0</v>
      </c>
      <c r="L808" s="5">
        <v>37.16</v>
      </c>
      <c r="M808" s="5">
        <v>116432.0</v>
      </c>
      <c r="N808" s="5">
        <v>6.5</v>
      </c>
      <c r="O808" s="6">
        <f t="shared" si="1"/>
        <v>37.1586722</v>
      </c>
      <c r="P808" s="6" t="str">
        <f t="shared" si="2"/>
        <v>Post-Shift</v>
      </c>
      <c r="Q808" s="3">
        <f t="shared" si="3"/>
        <v>2</v>
      </c>
    </row>
    <row r="809">
      <c r="A809" s="4" t="s">
        <v>203</v>
      </c>
      <c r="B809" s="2" t="s">
        <v>38</v>
      </c>
      <c r="C809" s="2" t="s">
        <v>19</v>
      </c>
      <c r="D809" s="2" t="s">
        <v>24</v>
      </c>
      <c r="E809" s="2" t="s">
        <v>33</v>
      </c>
      <c r="F809" s="5">
        <v>113269.0</v>
      </c>
      <c r="G809" s="5">
        <v>3182.0</v>
      </c>
      <c r="H809" s="5">
        <v>0.0281</v>
      </c>
      <c r="I809" s="5">
        <v>1.53</v>
      </c>
      <c r="J809" s="5">
        <v>4868.46</v>
      </c>
      <c r="K809" s="5">
        <v>185.0</v>
      </c>
      <c r="L809" s="5">
        <v>26.32</v>
      </c>
      <c r="M809" s="5">
        <v>53909.5</v>
      </c>
      <c r="N809" s="5">
        <v>11.07</v>
      </c>
      <c r="O809" s="6">
        <f t="shared" si="1"/>
        <v>26.316</v>
      </c>
      <c r="P809" s="6" t="str">
        <f t="shared" si="2"/>
        <v>Post-Shift</v>
      </c>
      <c r="Q809" s="3">
        <f t="shared" si="3"/>
        <v>3</v>
      </c>
    </row>
    <row r="810">
      <c r="A810" s="4" t="s">
        <v>175</v>
      </c>
      <c r="B810" s="2" t="s">
        <v>23</v>
      </c>
      <c r="C810" s="2" t="s">
        <v>27</v>
      </c>
      <c r="D810" s="2" t="s">
        <v>32</v>
      </c>
      <c r="E810" s="2" t="s">
        <v>30</v>
      </c>
      <c r="F810" s="5">
        <v>92346.0</v>
      </c>
      <c r="G810" s="5">
        <v>6815.0</v>
      </c>
      <c r="H810" s="5">
        <v>0.0738</v>
      </c>
      <c r="I810" s="5">
        <v>0.82</v>
      </c>
      <c r="J810" s="5">
        <v>5588.3</v>
      </c>
      <c r="K810" s="5">
        <v>469.0</v>
      </c>
      <c r="L810" s="5">
        <v>11.92</v>
      </c>
      <c r="M810" s="5">
        <v>125930.9</v>
      </c>
      <c r="N810" s="5">
        <v>22.53</v>
      </c>
      <c r="O810" s="6">
        <f t="shared" si="1"/>
        <v>11.91535181</v>
      </c>
      <c r="P810" s="6" t="str">
        <f t="shared" si="2"/>
        <v>Post-Shift</v>
      </c>
      <c r="Q810" s="3">
        <f t="shared" si="3"/>
        <v>48</v>
      </c>
    </row>
    <row r="811">
      <c r="A811" s="4">
        <v>45422.0</v>
      </c>
      <c r="B811" s="2" t="s">
        <v>18</v>
      </c>
      <c r="C811" s="2" t="s">
        <v>19</v>
      </c>
      <c r="D811" s="2" t="s">
        <v>20</v>
      </c>
      <c r="E811" s="2" t="s">
        <v>58</v>
      </c>
      <c r="F811" s="5">
        <v>143241.0</v>
      </c>
      <c r="G811" s="5">
        <v>7133.0</v>
      </c>
      <c r="H811" s="5">
        <v>0.0498</v>
      </c>
      <c r="I811" s="5">
        <v>2.06</v>
      </c>
      <c r="J811" s="5">
        <v>14693.98</v>
      </c>
      <c r="K811" s="5">
        <v>272.0</v>
      </c>
      <c r="L811" s="5">
        <v>54.02</v>
      </c>
      <c r="M811" s="5">
        <v>60208.51</v>
      </c>
      <c r="N811" s="5">
        <v>4.1</v>
      </c>
      <c r="O811" s="6">
        <f t="shared" si="1"/>
        <v>54.02198529</v>
      </c>
      <c r="P811" s="6" t="str">
        <f t="shared" si="2"/>
        <v>Baseline</v>
      </c>
      <c r="Q811" s="3">
        <f t="shared" si="3"/>
        <v>40</v>
      </c>
    </row>
    <row r="812">
      <c r="A812" s="4">
        <v>45603.0</v>
      </c>
      <c r="B812" s="2" t="s">
        <v>38</v>
      </c>
      <c r="C812" s="2" t="s">
        <v>27</v>
      </c>
      <c r="D812" s="2" t="s">
        <v>32</v>
      </c>
      <c r="E812" s="2" t="s">
        <v>25</v>
      </c>
      <c r="F812" s="5">
        <v>194137.0</v>
      </c>
      <c r="G812" s="5">
        <v>2640.0</v>
      </c>
      <c r="H812" s="5">
        <v>0.0136</v>
      </c>
      <c r="I812" s="5">
        <v>2.41</v>
      </c>
      <c r="J812" s="5">
        <v>6362.4</v>
      </c>
      <c r="K812" s="5">
        <v>49.0</v>
      </c>
      <c r="L812" s="5">
        <v>129.84</v>
      </c>
      <c r="M812" s="5">
        <v>6668.85</v>
      </c>
      <c r="N812" s="5">
        <v>1.05</v>
      </c>
      <c r="O812" s="6">
        <f t="shared" si="1"/>
        <v>129.844898</v>
      </c>
      <c r="P812" s="6" t="str">
        <f t="shared" si="2"/>
        <v>Post-Shift</v>
      </c>
      <c r="Q812" s="3">
        <f t="shared" si="3"/>
        <v>28</v>
      </c>
    </row>
    <row r="813">
      <c r="A813" s="4" t="s">
        <v>234</v>
      </c>
      <c r="B813" s="2" t="s">
        <v>23</v>
      </c>
      <c r="C813" s="2" t="s">
        <v>31</v>
      </c>
      <c r="D813" s="2" t="s">
        <v>24</v>
      </c>
      <c r="E813" s="2" t="s">
        <v>25</v>
      </c>
      <c r="F813" s="5">
        <v>79967.0</v>
      </c>
      <c r="G813" s="5">
        <v>2327.0</v>
      </c>
      <c r="H813" s="5">
        <v>0.0291</v>
      </c>
      <c r="I813" s="5">
        <v>1.05</v>
      </c>
      <c r="J813" s="5">
        <v>2443.35</v>
      </c>
      <c r="K813" s="5">
        <v>43.0</v>
      </c>
      <c r="L813" s="5">
        <v>56.82</v>
      </c>
      <c r="M813" s="5">
        <v>11334.87</v>
      </c>
      <c r="N813" s="5">
        <v>4.64</v>
      </c>
      <c r="O813" s="6">
        <f t="shared" si="1"/>
        <v>56.82209302</v>
      </c>
      <c r="P813" s="6" t="str">
        <f t="shared" si="2"/>
        <v>Post-Shift</v>
      </c>
      <c r="Q813" s="3">
        <f t="shared" si="3"/>
        <v>4</v>
      </c>
    </row>
    <row r="814">
      <c r="A814" s="4" t="s">
        <v>164</v>
      </c>
      <c r="B814" s="2" t="s">
        <v>38</v>
      </c>
      <c r="C814" s="2" t="s">
        <v>27</v>
      </c>
      <c r="D814" s="2" t="s">
        <v>45</v>
      </c>
      <c r="E814" s="2" t="s">
        <v>21</v>
      </c>
      <c r="F814" s="5">
        <v>60919.0</v>
      </c>
      <c r="G814" s="5">
        <v>1851.0</v>
      </c>
      <c r="H814" s="5">
        <v>0.0304</v>
      </c>
      <c r="I814" s="5">
        <v>1.79</v>
      </c>
      <c r="J814" s="5">
        <v>3313.29</v>
      </c>
      <c r="K814" s="5">
        <v>131.0</v>
      </c>
      <c r="L814" s="5">
        <v>25.29</v>
      </c>
      <c r="M814" s="5">
        <v>19210.72</v>
      </c>
      <c r="N814" s="5">
        <v>5.8</v>
      </c>
      <c r="O814" s="6">
        <f t="shared" si="1"/>
        <v>25.29229008</v>
      </c>
      <c r="P814" s="6" t="str">
        <f t="shared" si="2"/>
        <v>Post-Shift</v>
      </c>
      <c r="Q814" s="3">
        <f t="shared" si="3"/>
        <v>35</v>
      </c>
    </row>
    <row r="815">
      <c r="A815" s="4" t="s">
        <v>95</v>
      </c>
      <c r="B815" s="2" t="s">
        <v>23</v>
      </c>
      <c r="C815" s="2" t="s">
        <v>19</v>
      </c>
      <c r="D815" s="2" t="s">
        <v>32</v>
      </c>
      <c r="E815" s="2" t="s">
        <v>36</v>
      </c>
      <c r="F815" s="5">
        <v>40886.0</v>
      </c>
      <c r="G815" s="5">
        <v>1782.0</v>
      </c>
      <c r="H815" s="5">
        <v>0.0436</v>
      </c>
      <c r="I815" s="5">
        <v>0.55</v>
      </c>
      <c r="J815" s="5">
        <v>980.1</v>
      </c>
      <c r="K815" s="5">
        <v>132.0</v>
      </c>
      <c r="L815" s="5">
        <v>7.42</v>
      </c>
      <c r="M815" s="5">
        <v>28189.38</v>
      </c>
      <c r="N815" s="5">
        <v>28.76</v>
      </c>
      <c r="O815" s="6">
        <f t="shared" si="1"/>
        <v>7.425</v>
      </c>
      <c r="P815" s="6" t="str">
        <f t="shared" si="2"/>
        <v>Post-Shift</v>
      </c>
      <c r="Q815" s="3">
        <f t="shared" si="3"/>
        <v>39</v>
      </c>
    </row>
    <row r="816">
      <c r="A816" s="4" t="s">
        <v>191</v>
      </c>
      <c r="B816" s="2" t="s">
        <v>23</v>
      </c>
      <c r="C816" s="2" t="s">
        <v>31</v>
      </c>
      <c r="D816" s="2" t="s">
        <v>32</v>
      </c>
      <c r="E816" s="2" t="s">
        <v>56</v>
      </c>
      <c r="F816" s="5">
        <v>37646.0</v>
      </c>
      <c r="G816" s="5">
        <v>1874.0</v>
      </c>
      <c r="H816" s="5">
        <v>0.0498</v>
      </c>
      <c r="I816" s="5">
        <v>1.1</v>
      </c>
      <c r="J816" s="5">
        <v>2061.4</v>
      </c>
      <c r="K816" s="5">
        <v>144.0</v>
      </c>
      <c r="L816" s="5">
        <v>14.32</v>
      </c>
      <c r="M816" s="5">
        <v>16795.87</v>
      </c>
      <c r="N816" s="5">
        <v>8.15</v>
      </c>
      <c r="O816" s="6">
        <f t="shared" si="1"/>
        <v>14.31527778</v>
      </c>
      <c r="P816" s="6" t="str">
        <f t="shared" si="2"/>
        <v>Post-Shift</v>
      </c>
      <c r="Q816" s="3">
        <f t="shared" si="3"/>
        <v>13</v>
      </c>
    </row>
    <row r="817">
      <c r="A817" s="4" t="s">
        <v>238</v>
      </c>
      <c r="B817" s="2" t="s">
        <v>38</v>
      </c>
      <c r="C817" s="2" t="s">
        <v>19</v>
      </c>
      <c r="D817" s="2" t="s">
        <v>24</v>
      </c>
      <c r="E817" s="2" t="s">
        <v>33</v>
      </c>
      <c r="F817" s="5">
        <v>117529.0</v>
      </c>
      <c r="G817" s="5">
        <v>4266.0</v>
      </c>
      <c r="H817" s="5">
        <v>0.0363</v>
      </c>
      <c r="I817" s="5">
        <v>1.03</v>
      </c>
      <c r="J817" s="5">
        <v>4393.98</v>
      </c>
      <c r="K817" s="5">
        <v>308.0</v>
      </c>
      <c r="L817" s="5">
        <v>14.27</v>
      </c>
      <c r="M817" s="5">
        <v>62119.33</v>
      </c>
      <c r="N817" s="5">
        <v>14.14</v>
      </c>
      <c r="O817" s="6">
        <f t="shared" si="1"/>
        <v>14.26616883</v>
      </c>
      <c r="P817" s="6" t="str">
        <f t="shared" si="2"/>
        <v>Post-Shift</v>
      </c>
      <c r="Q817" s="3">
        <f t="shared" si="3"/>
        <v>11</v>
      </c>
    </row>
    <row r="818">
      <c r="A818" s="4" t="s">
        <v>81</v>
      </c>
      <c r="B818" s="2" t="s">
        <v>23</v>
      </c>
      <c r="C818" s="2" t="s">
        <v>27</v>
      </c>
      <c r="D818" s="2" t="s">
        <v>20</v>
      </c>
      <c r="E818" s="2" t="s">
        <v>56</v>
      </c>
      <c r="F818" s="5">
        <v>150250.0</v>
      </c>
      <c r="G818" s="5">
        <v>7196.0</v>
      </c>
      <c r="H818" s="5">
        <v>0.0479</v>
      </c>
      <c r="I818" s="5">
        <v>0.67</v>
      </c>
      <c r="J818" s="5">
        <v>4821.32</v>
      </c>
      <c r="K818" s="5">
        <v>534.0</v>
      </c>
      <c r="L818" s="5">
        <v>9.03</v>
      </c>
      <c r="M818" s="5">
        <v>36153.63</v>
      </c>
      <c r="N818" s="5">
        <v>7.5</v>
      </c>
      <c r="O818" s="6">
        <f t="shared" si="1"/>
        <v>9.028689139</v>
      </c>
      <c r="P818" s="6" t="str">
        <f t="shared" si="2"/>
        <v>Post-Shift</v>
      </c>
      <c r="Q818" s="3">
        <f t="shared" si="3"/>
        <v>22</v>
      </c>
    </row>
    <row r="819">
      <c r="A819" s="4" t="s">
        <v>181</v>
      </c>
      <c r="B819" s="2" t="s">
        <v>38</v>
      </c>
      <c r="C819" s="2" t="s">
        <v>27</v>
      </c>
      <c r="D819" s="2" t="s">
        <v>45</v>
      </c>
      <c r="E819" s="2" t="s">
        <v>33</v>
      </c>
      <c r="F819" s="5">
        <v>196929.0</v>
      </c>
      <c r="G819" s="5">
        <v>2382.0</v>
      </c>
      <c r="H819" s="5">
        <v>0.0121</v>
      </c>
      <c r="I819" s="5">
        <v>1.3</v>
      </c>
      <c r="J819" s="5">
        <v>3096.6</v>
      </c>
      <c r="K819" s="5">
        <v>143.0</v>
      </c>
      <c r="L819" s="5">
        <v>21.65</v>
      </c>
      <c r="M819" s="5">
        <v>38447.59</v>
      </c>
      <c r="N819" s="5">
        <v>12.42</v>
      </c>
      <c r="O819" s="6">
        <f t="shared" si="1"/>
        <v>21.65454545</v>
      </c>
      <c r="P819" s="6" t="str">
        <f t="shared" si="2"/>
        <v>Post-Shift</v>
      </c>
      <c r="Q819" s="3">
        <f t="shared" si="3"/>
        <v>22</v>
      </c>
    </row>
    <row r="820">
      <c r="A820" s="4" t="s">
        <v>166</v>
      </c>
      <c r="B820" s="2" t="s">
        <v>18</v>
      </c>
      <c r="C820" s="2" t="s">
        <v>19</v>
      </c>
      <c r="D820" s="2" t="s">
        <v>29</v>
      </c>
      <c r="E820" s="2" t="s">
        <v>33</v>
      </c>
      <c r="F820" s="5">
        <v>91491.0</v>
      </c>
      <c r="G820" s="5">
        <v>4053.0</v>
      </c>
      <c r="H820" s="5">
        <v>0.0443</v>
      </c>
      <c r="I820" s="5">
        <v>1.74</v>
      </c>
      <c r="J820" s="5">
        <v>7052.22</v>
      </c>
      <c r="K820" s="5">
        <v>140.0</v>
      </c>
      <c r="L820" s="5">
        <v>50.37</v>
      </c>
      <c r="M820" s="5">
        <v>19432.37</v>
      </c>
      <c r="N820" s="5">
        <v>2.76</v>
      </c>
      <c r="O820" s="6">
        <f t="shared" si="1"/>
        <v>50.373</v>
      </c>
      <c r="P820" s="6" t="str">
        <f t="shared" si="2"/>
        <v>Post-Shift</v>
      </c>
      <c r="Q820" s="3">
        <f t="shared" si="3"/>
        <v>43</v>
      </c>
    </row>
    <row r="821">
      <c r="A821" s="4">
        <v>45394.0</v>
      </c>
      <c r="B821" s="2" t="s">
        <v>18</v>
      </c>
      <c r="C821" s="2" t="s">
        <v>27</v>
      </c>
      <c r="D821" s="2" t="s">
        <v>45</v>
      </c>
      <c r="E821" s="2" t="s">
        <v>25</v>
      </c>
      <c r="F821" s="5">
        <v>154741.0</v>
      </c>
      <c r="G821" s="5">
        <v>6019.0</v>
      </c>
      <c r="H821" s="5">
        <v>0.0389</v>
      </c>
      <c r="I821" s="5">
        <v>1.04</v>
      </c>
      <c r="J821" s="5">
        <v>6259.76</v>
      </c>
      <c r="K821" s="5">
        <v>220.0</v>
      </c>
      <c r="L821" s="5">
        <v>28.45</v>
      </c>
      <c r="M821" s="5">
        <v>38586.7</v>
      </c>
      <c r="N821" s="5">
        <v>6.16</v>
      </c>
      <c r="O821" s="6">
        <f t="shared" si="1"/>
        <v>28.45345455</v>
      </c>
      <c r="P821" s="6" t="str">
        <f t="shared" si="2"/>
        <v>Baseline</v>
      </c>
      <c r="Q821" s="3">
        <f t="shared" si="3"/>
        <v>49</v>
      </c>
    </row>
    <row r="822">
      <c r="A822" s="4" t="s">
        <v>140</v>
      </c>
      <c r="B822" s="2" t="s">
        <v>23</v>
      </c>
      <c r="C822" s="2" t="s">
        <v>41</v>
      </c>
      <c r="D822" s="2" t="s">
        <v>45</v>
      </c>
      <c r="E822" s="2" t="s">
        <v>56</v>
      </c>
      <c r="F822" s="5">
        <v>72963.0</v>
      </c>
      <c r="G822" s="5">
        <v>5618.0</v>
      </c>
      <c r="H822" s="5">
        <v>0.077</v>
      </c>
      <c r="I822" s="5">
        <v>0.48</v>
      </c>
      <c r="J822" s="5">
        <v>2696.64</v>
      </c>
      <c r="K822" s="5">
        <v>412.0</v>
      </c>
      <c r="L822" s="5">
        <v>6.55</v>
      </c>
      <c r="M822" s="5">
        <v>16464.01</v>
      </c>
      <c r="N822" s="5">
        <v>6.11</v>
      </c>
      <c r="O822" s="6">
        <f t="shared" si="1"/>
        <v>6.545242718</v>
      </c>
      <c r="P822" s="6" t="str">
        <f t="shared" si="2"/>
        <v>Post-Shift</v>
      </c>
      <c r="Q822" s="3">
        <f t="shared" si="3"/>
        <v>44</v>
      </c>
    </row>
    <row r="823">
      <c r="A823" s="4" t="s">
        <v>123</v>
      </c>
      <c r="B823" s="2" t="s">
        <v>18</v>
      </c>
      <c r="C823" s="2" t="s">
        <v>27</v>
      </c>
      <c r="D823" s="2" t="s">
        <v>20</v>
      </c>
      <c r="E823" s="2" t="s">
        <v>30</v>
      </c>
      <c r="F823" s="5">
        <v>194281.0</v>
      </c>
      <c r="G823" s="5">
        <v>5906.0</v>
      </c>
      <c r="H823" s="5">
        <v>0.0304</v>
      </c>
      <c r="I823" s="5">
        <v>2.5</v>
      </c>
      <c r="J823" s="5">
        <v>14765.0</v>
      </c>
      <c r="K823" s="5">
        <v>371.0</v>
      </c>
      <c r="L823" s="5">
        <v>39.8</v>
      </c>
      <c r="M823" s="5">
        <v>20958.57</v>
      </c>
      <c r="N823" s="5">
        <v>1.42</v>
      </c>
      <c r="O823" s="6">
        <f t="shared" si="1"/>
        <v>39.79784367</v>
      </c>
      <c r="P823" s="6" t="str">
        <f t="shared" si="2"/>
        <v>Post-Shift</v>
      </c>
      <c r="Q823" s="3">
        <f t="shared" si="3"/>
        <v>38</v>
      </c>
    </row>
    <row r="824">
      <c r="A824" s="4" t="s">
        <v>83</v>
      </c>
      <c r="B824" s="2" t="s">
        <v>38</v>
      </c>
      <c r="C824" s="2" t="s">
        <v>41</v>
      </c>
      <c r="D824" s="2" t="s">
        <v>45</v>
      </c>
      <c r="E824" s="2" t="s">
        <v>21</v>
      </c>
      <c r="F824" s="5">
        <v>92844.0</v>
      </c>
      <c r="G824" s="5">
        <v>3277.0</v>
      </c>
      <c r="H824" s="5">
        <v>0.0353</v>
      </c>
      <c r="I824" s="5">
        <v>1.81</v>
      </c>
      <c r="J824" s="5">
        <v>5931.37</v>
      </c>
      <c r="K824" s="5">
        <v>63.0</v>
      </c>
      <c r="L824" s="5">
        <v>94.15</v>
      </c>
      <c r="M824" s="5">
        <v>10318.61</v>
      </c>
      <c r="N824" s="5">
        <v>1.74</v>
      </c>
      <c r="O824" s="6">
        <f t="shared" si="1"/>
        <v>94.14873016</v>
      </c>
      <c r="P824" s="6" t="str">
        <f t="shared" si="2"/>
        <v>Post-Shift</v>
      </c>
      <c r="Q824" s="3">
        <f t="shared" si="3"/>
        <v>39</v>
      </c>
    </row>
    <row r="825">
      <c r="A825" s="4">
        <v>45601.0</v>
      </c>
      <c r="B825" s="2" t="s">
        <v>18</v>
      </c>
      <c r="C825" s="2" t="s">
        <v>27</v>
      </c>
      <c r="D825" s="2" t="s">
        <v>32</v>
      </c>
      <c r="E825" s="2" t="s">
        <v>21</v>
      </c>
      <c r="F825" s="5">
        <v>132441.0</v>
      </c>
      <c r="G825" s="5">
        <v>2436.0</v>
      </c>
      <c r="H825" s="5">
        <v>0.0184</v>
      </c>
      <c r="I825" s="5">
        <v>2.09</v>
      </c>
      <c r="J825" s="5">
        <v>5091.24</v>
      </c>
      <c r="K825" s="5">
        <v>135.0</v>
      </c>
      <c r="L825" s="5">
        <v>37.71</v>
      </c>
      <c r="M825" s="5">
        <v>8958.33</v>
      </c>
      <c r="N825" s="5">
        <v>1.76</v>
      </c>
      <c r="O825" s="6">
        <f t="shared" si="1"/>
        <v>37.71288889</v>
      </c>
      <c r="P825" s="6" t="str">
        <f t="shared" si="2"/>
        <v>Post-Shift</v>
      </c>
      <c r="Q825" s="3">
        <f t="shared" si="3"/>
        <v>19</v>
      </c>
    </row>
    <row r="826">
      <c r="A826" s="4">
        <v>45514.0</v>
      </c>
      <c r="B826" s="2" t="s">
        <v>38</v>
      </c>
      <c r="C826" s="2" t="s">
        <v>19</v>
      </c>
      <c r="D826" s="2" t="s">
        <v>24</v>
      </c>
      <c r="E826" s="2" t="s">
        <v>33</v>
      </c>
      <c r="F826" s="5">
        <v>110977.0</v>
      </c>
      <c r="G826" s="5">
        <v>2829.0</v>
      </c>
      <c r="H826" s="5">
        <v>0.0255</v>
      </c>
      <c r="I826" s="5">
        <v>0.66</v>
      </c>
      <c r="J826" s="5">
        <v>1867.14</v>
      </c>
      <c r="K826" s="5">
        <v>48.0</v>
      </c>
      <c r="L826" s="5">
        <v>38.9</v>
      </c>
      <c r="M826" s="5">
        <v>10643.48</v>
      </c>
      <c r="N826" s="5">
        <v>5.7</v>
      </c>
      <c r="O826" s="6">
        <f t="shared" si="1"/>
        <v>38.89875</v>
      </c>
      <c r="P826" s="6" t="str">
        <f t="shared" si="2"/>
        <v>Post-Shift</v>
      </c>
      <c r="Q826" s="3">
        <f t="shared" si="3"/>
        <v>41</v>
      </c>
    </row>
    <row r="827">
      <c r="A827" s="4" t="s">
        <v>68</v>
      </c>
      <c r="B827" s="2" t="s">
        <v>18</v>
      </c>
      <c r="C827" s="2" t="s">
        <v>19</v>
      </c>
      <c r="D827" s="2" t="s">
        <v>29</v>
      </c>
      <c r="E827" s="2" t="s">
        <v>21</v>
      </c>
      <c r="F827" s="5">
        <v>50076.0</v>
      </c>
      <c r="G827" s="5">
        <v>2964.0</v>
      </c>
      <c r="H827" s="5">
        <v>0.0592</v>
      </c>
      <c r="I827" s="5">
        <v>3.4</v>
      </c>
      <c r="J827" s="5">
        <v>10077.6</v>
      </c>
      <c r="K827" s="5">
        <v>94.0</v>
      </c>
      <c r="L827" s="5">
        <v>107.21</v>
      </c>
      <c r="M827" s="5">
        <v>28058.66</v>
      </c>
      <c r="N827" s="5">
        <v>2.78</v>
      </c>
      <c r="O827" s="6">
        <f t="shared" si="1"/>
        <v>107.2085106</v>
      </c>
      <c r="P827" s="6" t="str">
        <f t="shared" si="2"/>
        <v>Post-Shift</v>
      </c>
      <c r="Q827" s="3">
        <f t="shared" si="3"/>
        <v>40</v>
      </c>
    </row>
    <row r="828">
      <c r="A828" s="4" t="s">
        <v>247</v>
      </c>
      <c r="B828" s="2" t="s">
        <v>18</v>
      </c>
      <c r="C828" s="2" t="s">
        <v>19</v>
      </c>
      <c r="D828" s="2" t="s">
        <v>32</v>
      </c>
      <c r="E828" s="2" t="s">
        <v>58</v>
      </c>
      <c r="F828" s="5">
        <v>180590.0</v>
      </c>
      <c r="G828" s="5">
        <v>4857.0</v>
      </c>
      <c r="H828" s="5">
        <v>0.0269</v>
      </c>
      <c r="I828" s="5">
        <v>1.51</v>
      </c>
      <c r="J828" s="5">
        <v>7334.07</v>
      </c>
      <c r="K828" s="5">
        <v>333.0</v>
      </c>
      <c r="L828" s="5">
        <v>22.02</v>
      </c>
      <c r="M828" s="5">
        <v>91782.77</v>
      </c>
      <c r="N828" s="5">
        <v>12.51</v>
      </c>
      <c r="O828" s="6">
        <f t="shared" si="1"/>
        <v>22.02423423</v>
      </c>
      <c r="P828" s="6" t="str">
        <f t="shared" si="2"/>
        <v>Post-Shift</v>
      </c>
      <c r="Q828" s="3">
        <f t="shared" si="3"/>
        <v>44</v>
      </c>
    </row>
    <row r="829">
      <c r="A829" s="4" t="s">
        <v>194</v>
      </c>
      <c r="B829" s="2" t="s">
        <v>38</v>
      </c>
      <c r="C829" s="2" t="s">
        <v>19</v>
      </c>
      <c r="D829" s="2" t="s">
        <v>20</v>
      </c>
      <c r="E829" s="2" t="s">
        <v>21</v>
      </c>
      <c r="F829" s="5">
        <v>153530.0</v>
      </c>
      <c r="G829" s="5">
        <v>3899.0</v>
      </c>
      <c r="H829" s="5">
        <v>0.0254</v>
      </c>
      <c r="I829" s="5">
        <v>2.31</v>
      </c>
      <c r="J829" s="5">
        <v>9006.69</v>
      </c>
      <c r="K829" s="5">
        <v>302.0</v>
      </c>
      <c r="L829" s="5">
        <v>29.82</v>
      </c>
      <c r="M829" s="5">
        <v>21392.38</v>
      </c>
      <c r="N829" s="5">
        <v>2.38</v>
      </c>
      <c r="O829" s="6">
        <f t="shared" si="1"/>
        <v>29.82347682</v>
      </c>
      <c r="P829" s="6" t="str">
        <f t="shared" si="2"/>
        <v>Post-Shift</v>
      </c>
      <c r="Q829" s="3">
        <f t="shared" si="3"/>
        <v>25</v>
      </c>
    </row>
    <row r="830">
      <c r="A830" s="4">
        <v>45413.0</v>
      </c>
      <c r="B830" s="2" t="s">
        <v>18</v>
      </c>
      <c r="C830" s="2" t="s">
        <v>27</v>
      </c>
      <c r="D830" s="2" t="s">
        <v>32</v>
      </c>
      <c r="E830" s="2" t="s">
        <v>56</v>
      </c>
      <c r="F830" s="5">
        <v>135223.0</v>
      </c>
      <c r="G830" s="5">
        <v>3285.0</v>
      </c>
      <c r="H830" s="5">
        <v>0.0243</v>
      </c>
      <c r="I830" s="5">
        <v>3.02</v>
      </c>
      <c r="J830" s="5">
        <v>9920.7</v>
      </c>
      <c r="K830" s="5">
        <v>201.0</v>
      </c>
      <c r="L830" s="5">
        <v>49.36</v>
      </c>
      <c r="M830" s="5">
        <v>46154.22</v>
      </c>
      <c r="N830" s="5">
        <v>4.65</v>
      </c>
      <c r="O830" s="6">
        <f t="shared" si="1"/>
        <v>49.35671642</v>
      </c>
      <c r="P830" s="6" t="str">
        <f t="shared" si="2"/>
        <v>Baseline</v>
      </c>
      <c r="Q830" s="3">
        <f t="shared" si="3"/>
        <v>1</v>
      </c>
    </row>
    <row r="831">
      <c r="A831" s="4" t="s">
        <v>55</v>
      </c>
      <c r="B831" s="2" t="s">
        <v>38</v>
      </c>
      <c r="C831" s="2" t="s">
        <v>41</v>
      </c>
      <c r="D831" s="2" t="s">
        <v>24</v>
      </c>
      <c r="E831" s="2" t="s">
        <v>30</v>
      </c>
      <c r="F831" s="5">
        <v>108152.0</v>
      </c>
      <c r="G831" s="5">
        <v>4250.0</v>
      </c>
      <c r="H831" s="5">
        <v>0.0393</v>
      </c>
      <c r="I831" s="5">
        <v>0.72</v>
      </c>
      <c r="J831" s="5">
        <v>3060.0</v>
      </c>
      <c r="K831" s="5">
        <v>160.0</v>
      </c>
      <c r="L831" s="5">
        <v>19.12</v>
      </c>
      <c r="M831" s="5">
        <v>12452.25</v>
      </c>
      <c r="N831" s="5">
        <v>4.07</v>
      </c>
      <c r="O831" s="6">
        <f t="shared" si="1"/>
        <v>19.125</v>
      </c>
      <c r="P831" s="6" t="str">
        <f t="shared" si="2"/>
        <v>Post-Shift</v>
      </c>
      <c r="Q831" s="3">
        <f t="shared" si="3"/>
        <v>53</v>
      </c>
    </row>
    <row r="832">
      <c r="A832" s="4">
        <v>45354.0</v>
      </c>
      <c r="B832" s="2" t="s">
        <v>18</v>
      </c>
      <c r="C832" s="2" t="s">
        <v>27</v>
      </c>
      <c r="D832" s="2" t="s">
        <v>29</v>
      </c>
      <c r="E832" s="2" t="s">
        <v>33</v>
      </c>
      <c r="F832" s="5">
        <v>76442.0</v>
      </c>
      <c r="G832" s="5">
        <v>2392.0</v>
      </c>
      <c r="H832" s="5">
        <v>0.0313</v>
      </c>
      <c r="I832" s="5">
        <v>1.64</v>
      </c>
      <c r="J832" s="5">
        <v>3922.88</v>
      </c>
      <c r="K832" s="5">
        <v>160.0</v>
      </c>
      <c r="L832" s="5">
        <v>24.52</v>
      </c>
      <c r="M832" s="5">
        <v>14390.19</v>
      </c>
      <c r="N832" s="5">
        <v>3.67</v>
      </c>
      <c r="O832" s="6">
        <f t="shared" si="1"/>
        <v>24.518</v>
      </c>
      <c r="P832" s="6" t="str">
        <f t="shared" si="2"/>
        <v>Baseline</v>
      </c>
      <c r="Q832" s="3">
        <f t="shared" si="3"/>
        <v>10</v>
      </c>
    </row>
    <row r="833">
      <c r="A833" s="4">
        <v>45637.0</v>
      </c>
      <c r="B833" s="2" t="s">
        <v>18</v>
      </c>
      <c r="C833" s="2" t="s">
        <v>27</v>
      </c>
      <c r="D833" s="2" t="s">
        <v>24</v>
      </c>
      <c r="E833" s="2" t="s">
        <v>33</v>
      </c>
      <c r="F833" s="5">
        <v>57335.0</v>
      </c>
      <c r="G833" s="5">
        <v>1869.0</v>
      </c>
      <c r="H833" s="5">
        <v>0.0326</v>
      </c>
      <c r="I833" s="5">
        <v>2.75</v>
      </c>
      <c r="J833" s="5">
        <v>5139.75</v>
      </c>
      <c r="K833" s="5">
        <v>133.0</v>
      </c>
      <c r="L833" s="5">
        <v>38.64</v>
      </c>
      <c r="M833" s="5">
        <v>11136.73</v>
      </c>
      <c r="N833" s="5">
        <v>2.17</v>
      </c>
      <c r="O833" s="6">
        <f t="shared" si="1"/>
        <v>38.64473684</v>
      </c>
      <c r="P833" s="6" t="str">
        <f t="shared" si="2"/>
        <v>Post-Shift</v>
      </c>
      <c r="Q833" s="3">
        <f t="shared" si="3"/>
        <v>46</v>
      </c>
    </row>
    <row r="834">
      <c r="A834" s="4" t="s">
        <v>121</v>
      </c>
      <c r="B834" s="2" t="s">
        <v>23</v>
      </c>
      <c r="C834" s="2" t="s">
        <v>41</v>
      </c>
      <c r="D834" s="2" t="s">
        <v>32</v>
      </c>
      <c r="E834" s="2" t="s">
        <v>25</v>
      </c>
      <c r="F834" s="5">
        <v>82661.0</v>
      </c>
      <c r="G834" s="5">
        <v>4769.0</v>
      </c>
      <c r="H834" s="5">
        <v>0.0577</v>
      </c>
      <c r="I834" s="5">
        <v>1.33</v>
      </c>
      <c r="J834" s="5">
        <v>6342.77</v>
      </c>
      <c r="K834" s="5">
        <v>271.0</v>
      </c>
      <c r="L834" s="5">
        <v>23.41</v>
      </c>
      <c r="M834" s="5">
        <v>79985.87</v>
      </c>
      <c r="N834" s="5">
        <v>12.61</v>
      </c>
      <c r="O834" s="6">
        <f t="shared" si="1"/>
        <v>23.40505535</v>
      </c>
      <c r="P834" s="6" t="str">
        <f t="shared" si="2"/>
        <v>Post-Shift</v>
      </c>
      <c r="Q834" s="3">
        <f t="shared" si="3"/>
        <v>48</v>
      </c>
    </row>
    <row r="835">
      <c r="A835" s="4" t="s">
        <v>235</v>
      </c>
      <c r="B835" s="2" t="s">
        <v>18</v>
      </c>
      <c r="C835" s="2" t="s">
        <v>31</v>
      </c>
      <c r="D835" s="2" t="s">
        <v>20</v>
      </c>
      <c r="E835" s="2" t="s">
        <v>56</v>
      </c>
      <c r="F835" s="5">
        <v>72902.0</v>
      </c>
      <c r="G835" s="5">
        <v>4942.0</v>
      </c>
      <c r="H835" s="5">
        <v>0.0678</v>
      </c>
      <c r="I835" s="5">
        <v>3.3</v>
      </c>
      <c r="J835" s="5">
        <v>16308.6</v>
      </c>
      <c r="K835" s="5">
        <v>323.0</v>
      </c>
      <c r="L835" s="5">
        <v>50.49</v>
      </c>
      <c r="M835" s="5">
        <v>33499.38</v>
      </c>
      <c r="N835" s="5">
        <v>2.05</v>
      </c>
      <c r="O835" s="6">
        <f t="shared" si="1"/>
        <v>50.49102167</v>
      </c>
      <c r="P835" s="6" t="str">
        <f t="shared" si="2"/>
        <v>Post-Shift</v>
      </c>
      <c r="Q835" s="3">
        <f t="shared" si="3"/>
        <v>18</v>
      </c>
    </row>
    <row r="836">
      <c r="A836" s="4">
        <v>45293.0</v>
      </c>
      <c r="B836" s="2" t="s">
        <v>38</v>
      </c>
      <c r="C836" s="2" t="s">
        <v>19</v>
      </c>
      <c r="D836" s="2" t="s">
        <v>45</v>
      </c>
      <c r="E836" s="2" t="s">
        <v>25</v>
      </c>
      <c r="F836" s="5">
        <v>63528.0</v>
      </c>
      <c r="G836" s="5">
        <v>711.0</v>
      </c>
      <c r="H836" s="5">
        <v>0.0112</v>
      </c>
      <c r="I836" s="5">
        <v>1.49</v>
      </c>
      <c r="J836" s="5">
        <v>1059.39</v>
      </c>
      <c r="K836" s="5">
        <v>23.0</v>
      </c>
      <c r="L836" s="5">
        <v>46.06</v>
      </c>
      <c r="M836" s="5">
        <v>4567.68</v>
      </c>
      <c r="N836" s="5">
        <v>4.31</v>
      </c>
      <c r="O836" s="6">
        <f t="shared" si="1"/>
        <v>46.06043478</v>
      </c>
      <c r="P836" s="6" t="str">
        <f t="shared" si="2"/>
        <v>Baseline</v>
      </c>
      <c r="Q836" s="3">
        <f t="shared" si="3"/>
        <v>5</v>
      </c>
    </row>
    <row r="837">
      <c r="A837" s="4" t="s">
        <v>248</v>
      </c>
      <c r="B837" s="2" t="s">
        <v>23</v>
      </c>
      <c r="C837" s="2" t="s">
        <v>31</v>
      </c>
      <c r="D837" s="2" t="s">
        <v>20</v>
      </c>
      <c r="E837" s="2" t="s">
        <v>30</v>
      </c>
      <c r="F837" s="5">
        <v>169238.0</v>
      </c>
      <c r="G837" s="5">
        <v>6583.0</v>
      </c>
      <c r="H837" s="5">
        <v>0.0389</v>
      </c>
      <c r="I837" s="5">
        <v>0.53</v>
      </c>
      <c r="J837" s="5">
        <v>3488.99</v>
      </c>
      <c r="K837" s="5">
        <v>507.0</v>
      </c>
      <c r="L837" s="5">
        <v>6.88</v>
      </c>
      <c r="M837" s="5">
        <v>146453.9</v>
      </c>
      <c r="N837" s="5">
        <v>41.98</v>
      </c>
      <c r="O837" s="6">
        <f t="shared" si="1"/>
        <v>6.881637081</v>
      </c>
      <c r="P837" s="6" t="str">
        <f t="shared" si="2"/>
        <v>Post-Shift</v>
      </c>
      <c r="Q837" s="3">
        <f t="shared" si="3"/>
        <v>51</v>
      </c>
    </row>
    <row r="838">
      <c r="A838" s="4">
        <v>45455.0</v>
      </c>
      <c r="B838" s="2" t="s">
        <v>38</v>
      </c>
      <c r="C838" s="2" t="s">
        <v>41</v>
      </c>
      <c r="D838" s="2" t="s">
        <v>32</v>
      </c>
      <c r="E838" s="2" t="s">
        <v>36</v>
      </c>
      <c r="F838" s="5">
        <v>14815.0</v>
      </c>
      <c r="G838" s="5">
        <v>189.0</v>
      </c>
      <c r="H838" s="5">
        <v>0.0128</v>
      </c>
      <c r="I838" s="5">
        <v>0.55</v>
      </c>
      <c r="J838" s="5">
        <v>103.95</v>
      </c>
      <c r="K838" s="5">
        <v>3.0</v>
      </c>
      <c r="L838" s="5">
        <v>34.65</v>
      </c>
      <c r="M838" s="5">
        <v>142.69</v>
      </c>
      <c r="N838" s="5">
        <v>1.37</v>
      </c>
      <c r="O838" s="6">
        <f t="shared" si="1"/>
        <v>34.65</v>
      </c>
      <c r="P838" s="6" t="str">
        <f t="shared" si="2"/>
        <v>Baseline</v>
      </c>
      <c r="Q838" s="3">
        <f t="shared" si="3"/>
        <v>49</v>
      </c>
    </row>
    <row r="839">
      <c r="A839" s="4" t="s">
        <v>219</v>
      </c>
      <c r="B839" s="2" t="s">
        <v>23</v>
      </c>
      <c r="C839" s="2" t="s">
        <v>19</v>
      </c>
      <c r="D839" s="2" t="s">
        <v>29</v>
      </c>
      <c r="E839" s="2" t="s">
        <v>33</v>
      </c>
      <c r="F839" s="5">
        <v>47278.0</v>
      </c>
      <c r="G839" s="5">
        <v>2803.0</v>
      </c>
      <c r="H839" s="5">
        <v>0.0593</v>
      </c>
      <c r="I839" s="5">
        <v>1.69</v>
      </c>
      <c r="J839" s="5">
        <v>4737.07</v>
      </c>
      <c r="K839" s="5">
        <v>201.0</v>
      </c>
      <c r="L839" s="5">
        <v>23.57</v>
      </c>
      <c r="M839" s="5">
        <v>39448.18</v>
      </c>
      <c r="N839" s="5">
        <v>8.33</v>
      </c>
      <c r="O839" s="6">
        <f t="shared" si="1"/>
        <v>23.56751244</v>
      </c>
      <c r="P839" s="6" t="str">
        <f t="shared" si="2"/>
        <v>Post-Shift</v>
      </c>
      <c r="Q839" s="3">
        <f t="shared" si="3"/>
        <v>34</v>
      </c>
    </row>
    <row r="840">
      <c r="A840" s="4" t="s">
        <v>111</v>
      </c>
      <c r="B840" s="2" t="s">
        <v>18</v>
      </c>
      <c r="C840" s="2" t="s">
        <v>27</v>
      </c>
      <c r="D840" s="2" t="s">
        <v>20</v>
      </c>
      <c r="E840" s="2" t="s">
        <v>21</v>
      </c>
      <c r="F840" s="5">
        <v>15046.0</v>
      </c>
      <c r="G840" s="5">
        <v>400.0</v>
      </c>
      <c r="H840" s="5">
        <v>0.0266</v>
      </c>
      <c r="I840" s="5">
        <v>1.18</v>
      </c>
      <c r="J840" s="5">
        <v>472.0</v>
      </c>
      <c r="K840" s="5">
        <v>4.0</v>
      </c>
      <c r="L840" s="5">
        <v>118.0</v>
      </c>
      <c r="M840" s="5">
        <v>142.71</v>
      </c>
      <c r="N840" s="5">
        <v>0.3</v>
      </c>
      <c r="O840" s="6">
        <f t="shared" si="1"/>
        <v>118</v>
      </c>
      <c r="P840" s="6" t="str">
        <f t="shared" si="2"/>
        <v>Post-Shift</v>
      </c>
      <c r="Q840" s="3">
        <f t="shared" si="3"/>
        <v>7</v>
      </c>
    </row>
    <row r="841">
      <c r="A841" s="4">
        <v>45390.0</v>
      </c>
      <c r="B841" s="2" t="s">
        <v>38</v>
      </c>
      <c r="C841" s="2" t="s">
        <v>31</v>
      </c>
      <c r="D841" s="2" t="s">
        <v>32</v>
      </c>
      <c r="E841" s="2" t="s">
        <v>36</v>
      </c>
      <c r="F841" s="5">
        <v>58968.0</v>
      </c>
      <c r="G841" s="5">
        <v>1715.0</v>
      </c>
      <c r="H841" s="5">
        <v>0.0291</v>
      </c>
      <c r="I841" s="5">
        <v>1.49</v>
      </c>
      <c r="J841" s="5">
        <v>2555.35</v>
      </c>
      <c r="K841" s="5">
        <v>127.0</v>
      </c>
      <c r="L841" s="5">
        <v>20.12</v>
      </c>
      <c r="M841" s="5">
        <v>13332.87</v>
      </c>
      <c r="N841" s="5">
        <v>5.22</v>
      </c>
      <c r="O841" s="6">
        <f t="shared" si="1"/>
        <v>20.12086614</v>
      </c>
      <c r="P841" s="6" t="str">
        <f t="shared" si="2"/>
        <v>Baseline</v>
      </c>
      <c r="Q841" s="3">
        <f t="shared" si="3"/>
        <v>32</v>
      </c>
    </row>
    <row r="842">
      <c r="A842" s="4" t="s">
        <v>249</v>
      </c>
      <c r="B842" s="2" t="s">
        <v>18</v>
      </c>
      <c r="C842" s="2" t="s">
        <v>19</v>
      </c>
      <c r="D842" s="2" t="s">
        <v>29</v>
      </c>
      <c r="E842" s="2" t="s">
        <v>56</v>
      </c>
      <c r="F842" s="5">
        <v>13083.0</v>
      </c>
      <c r="G842" s="5">
        <v>707.0</v>
      </c>
      <c r="H842" s="5">
        <v>0.0541</v>
      </c>
      <c r="I842" s="5">
        <v>2.38</v>
      </c>
      <c r="J842" s="5">
        <v>1682.66</v>
      </c>
      <c r="K842" s="5">
        <v>41.0</v>
      </c>
      <c r="L842" s="5">
        <v>41.04</v>
      </c>
      <c r="M842" s="5">
        <v>10442.74</v>
      </c>
      <c r="N842" s="5">
        <v>6.21</v>
      </c>
      <c r="O842" s="6">
        <f t="shared" si="1"/>
        <v>41.0404878</v>
      </c>
      <c r="P842" s="6" t="str">
        <f t="shared" si="2"/>
        <v>Post-Shift</v>
      </c>
      <c r="Q842" s="3">
        <f t="shared" si="3"/>
        <v>8</v>
      </c>
    </row>
    <row r="843">
      <c r="A843" s="4" t="s">
        <v>244</v>
      </c>
      <c r="B843" s="2" t="s">
        <v>23</v>
      </c>
      <c r="C843" s="2" t="s">
        <v>19</v>
      </c>
      <c r="D843" s="2" t="s">
        <v>32</v>
      </c>
      <c r="E843" s="2" t="s">
        <v>33</v>
      </c>
      <c r="F843" s="5">
        <v>109222.0</v>
      </c>
      <c r="G843" s="5">
        <v>7306.0</v>
      </c>
      <c r="H843" s="5">
        <v>0.0669</v>
      </c>
      <c r="I843" s="5">
        <v>1.09</v>
      </c>
      <c r="J843" s="5">
        <v>7963.54</v>
      </c>
      <c r="K843" s="5">
        <v>124.0</v>
      </c>
      <c r="L843" s="5">
        <v>64.22</v>
      </c>
      <c r="M843" s="5">
        <v>12349.14</v>
      </c>
      <c r="N843" s="5">
        <v>1.55</v>
      </c>
      <c r="O843" s="6">
        <f t="shared" si="1"/>
        <v>64.22209677</v>
      </c>
      <c r="P843" s="6" t="str">
        <f t="shared" si="2"/>
        <v>Post-Shift</v>
      </c>
      <c r="Q843" s="3">
        <f t="shared" si="3"/>
        <v>51</v>
      </c>
    </row>
    <row r="844">
      <c r="A844" s="4">
        <v>45386.0</v>
      </c>
      <c r="B844" s="2" t="s">
        <v>23</v>
      </c>
      <c r="C844" s="2" t="s">
        <v>19</v>
      </c>
      <c r="D844" s="2" t="s">
        <v>32</v>
      </c>
      <c r="E844" s="2" t="s">
        <v>25</v>
      </c>
      <c r="F844" s="5">
        <v>45382.0</v>
      </c>
      <c r="G844" s="5">
        <v>2246.0</v>
      </c>
      <c r="H844" s="5">
        <v>0.0495</v>
      </c>
      <c r="I844" s="5">
        <v>1.59</v>
      </c>
      <c r="J844" s="5">
        <v>3571.14</v>
      </c>
      <c r="K844" s="5">
        <v>46.0</v>
      </c>
      <c r="L844" s="5">
        <v>77.63</v>
      </c>
      <c r="M844" s="5">
        <v>2662.9</v>
      </c>
      <c r="N844" s="5">
        <v>0.75</v>
      </c>
      <c r="O844" s="6">
        <f t="shared" si="1"/>
        <v>77.63347826</v>
      </c>
      <c r="P844" s="6" t="str">
        <f t="shared" si="2"/>
        <v>Baseline</v>
      </c>
      <c r="Q844" s="3">
        <f t="shared" si="3"/>
        <v>14</v>
      </c>
    </row>
    <row r="845">
      <c r="A845" s="4" t="s">
        <v>123</v>
      </c>
      <c r="B845" s="2" t="s">
        <v>38</v>
      </c>
      <c r="C845" s="2" t="s">
        <v>41</v>
      </c>
      <c r="D845" s="2" t="s">
        <v>29</v>
      </c>
      <c r="E845" s="2" t="s">
        <v>21</v>
      </c>
      <c r="F845" s="5">
        <v>196432.0</v>
      </c>
      <c r="G845" s="5">
        <v>6501.0</v>
      </c>
      <c r="H845" s="5">
        <v>0.0331</v>
      </c>
      <c r="I845" s="5">
        <v>0.4</v>
      </c>
      <c r="J845" s="5">
        <v>2600.4</v>
      </c>
      <c r="K845" s="5">
        <v>462.0</v>
      </c>
      <c r="L845" s="5">
        <v>5.63</v>
      </c>
      <c r="M845" s="5">
        <v>52195.74</v>
      </c>
      <c r="N845" s="5">
        <v>20.07</v>
      </c>
      <c r="O845" s="6">
        <f t="shared" si="1"/>
        <v>5.628571429</v>
      </c>
      <c r="P845" s="6" t="str">
        <f t="shared" si="2"/>
        <v>Post-Shift</v>
      </c>
      <c r="Q845" s="3">
        <f t="shared" si="3"/>
        <v>38</v>
      </c>
    </row>
    <row r="846">
      <c r="A846" s="4">
        <v>45424.0</v>
      </c>
      <c r="B846" s="2" t="s">
        <v>23</v>
      </c>
      <c r="C846" s="2" t="s">
        <v>19</v>
      </c>
      <c r="D846" s="2" t="s">
        <v>24</v>
      </c>
      <c r="E846" s="2" t="s">
        <v>56</v>
      </c>
      <c r="F846" s="5">
        <v>71470.0</v>
      </c>
      <c r="G846" s="5">
        <v>2065.0</v>
      </c>
      <c r="H846" s="5">
        <v>0.0289</v>
      </c>
      <c r="I846" s="5">
        <v>1.18</v>
      </c>
      <c r="J846" s="5">
        <v>2436.7</v>
      </c>
      <c r="K846" s="5">
        <v>37.0</v>
      </c>
      <c r="L846" s="5">
        <v>65.86</v>
      </c>
      <c r="M846" s="5">
        <v>10377.15</v>
      </c>
      <c r="N846" s="5">
        <v>4.26</v>
      </c>
      <c r="O846" s="6">
        <f t="shared" si="1"/>
        <v>65.85675676</v>
      </c>
      <c r="P846" s="6" t="str">
        <f t="shared" si="2"/>
        <v>Baseline</v>
      </c>
      <c r="Q846" s="3">
        <f t="shared" si="3"/>
        <v>49</v>
      </c>
    </row>
    <row r="847">
      <c r="A847" s="4">
        <v>45292.0</v>
      </c>
      <c r="B847" s="2" t="s">
        <v>23</v>
      </c>
      <c r="C847" s="2" t="s">
        <v>41</v>
      </c>
      <c r="D847" s="2" t="s">
        <v>32</v>
      </c>
      <c r="E847" s="2" t="s">
        <v>30</v>
      </c>
      <c r="F847" s="5">
        <v>103026.0</v>
      </c>
      <c r="G847" s="5">
        <v>9066.0</v>
      </c>
      <c r="H847" s="5">
        <v>0.088</v>
      </c>
      <c r="I847" s="5">
        <v>1.43</v>
      </c>
      <c r="J847" s="5">
        <v>12964.38</v>
      </c>
      <c r="K847" s="5">
        <v>278.0</v>
      </c>
      <c r="L847" s="5">
        <v>46.63</v>
      </c>
      <c r="M847" s="5">
        <v>46631.0</v>
      </c>
      <c r="N847" s="5">
        <v>3.6</v>
      </c>
      <c r="O847" s="6">
        <f t="shared" si="1"/>
        <v>46.63446043</v>
      </c>
      <c r="P847" s="6" t="str">
        <f t="shared" si="2"/>
        <v>Baseline</v>
      </c>
      <c r="Q847" s="3">
        <f t="shared" si="3"/>
        <v>1</v>
      </c>
    </row>
    <row r="848">
      <c r="A848" s="4" t="s">
        <v>250</v>
      </c>
      <c r="B848" s="2" t="s">
        <v>38</v>
      </c>
      <c r="C848" s="2" t="s">
        <v>41</v>
      </c>
      <c r="D848" s="2" t="s">
        <v>20</v>
      </c>
      <c r="E848" s="2" t="s">
        <v>56</v>
      </c>
      <c r="F848" s="5">
        <v>140793.0</v>
      </c>
      <c r="G848" s="5">
        <v>2886.0</v>
      </c>
      <c r="H848" s="5">
        <v>0.0205</v>
      </c>
      <c r="I848" s="5">
        <v>1.52</v>
      </c>
      <c r="J848" s="5">
        <v>4386.72</v>
      </c>
      <c r="K848" s="5">
        <v>141.0</v>
      </c>
      <c r="L848" s="5">
        <v>31.11</v>
      </c>
      <c r="M848" s="5">
        <v>12104.44</v>
      </c>
      <c r="N848" s="5">
        <v>2.76</v>
      </c>
      <c r="O848" s="6">
        <f t="shared" si="1"/>
        <v>31.11148936</v>
      </c>
      <c r="P848" s="6" t="str">
        <f t="shared" si="2"/>
        <v>Post-Shift</v>
      </c>
      <c r="Q848" s="3">
        <f t="shared" si="3"/>
        <v>28</v>
      </c>
    </row>
    <row r="849">
      <c r="A849" s="4" t="s">
        <v>146</v>
      </c>
      <c r="B849" s="2" t="s">
        <v>38</v>
      </c>
      <c r="C849" s="2" t="s">
        <v>19</v>
      </c>
      <c r="D849" s="2" t="s">
        <v>20</v>
      </c>
      <c r="E849" s="2" t="s">
        <v>36</v>
      </c>
      <c r="F849" s="5">
        <v>8970.0</v>
      </c>
      <c r="G849" s="5">
        <v>306.0</v>
      </c>
      <c r="H849" s="5">
        <v>0.0342</v>
      </c>
      <c r="I849" s="5">
        <v>0.6</v>
      </c>
      <c r="J849" s="5">
        <v>183.6</v>
      </c>
      <c r="K849" s="5">
        <v>22.0</v>
      </c>
      <c r="L849" s="5">
        <v>8.35</v>
      </c>
      <c r="M849" s="5">
        <v>4976.05</v>
      </c>
      <c r="N849" s="5">
        <v>27.1</v>
      </c>
      <c r="O849" s="6">
        <f t="shared" si="1"/>
        <v>8.345454545</v>
      </c>
      <c r="P849" s="6" t="str">
        <f t="shared" si="2"/>
        <v>Post-Shift</v>
      </c>
      <c r="Q849" s="3">
        <f t="shared" si="3"/>
        <v>30</v>
      </c>
    </row>
    <row r="850">
      <c r="A850" s="4" t="s">
        <v>248</v>
      </c>
      <c r="B850" s="2" t="s">
        <v>38</v>
      </c>
      <c r="C850" s="2" t="s">
        <v>41</v>
      </c>
      <c r="D850" s="2" t="s">
        <v>20</v>
      </c>
      <c r="E850" s="2" t="s">
        <v>33</v>
      </c>
      <c r="F850" s="5">
        <v>177825.0</v>
      </c>
      <c r="G850" s="5">
        <v>4285.0</v>
      </c>
      <c r="H850" s="5">
        <v>0.0241</v>
      </c>
      <c r="I850" s="5">
        <v>0.78</v>
      </c>
      <c r="J850" s="5">
        <v>3342.3</v>
      </c>
      <c r="K850" s="5">
        <v>163.0</v>
      </c>
      <c r="L850" s="5">
        <v>20.5</v>
      </c>
      <c r="M850" s="5">
        <v>29602.7</v>
      </c>
      <c r="N850" s="5">
        <v>8.86</v>
      </c>
      <c r="O850" s="6">
        <f t="shared" si="1"/>
        <v>20.50490798</v>
      </c>
      <c r="P850" s="6" t="str">
        <f t="shared" si="2"/>
        <v>Post-Shift</v>
      </c>
      <c r="Q850" s="3">
        <f t="shared" si="3"/>
        <v>51</v>
      </c>
    </row>
    <row r="851">
      <c r="A851" s="4">
        <v>45485.0</v>
      </c>
      <c r="B851" s="2" t="s">
        <v>38</v>
      </c>
      <c r="C851" s="2" t="s">
        <v>41</v>
      </c>
      <c r="D851" s="2" t="s">
        <v>32</v>
      </c>
      <c r="E851" s="2" t="s">
        <v>21</v>
      </c>
      <c r="F851" s="5">
        <v>122512.0</v>
      </c>
      <c r="G851" s="5">
        <v>4532.0</v>
      </c>
      <c r="H851" s="5">
        <v>0.037</v>
      </c>
      <c r="I851" s="5">
        <v>1.84</v>
      </c>
      <c r="J851" s="5">
        <v>8338.88</v>
      </c>
      <c r="K851" s="5">
        <v>61.0</v>
      </c>
      <c r="L851" s="5">
        <v>136.7</v>
      </c>
      <c r="M851" s="5">
        <v>5305.8</v>
      </c>
      <c r="N851" s="5">
        <v>0.64</v>
      </c>
      <c r="O851" s="6">
        <f t="shared" si="1"/>
        <v>136.7029508</v>
      </c>
      <c r="P851" s="6" t="str">
        <f t="shared" si="2"/>
        <v>Post-Shift</v>
      </c>
      <c r="Q851" s="3">
        <f t="shared" si="3"/>
        <v>49</v>
      </c>
    </row>
    <row r="852">
      <c r="A852" s="4">
        <v>45541.0</v>
      </c>
      <c r="B852" s="2" t="s">
        <v>18</v>
      </c>
      <c r="C852" s="2" t="s">
        <v>19</v>
      </c>
      <c r="D852" s="2" t="s">
        <v>24</v>
      </c>
      <c r="E852" s="2" t="s">
        <v>36</v>
      </c>
      <c r="F852" s="5">
        <v>107548.0</v>
      </c>
      <c r="G852" s="5">
        <v>4258.0</v>
      </c>
      <c r="H852" s="5">
        <v>0.0396</v>
      </c>
      <c r="I852" s="5">
        <v>3.2</v>
      </c>
      <c r="J852" s="5">
        <v>13625.6</v>
      </c>
      <c r="K852" s="5">
        <v>145.0</v>
      </c>
      <c r="L852" s="5">
        <v>93.97</v>
      </c>
      <c r="M852" s="5">
        <v>17656.92</v>
      </c>
      <c r="N852" s="5">
        <v>1.3</v>
      </c>
      <c r="O852" s="6">
        <f t="shared" si="1"/>
        <v>93.96965517</v>
      </c>
      <c r="P852" s="6" t="str">
        <f t="shared" si="2"/>
        <v>Post-Shift</v>
      </c>
      <c r="Q852" s="3">
        <f t="shared" si="3"/>
        <v>24</v>
      </c>
    </row>
    <row r="853">
      <c r="A853" s="4">
        <v>45450.0</v>
      </c>
      <c r="B853" s="2" t="s">
        <v>23</v>
      </c>
      <c r="C853" s="2" t="s">
        <v>41</v>
      </c>
      <c r="D853" s="2" t="s">
        <v>29</v>
      </c>
      <c r="E853" s="2" t="s">
        <v>25</v>
      </c>
      <c r="F853" s="5">
        <v>89224.0</v>
      </c>
      <c r="G853" s="5">
        <v>5255.0</v>
      </c>
      <c r="H853" s="5">
        <v>0.0589</v>
      </c>
      <c r="I853" s="5">
        <v>1.99</v>
      </c>
      <c r="J853" s="5">
        <v>10457.45</v>
      </c>
      <c r="K853" s="5">
        <v>336.0</v>
      </c>
      <c r="L853" s="5">
        <v>31.12</v>
      </c>
      <c r="M853" s="5">
        <v>94667.83</v>
      </c>
      <c r="N853" s="5">
        <v>9.05</v>
      </c>
      <c r="O853" s="6">
        <f t="shared" si="1"/>
        <v>31.1233631</v>
      </c>
      <c r="P853" s="6" t="str">
        <f t="shared" si="2"/>
        <v>Baseline</v>
      </c>
      <c r="Q853" s="3">
        <f t="shared" si="3"/>
        <v>27</v>
      </c>
    </row>
    <row r="854">
      <c r="A854" s="4" t="s">
        <v>140</v>
      </c>
      <c r="B854" s="2" t="s">
        <v>38</v>
      </c>
      <c r="C854" s="2" t="s">
        <v>41</v>
      </c>
      <c r="D854" s="2" t="s">
        <v>45</v>
      </c>
      <c r="E854" s="2" t="s">
        <v>25</v>
      </c>
      <c r="F854" s="5">
        <v>100561.0</v>
      </c>
      <c r="G854" s="5">
        <v>3781.0</v>
      </c>
      <c r="H854" s="5">
        <v>0.0376</v>
      </c>
      <c r="I854" s="5">
        <v>1.39</v>
      </c>
      <c r="J854" s="5">
        <v>5255.59</v>
      </c>
      <c r="K854" s="5">
        <v>124.0</v>
      </c>
      <c r="L854" s="5">
        <v>42.38</v>
      </c>
      <c r="M854" s="5">
        <v>34626.86</v>
      </c>
      <c r="N854" s="5">
        <v>6.59</v>
      </c>
      <c r="O854" s="6">
        <f t="shared" si="1"/>
        <v>42.38379032</v>
      </c>
      <c r="P854" s="6" t="str">
        <f t="shared" si="2"/>
        <v>Post-Shift</v>
      </c>
      <c r="Q854" s="3">
        <f t="shared" si="3"/>
        <v>44</v>
      </c>
    </row>
    <row r="855">
      <c r="A855" s="4" t="s">
        <v>181</v>
      </c>
      <c r="B855" s="2" t="s">
        <v>18</v>
      </c>
      <c r="C855" s="2" t="s">
        <v>19</v>
      </c>
      <c r="D855" s="2" t="s">
        <v>20</v>
      </c>
      <c r="E855" s="2" t="s">
        <v>21</v>
      </c>
      <c r="F855" s="5">
        <v>50111.0</v>
      </c>
      <c r="G855" s="5">
        <v>2320.0</v>
      </c>
      <c r="H855" s="5">
        <v>0.0463</v>
      </c>
      <c r="I855" s="5">
        <v>2.73</v>
      </c>
      <c r="J855" s="5">
        <v>6333.6</v>
      </c>
      <c r="K855" s="5">
        <v>153.0</v>
      </c>
      <c r="L855" s="5">
        <v>41.4</v>
      </c>
      <c r="M855" s="5">
        <v>30016.66</v>
      </c>
      <c r="N855" s="5">
        <v>4.74</v>
      </c>
      <c r="O855" s="6">
        <f t="shared" si="1"/>
        <v>41.39607843</v>
      </c>
      <c r="P855" s="6" t="str">
        <f t="shared" si="2"/>
        <v>Post-Shift</v>
      </c>
      <c r="Q855" s="3">
        <f t="shared" si="3"/>
        <v>22</v>
      </c>
    </row>
    <row r="856">
      <c r="A856" s="4" t="s">
        <v>128</v>
      </c>
      <c r="B856" s="2" t="s">
        <v>18</v>
      </c>
      <c r="C856" s="2" t="s">
        <v>41</v>
      </c>
      <c r="D856" s="2" t="s">
        <v>32</v>
      </c>
      <c r="E856" s="2" t="s">
        <v>33</v>
      </c>
      <c r="F856" s="5">
        <v>65985.0</v>
      </c>
      <c r="G856" s="5">
        <v>1445.0</v>
      </c>
      <c r="H856" s="5">
        <v>0.0219</v>
      </c>
      <c r="I856" s="5">
        <v>0.82</v>
      </c>
      <c r="J856" s="5">
        <v>1184.9</v>
      </c>
      <c r="K856" s="5">
        <v>63.0</v>
      </c>
      <c r="L856" s="5">
        <v>18.81</v>
      </c>
      <c r="M856" s="5">
        <v>4237.85</v>
      </c>
      <c r="N856" s="5">
        <v>3.58</v>
      </c>
      <c r="O856" s="6">
        <f t="shared" si="1"/>
        <v>18.80793651</v>
      </c>
      <c r="P856" s="6" t="str">
        <f t="shared" si="2"/>
        <v>Post-Shift</v>
      </c>
      <c r="Q856" s="3">
        <f t="shared" si="3"/>
        <v>12</v>
      </c>
    </row>
    <row r="857">
      <c r="A857" s="4" t="s">
        <v>102</v>
      </c>
      <c r="B857" s="2" t="s">
        <v>38</v>
      </c>
      <c r="C857" s="2" t="s">
        <v>27</v>
      </c>
      <c r="D857" s="2" t="s">
        <v>45</v>
      </c>
      <c r="E857" s="2" t="s">
        <v>33</v>
      </c>
      <c r="F857" s="5">
        <v>93257.0</v>
      </c>
      <c r="G857" s="5">
        <v>1930.0</v>
      </c>
      <c r="H857" s="5">
        <v>0.0207</v>
      </c>
      <c r="I857" s="5">
        <v>1.32</v>
      </c>
      <c r="J857" s="5">
        <v>2547.6</v>
      </c>
      <c r="K857" s="5">
        <v>102.0</v>
      </c>
      <c r="L857" s="5">
        <v>24.98</v>
      </c>
      <c r="M857" s="5">
        <v>26767.95</v>
      </c>
      <c r="N857" s="5">
        <v>10.51</v>
      </c>
      <c r="O857" s="6">
        <f t="shared" si="1"/>
        <v>24.97647059</v>
      </c>
      <c r="P857" s="6" t="str">
        <f t="shared" si="2"/>
        <v>Post-Shift</v>
      </c>
      <c r="Q857" s="3">
        <f t="shared" si="3"/>
        <v>30</v>
      </c>
    </row>
    <row r="858">
      <c r="A858" s="4" t="s">
        <v>117</v>
      </c>
      <c r="B858" s="2" t="s">
        <v>23</v>
      </c>
      <c r="C858" s="2" t="s">
        <v>19</v>
      </c>
      <c r="D858" s="2" t="s">
        <v>32</v>
      </c>
      <c r="E858" s="2" t="s">
        <v>56</v>
      </c>
      <c r="F858" s="5">
        <v>102847.0</v>
      </c>
      <c r="G858" s="5">
        <v>6458.0</v>
      </c>
      <c r="H858" s="5">
        <v>0.0628</v>
      </c>
      <c r="I858" s="5">
        <v>1.17</v>
      </c>
      <c r="J858" s="5">
        <v>7555.86</v>
      </c>
      <c r="K858" s="5">
        <v>314.0</v>
      </c>
      <c r="L858" s="5">
        <v>24.06</v>
      </c>
      <c r="M858" s="5">
        <v>81199.4</v>
      </c>
      <c r="N858" s="5">
        <v>10.75</v>
      </c>
      <c r="O858" s="6">
        <f t="shared" si="1"/>
        <v>24.06324841</v>
      </c>
      <c r="P858" s="6" t="str">
        <f t="shared" si="2"/>
        <v>Post-Shift</v>
      </c>
      <c r="Q858" s="3">
        <f t="shared" si="3"/>
        <v>52</v>
      </c>
    </row>
    <row r="859">
      <c r="A859" s="4" t="s">
        <v>114</v>
      </c>
      <c r="B859" s="2" t="s">
        <v>38</v>
      </c>
      <c r="C859" s="2" t="s">
        <v>19</v>
      </c>
      <c r="D859" s="2" t="s">
        <v>32</v>
      </c>
      <c r="E859" s="2" t="s">
        <v>21</v>
      </c>
      <c r="F859" s="5">
        <v>161738.0</v>
      </c>
      <c r="G859" s="5">
        <v>5046.0</v>
      </c>
      <c r="H859" s="5">
        <v>0.0312</v>
      </c>
      <c r="I859" s="5">
        <v>1.66</v>
      </c>
      <c r="J859" s="5">
        <v>8376.36</v>
      </c>
      <c r="K859" s="5">
        <v>258.0</v>
      </c>
      <c r="L859" s="5">
        <v>32.47</v>
      </c>
      <c r="M859" s="5">
        <v>29417.67</v>
      </c>
      <c r="N859" s="5">
        <v>3.51</v>
      </c>
      <c r="O859" s="6">
        <f t="shared" si="1"/>
        <v>32.46651163</v>
      </c>
      <c r="P859" s="6" t="str">
        <f t="shared" si="2"/>
        <v>Post-Shift</v>
      </c>
      <c r="Q859" s="3">
        <f t="shared" si="3"/>
        <v>8</v>
      </c>
    </row>
    <row r="860">
      <c r="A860" s="4">
        <v>45478.0</v>
      </c>
      <c r="B860" s="2" t="s">
        <v>38</v>
      </c>
      <c r="C860" s="2" t="s">
        <v>31</v>
      </c>
      <c r="D860" s="2" t="s">
        <v>29</v>
      </c>
      <c r="E860" s="2" t="s">
        <v>58</v>
      </c>
      <c r="F860" s="5">
        <v>46516.0</v>
      </c>
      <c r="G860" s="5">
        <v>772.0</v>
      </c>
      <c r="H860" s="5">
        <v>0.0166</v>
      </c>
      <c r="I860" s="5">
        <v>0.59</v>
      </c>
      <c r="J860" s="5">
        <v>455.48</v>
      </c>
      <c r="K860" s="5">
        <v>39.0</v>
      </c>
      <c r="L860" s="5">
        <v>11.68</v>
      </c>
      <c r="M860" s="5">
        <v>4874.74</v>
      </c>
      <c r="N860" s="5">
        <v>10.7</v>
      </c>
      <c r="O860" s="6">
        <f t="shared" si="1"/>
        <v>11.67897436</v>
      </c>
      <c r="P860" s="6" t="str">
        <f t="shared" si="2"/>
        <v>Post-Shift</v>
      </c>
      <c r="Q860" s="3">
        <f t="shared" si="3"/>
        <v>19</v>
      </c>
    </row>
    <row r="861">
      <c r="A861" s="4">
        <v>45333.0</v>
      </c>
      <c r="B861" s="2" t="s">
        <v>18</v>
      </c>
      <c r="C861" s="2" t="s">
        <v>27</v>
      </c>
      <c r="D861" s="2" t="s">
        <v>32</v>
      </c>
      <c r="E861" s="2" t="s">
        <v>36</v>
      </c>
      <c r="F861" s="5">
        <v>7802.0</v>
      </c>
      <c r="G861" s="5">
        <v>340.0</v>
      </c>
      <c r="H861" s="5">
        <v>0.0437</v>
      </c>
      <c r="I861" s="5">
        <v>2.37</v>
      </c>
      <c r="J861" s="5">
        <v>805.8</v>
      </c>
      <c r="K861" s="5">
        <v>14.0</v>
      </c>
      <c r="L861" s="5">
        <v>57.56</v>
      </c>
      <c r="M861" s="5">
        <v>799.08</v>
      </c>
      <c r="N861" s="5">
        <v>0.99</v>
      </c>
      <c r="O861" s="6">
        <f t="shared" si="1"/>
        <v>57.55714286</v>
      </c>
      <c r="P861" s="6" t="str">
        <f t="shared" si="2"/>
        <v>Baseline</v>
      </c>
      <c r="Q861" s="3">
        <f t="shared" si="3"/>
        <v>44</v>
      </c>
    </row>
    <row r="862">
      <c r="A862" s="4" t="s">
        <v>239</v>
      </c>
      <c r="B862" s="2" t="s">
        <v>18</v>
      </c>
      <c r="C862" s="2" t="s">
        <v>19</v>
      </c>
      <c r="D862" s="2" t="s">
        <v>24</v>
      </c>
      <c r="E862" s="2" t="s">
        <v>30</v>
      </c>
      <c r="F862" s="5">
        <v>15960.0</v>
      </c>
      <c r="G862" s="5">
        <v>750.0</v>
      </c>
      <c r="H862" s="5">
        <v>0.047</v>
      </c>
      <c r="I862" s="5">
        <v>1.72</v>
      </c>
      <c r="J862" s="5">
        <v>1290.0</v>
      </c>
      <c r="K862" s="5">
        <v>40.0</v>
      </c>
      <c r="L862" s="5">
        <v>32.25</v>
      </c>
      <c r="M862" s="5">
        <v>6919.55</v>
      </c>
      <c r="N862" s="5">
        <v>5.36</v>
      </c>
      <c r="O862" s="6">
        <f t="shared" si="1"/>
        <v>32.25</v>
      </c>
      <c r="P862" s="6" t="str">
        <f t="shared" si="2"/>
        <v>Post-Shift</v>
      </c>
      <c r="Q862" s="3">
        <f t="shared" si="3"/>
        <v>43</v>
      </c>
    </row>
    <row r="863">
      <c r="A863" s="4" t="s">
        <v>182</v>
      </c>
      <c r="B863" s="2" t="s">
        <v>23</v>
      </c>
      <c r="C863" s="2" t="s">
        <v>31</v>
      </c>
      <c r="D863" s="2" t="s">
        <v>32</v>
      </c>
      <c r="E863" s="2" t="s">
        <v>58</v>
      </c>
      <c r="F863" s="5">
        <v>55701.0</v>
      </c>
      <c r="G863" s="5">
        <v>4138.0</v>
      </c>
      <c r="H863" s="5">
        <v>0.0743</v>
      </c>
      <c r="I863" s="5">
        <v>0.34</v>
      </c>
      <c r="J863" s="5">
        <v>1406.92</v>
      </c>
      <c r="K863" s="5">
        <v>229.0</v>
      </c>
      <c r="L863" s="5">
        <v>6.14</v>
      </c>
      <c r="M863" s="5">
        <v>20016.59</v>
      </c>
      <c r="N863" s="5">
        <v>14.23</v>
      </c>
      <c r="O863" s="6">
        <f t="shared" si="1"/>
        <v>6.143755459</v>
      </c>
      <c r="P863" s="6" t="str">
        <f t="shared" si="2"/>
        <v>Post-Shift</v>
      </c>
      <c r="Q863" s="3">
        <f t="shared" si="3"/>
        <v>3</v>
      </c>
    </row>
    <row r="864">
      <c r="A864" s="4" t="s">
        <v>76</v>
      </c>
      <c r="B864" s="2" t="s">
        <v>18</v>
      </c>
      <c r="C864" s="2" t="s">
        <v>41</v>
      </c>
      <c r="D864" s="2" t="s">
        <v>45</v>
      </c>
      <c r="E864" s="2" t="s">
        <v>56</v>
      </c>
      <c r="F864" s="5">
        <v>64757.0</v>
      </c>
      <c r="G864" s="5">
        <v>3976.0</v>
      </c>
      <c r="H864" s="5">
        <v>0.0614</v>
      </c>
      <c r="I864" s="5">
        <v>1.43</v>
      </c>
      <c r="J864" s="5">
        <v>5685.68</v>
      </c>
      <c r="K864" s="5">
        <v>58.0</v>
      </c>
      <c r="L864" s="5">
        <v>98.03</v>
      </c>
      <c r="M864" s="5">
        <v>4380.33</v>
      </c>
      <c r="N864" s="5">
        <v>0.77</v>
      </c>
      <c r="O864" s="6">
        <f t="shared" si="1"/>
        <v>98.02896552</v>
      </c>
      <c r="P864" s="6" t="str">
        <f t="shared" si="2"/>
        <v>Post-Shift</v>
      </c>
      <c r="Q864" s="3">
        <f t="shared" si="3"/>
        <v>27</v>
      </c>
    </row>
    <row r="865">
      <c r="A865" s="4">
        <v>45386.0</v>
      </c>
      <c r="B865" s="2" t="s">
        <v>23</v>
      </c>
      <c r="C865" s="2" t="s">
        <v>19</v>
      </c>
      <c r="D865" s="2" t="s">
        <v>32</v>
      </c>
      <c r="E865" s="2" t="s">
        <v>25</v>
      </c>
      <c r="F865" s="5">
        <v>199291.0</v>
      </c>
      <c r="G865" s="5">
        <v>16660.0</v>
      </c>
      <c r="H865" s="5">
        <v>0.0836</v>
      </c>
      <c r="I865" s="5">
        <v>1.16</v>
      </c>
      <c r="J865" s="5">
        <v>19325.6</v>
      </c>
      <c r="K865" s="5">
        <v>1016.0</v>
      </c>
      <c r="L865" s="5">
        <v>19.02</v>
      </c>
      <c r="M865" s="5">
        <v>207611.3</v>
      </c>
      <c r="N865" s="5">
        <v>10.74</v>
      </c>
      <c r="O865" s="6">
        <f t="shared" si="1"/>
        <v>19.02125984</v>
      </c>
      <c r="P865" s="6" t="str">
        <f t="shared" si="2"/>
        <v>Baseline</v>
      </c>
      <c r="Q865" s="3">
        <f t="shared" si="3"/>
        <v>14</v>
      </c>
    </row>
    <row r="866">
      <c r="A866" s="4" t="s">
        <v>96</v>
      </c>
      <c r="B866" s="2" t="s">
        <v>23</v>
      </c>
      <c r="C866" s="2" t="s">
        <v>31</v>
      </c>
      <c r="D866" s="2" t="s">
        <v>24</v>
      </c>
      <c r="E866" s="2" t="s">
        <v>25</v>
      </c>
      <c r="F866" s="5">
        <v>116800.0</v>
      </c>
      <c r="G866" s="5">
        <v>8351.0</v>
      </c>
      <c r="H866" s="5">
        <v>0.0715</v>
      </c>
      <c r="I866" s="5">
        <v>0.7</v>
      </c>
      <c r="J866" s="5">
        <v>5845.7</v>
      </c>
      <c r="K866" s="5">
        <v>493.0</v>
      </c>
      <c r="L866" s="5">
        <v>11.86</v>
      </c>
      <c r="M866" s="5">
        <v>80828.76</v>
      </c>
      <c r="N866" s="5">
        <v>13.83</v>
      </c>
      <c r="O866" s="6">
        <f t="shared" si="1"/>
        <v>11.85740365</v>
      </c>
      <c r="P866" s="6" t="str">
        <f t="shared" si="2"/>
        <v>Post-Shift</v>
      </c>
      <c r="Q866" s="3">
        <f t="shared" si="3"/>
        <v>38</v>
      </c>
    </row>
    <row r="867">
      <c r="A867" s="4" t="s">
        <v>247</v>
      </c>
      <c r="B867" s="2" t="s">
        <v>38</v>
      </c>
      <c r="C867" s="2" t="s">
        <v>31</v>
      </c>
      <c r="D867" s="2" t="s">
        <v>29</v>
      </c>
      <c r="E867" s="2" t="s">
        <v>36</v>
      </c>
      <c r="F867" s="5">
        <v>88470.0</v>
      </c>
      <c r="G867" s="5">
        <v>2459.0</v>
      </c>
      <c r="H867" s="5">
        <v>0.0278</v>
      </c>
      <c r="I867" s="5">
        <v>0.99</v>
      </c>
      <c r="J867" s="5">
        <v>2434.41</v>
      </c>
      <c r="K867" s="5">
        <v>165.0</v>
      </c>
      <c r="L867" s="5">
        <v>14.75</v>
      </c>
      <c r="M867" s="5">
        <v>44145.0</v>
      </c>
      <c r="N867" s="5">
        <v>18.13</v>
      </c>
      <c r="O867" s="6">
        <f t="shared" si="1"/>
        <v>14.754</v>
      </c>
      <c r="P867" s="6" t="str">
        <f t="shared" si="2"/>
        <v>Post-Shift</v>
      </c>
      <c r="Q867" s="3">
        <f t="shared" si="3"/>
        <v>44</v>
      </c>
    </row>
    <row r="868">
      <c r="A868" s="4">
        <v>45476.0</v>
      </c>
      <c r="B868" s="2" t="s">
        <v>23</v>
      </c>
      <c r="C868" s="2" t="s">
        <v>41</v>
      </c>
      <c r="D868" s="2" t="s">
        <v>29</v>
      </c>
      <c r="E868" s="2" t="s">
        <v>58</v>
      </c>
      <c r="F868" s="5">
        <v>186782.0</v>
      </c>
      <c r="G868" s="5">
        <v>14270.0</v>
      </c>
      <c r="H868" s="5">
        <v>0.0764</v>
      </c>
      <c r="I868" s="5">
        <v>1.08</v>
      </c>
      <c r="J868" s="5">
        <v>15411.6</v>
      </c>
      <c r="K868" s="5">
        <v>931.0</v>
      </c>
      <c r="L868" s="5">
        <v>16.55</v>
      </c>
      <c r="M868" s="5">
        <v>224929.4</v>
      </c>
      <c r="N868" s="5">
        <v>14.59</v>
      </c>
      <c r="O868" s="6">
        <f t="shared" si="1"/>
        <v>16.5538131</v>
      </c>
      <c r="P868" s="6" t="str">
        <f t="shared" si="2"/>
        <v>Post-Shift</v>
      </c>
      <c r="Q868" s="3">
        <f t="shared" si="3"/>
        <v>10</v>
      </c>
    </row>
    <row r="869">
      <c r="A869" s="4">
        <v>45516.0</v>
      </c>
      <c r="B869" s="2" t="s">
        <v>18</v>
      </c>
      <c r="C869" s="2" t="s">
        <v>41</v>
      </c>
      <c r="D869" s="2" t="s">
        <v>29</v>
      </c>
      <c r="E869" s="2" t="s">
        <v>21</v>
      </c>
      <c r="F869" s="5">
        <v>121832.0</v>
      </c>
      <c r="G869" s="5">
        <v>6786.0</v>
      </c>
      <c r="H869" s="5">
        <v>0.0557</v>
      </c>
      <c r="I869" s="5">
        <v>1.18</v>
      </c>
      <c r="J869" s="5">
        <v>8007.48</v>
      </c>
      <c r="K869" s="5">
        <v>139.0</v>
      </c>
      <c r="L869" s="5">
        <v>57.61</v>
      </c>
      <c r="M869" s="5">
        <v>28929.72</v>
      </c>
      <c r="N869" s="5">
        <v>3.61</v>
      </c>
      <c r="O869" s="6">
        <f t="shared" si="1"/>
        <v>57.60776978</v>
      </c>
      <c r="P869" s="6" t="str">
        <f t="shared" si="2"/>
        <v>Post-Shift</v>
      </c>
      <c r="Q869" s="3">
        <f t="shared" si="3"/>
        <v>50</v>
      </c>
    </row>
    <row r="870">
      <c r="A870" s="4">
        <v>45605.0</v>
      </c>
      <c r="B870" s="2" t="s">
        <v>18</v>
      </c>
      <c r="C870" s="2" t="s">
        <v>27</v>
      </c>
      <c r="D870" s="2" t="s">
        <v>45</v>
      </c>
      <c r="E870" s="2" t="s">
        <v>30</v>
      </c>
      <c r="F870" s="5">
        <v>88514.0</v>
      </c>
      <c r="G870" s="5">
        <v>1610.0</v>
      </c>
      <c r="H870" s="5">
        <v>0.0182</v>
      </c>
      <c r="I870" s="5">
        <v>0.86</v>
      </c>
      <c r="J870" s="5">
        <v>1384.6</v>
      </c>
      <c r="K870" s="5">
        <v>77.0</v>
      </c>
      <c r="L870" s="5">
        <v>17.98</v>
      </c>
      <c r="M870" s="5">
        <v>22165.04</v>
      </c>
      <c r="N870" s="5">
        <v>16.01</v>
      </c>
      <c r="O870" s="6">
        <f t="shared" si="1"/>
        <v>17.98181818</v>
      </c>
      <c r="P870" s="6" t="str">
        <f t="shared" si="2"/>
        <v>Post-Shift</v>
      </c>
      <c r="Q870" s="3">
        <f t="shared" si="3"/>
        <v>37</v>
      </c>
    </row>
    <row r="871">
      <c r="A871" s="4" t="s">
        <v>66</v>
      </c>
      <c r="B871" s="2" t="s">
        <v>38</v>
      </c>
      <c r="C871" s="2" t="s">
        <v>41</v>
      </c>
      <c r="D871" s="2" t="s">
        <v>20</v>
      </c>
      <c r="E871" s="2" t="s">
        <v>56</v>
      </c>
      <c r="F871" s="5">
        <v>125424.0</v>
      </c>
      <c r="G871" s="5">
        <v>3787.0</v>
      </c>
      <c r="H871" s="5">
        <v>0.0302</v>
      </c>
      <c r="I871" s="5">
        <v>0.48</v>
      </c>
      <c r="J871" s="5">
        <v>1817.76</v>
      </c>
      <c r="K871" s="5">
        <v>253.0</v>
      </c>
      <c r="L871" s="5">
        <v>7.18</v>
      </c>
      <c r="M871" s="5">
        <v>36320.54</v>
      </c>
      <c r="N871" s="5">
        <v>19.98</v>
      </c>
      <c r="O871" s="6">
        <f t="shared" si="1"/>
        <v>7.184822134</v>
      </c>
      <c r="P871" s="6" t="str">
        <f t="shared" si="2"/>
        <v>Post-Shift</v>
      </c>
      <c r="Q871" s="3">
        <f t="shared" si="3"/>
        <v>42</v>
      </c>
    </row>
    <row r="872">
      <c r="A872" s="4">
        <v>45455.0</v>
      </c>
      <c r="B872" s="2" t="s">
        <v>23</v>
      </c>
      <c r="C872" s="2" t="s">
        <v>27</v>
      </c>
      <c r="D872" s="2" t="s">
        <v>29</v>
      </c>
      <c r="E872" s="2" t="s">
        <v>21</v>
      </c>
      <c r="F872" s="5">
        <v>23883.0</v>
      </c>
      <c r="G872" s="5">
        <v>1332.0</v>
      </c>
      <c r="H872" s="5">
        <v>0.0558</v>
      </c>
      <c r="I872" s="5">
        <v>1.56</v>
      </c>
      <c r="J872" s="5">
        <v>2077.92</v>
      </c>
      <c r="K872" s="5">
        <v>66.0</v>
      </c>
      <c r="L872" s="5">
        <v>31.48</v>
      </c>
      <c r="M872" s="5">
        <v>10903.46</v>
      </c>
      <c r="N872" s="5">
        <v>5.25</v>
      </c>
      <c r="O872" s="6">
        <f t="shared" si="1"/>
        <v>31.48363636</v>
      </c>
      <c r="P872" s="6" t="str">
        <f t="shared" si="2"/>
        <v>Baseline</v>
      </c>
      <c r="Q872" s="3">
        <f t="shared" si="3"/>
        <v>49</v>
      </c>
    </row>
    <row r="873">
      <c r="A873" s="4">
        <v>45509.0</v>
      </c>
      <c r="B873" s="2" t="s">
        <v>38</v>
      </c>
      <c r="C873" s="2" t="s">
        <v>31</v>
      </c>
      <c r="D873" s="2" t="s">
        <v>45</v>
      </c>
      <c r="E873" s="2" t="s">
        <v>33</v>
      </c>
      <c r="F873" s="5">
        <v>49864.0</v>
      </c>
      <c r="G873" s="5">
        <v>2074.0</v>
      </c>
      <c r="H873" s="5">
        <v>0.0416</v>
      </c>
      <c r="I873" s="5">
        <v>1.75</v>
      </c>
      <c r="J873" s="5">
        <v>3629.5</v>
      </c>
      <c r="K873" s="5">
        <v>73.0</v>
      </c>
      <c r="L873" s="5">
        <v>49.72</v>
      </c>
      <c r="M873" s="5">
        <v>14018.44</v>
      </c>
      <c r="N873" s="5">
        <v>3.86</v>
      </c>
      <c r="O873" s="6">
        <f t="shared" si="1"/>
        <v>49.71917808</v>
      </c>
      <c r="P873" s="6" t="str">
        <f t="shared" si="2"/>
        <v>Post-Shift</v>
      </c>
      <c r="Q873" s="3">
        <f t="shared" si="3"/>
        <v>19</v>
      </c>
    </row>
    <row r="874">
      <c r="A874" s="4" t="s">
        <v>152</v>
      </c>
      <c r="B874" s="2" t="s">
        <v>18</v>
      </c>
      <c r="C874" s="2" t="s">
        <v>27</v>
      </c>
      <c r="D874" s="2" t="s">
        <v>32</v>
      </c>
      <c r="E874" s="2" t="s">
        <v>21</v>
      </c>
      <c r="F874" s="5">
        <v>190890.0</v>
      </c>
      <c r="G874" s="5">
        <v>7616.0</v>
      </c>
      <c r="H874" s="5">
        <v>0.0399</v>
      </c>
      <c r="I874" s="5">
        <v>1.16</v>
      </c>
      <c r="J874" s="5">
        <v>8834.56</v>
      </c>
      <c r="K874" s="5">
        <v>141.0</v>
      </c>
      <c r="L874" s="5">
        <v>62.66</v>
      </c>
      <c r="M874" s="5">
        <v>25751.07</v>
      </c>
      <c r="N874" s="5">
        <v>2.91</v>
      </c>
      <c r="O874" s="6">
        <f t="shared" si="1"/>
        <v>62.6564539</v>
      </c>
      <c r="P874" s="6" t="str">
        <f t="shared" si="2"/>
        <v>Post-Shift</v>
      </c>
      <c r="Q874" s="3">
        <f t="shared" si="3"/>
        <v>30</v>
      </c>
    </row>
    <row r="875">
      <c r="A875" s="4">
        <v>45333.0</v>
      </c>
      <c r="B875" s="2" t="s">
        <v>18</v>
      </c>
      <c r="C875" s="2" t="s">
        <v>41</v>
      </c>
      <c r="D875" s="2" t="s">
        <v>24</v>
      </c>
      <c r="E875" s="2" t="s">
        <v>25</v>
      </c>
      <c r="F875" s="5">
        <v>146295.0</v>
      </c>
      <c r="G875" s="5">
        <v>3394.0</v>
      </c>
      <c r="H875" s="5">
        <v>0.0232</v>
      </c>
      <c r="I875" s="5">
        <v>3.41</v>
      </c>
      <c r="J875" s="5">
        <v>11573.54</v>
      </c>
      <c r="K875" s="5">
        <v>195.0</v>
      </c>
      <c r="L875" s="5">
        <v>59.35</v>
      </c>
      <c r="M875" s="5">
        <v>49666.69</v>
      </c>
      <c r="N875" s="5">
        <v>4.29</v>
      </c>
      <c r="O875" s="6">
        <f t="shared" si="1"/>
        <v>59.35148718</v>
      </c>
      <c r="P875" s="6" t="str">
        <f t="shared" si="2"/>
        <v>Baseline</v>
      </c>
      <c r="Q875" s="3">
        <f t="shared" si="3"/>
        <v>44</v>
      </c>
    </row>
    <row r="876">
      <c r="A876" s="4" t="s">
        <v>90</v>
      </c>
      <c r="B876" s="2" t="s">
        <v>38</v>
      </c>
      <c r="C876" s="2" t="s">
        <v>19</v>
      </c>
      <c r="D876" s="2" t="s">
        <v>32</v>
      </c>
      <c r="E876" s="2" t="s">
        <v>56</v>
      </c>
      <c r="F876" s="5">
        <v>29343.0</v>
      </c>
      <c r="G876" s="5">
        <v>346.0</v>
      </c>
      <c r="H876" s="5">
        <v>0.0118</v>
      </c>
      <c r="I876" s="5">
        <v>2.01</v>
      </c>
      <c r="J876" s="5">
        <v>695.46</v>
      </c>
      <c r="K876" s="5">
        <v>7.0</v>
      </c>
      <c r="L876" s="5">
        <v>99.35</v>
      </c>
      <c r="M876" s="5">
        <v>672.01</v>
      </c>
      <c r="N876" s="5">
        <v>0.97</v>
      </c>
      <c r="O876" s="6">
        <f t="shared" si="1"/>
        <v>99.35142857</v>
      </c>
      <c r="P876" s="6" t="str">
        <f t="shared" si="2"/>
        <v>Post-Shift</v>
      </c>
      <c r="Q876" s="3">
        <f t="shared" si="3"/>
        <v>39</v>
      </c>
    </row>
    <row r="877">
      <c r="A877" s="4" t="s">
        <v>135</v>
      </c>
      <c r="B877" s="2" t="s">
        <v>23</v>
      </c>
      <c r="C877" s="2" t="s">
        <v>41</v>
      </c>
      <c r="D877" s="2" t="s">
        <v>24</v>
      </c>
      <c r="E877" s="2" t="s">
        <v>58</v>
      </c>
      <c r="F877" s="5">
        <v>154712.0</v>
      </c>
      <c r="G877" s="5">
        <v>10288.0</v>
      </c>
      <c r="H877" s="5">
        <v>0.0665</v>
      </c>
      <c r="I877" s="5">
        <v>1.08</v>
      </c>
      <c r="J877" s="5">
        <v>11111.04</v>
      </c>
      <c r="K877" s="5">
        <v>439.0</v>
      </c>
      <c r="L877" s="5">
        <v>25.31</v>
      </c>
      <c r="M877" s="5">
        <v>80440.02</v>
      </c>
      <c r="N877" s="5">
        <v>7.24</v>
      </c>
      <c r="O877" s="6">
        <f t="shared" si="1"/>
        <v>25.3098861</v>
      </c>
      <c r="P877" s="6" t="str">
        <f t="shared" si="2"/>
        <v>Post-Shift</v>
      </c>
      <c r="Q877" s="3">
        <f t="shared" si="3"/>
        <v>39</v>
      </c>
    </row>
    <row r="878">
      <c r="A878" s="4">
        <v>45447.0</v>
      </c>
      <c r="B878" s="2" t="s">
        <v>23</v>
      </c>
      <c r="C878" s="2" t="s">
        <v>27</v>
      </c>
      <c r="D878" s="2" t="s">
        <v>24</v>
      </c>
      <c r="E878" s="2" t="s">
        <v>33</v>
      </c>
      <c r="F878" s="5">
        <v>60438.0</v>
      </c>
      <c r="G878" s="5">
        <v>5554.0</v>
      </c>
      <c r="H878" s="5">
        <v>0.0919</v>
      </c>
      <c r="I878" s="5">
        <v>1.44</v>
      </c>
      <c r="J878" s="5">
        <v>7997.76</v>
      </c>
      <c r="K878" s="5">
        <v>286.0</v>
      </c>
      <c r="L878" s="5">
        <v>27.96</v>
      </c>
      <c r="M878" s="5">
        <v>35506.6</v>
      </c>
      <c r="N878" s="5">
        <v>4.44</v>
      </c>
      <c r="O878" s="6">
        <f t="shared" si="1"/>
        <v>27.9641958</v>
      </c>
      <c r="P878" s="6" t="str">
        <f t="shared" si="2"/>
        <v>Baseline</v>
      </c>
      <c r="Q878" s="3">
        <f t="shared" si="3"/>
        <v>14</v>
      </c>
    </row>
    <row r="879">
      <c r="A879" s="4">
        <v>45297.0</v>
      </c>
      <c r="B879" s="2" t="s">
        <v>18</v>
      </c>
      <c r="C879" s="2" t="s">
        <v>31</v>
      </c>
      <c r="D879" s="2" t="s">
        <v>24</v>
      </c>
      <c r="E879" s="2" t="s">
        <v>58</v>
      </c>
      <c r="F879" s="5">
        <v>18149.0</v>
      </c>
      <c r="G879" s="5">
        <v>918.0</v>
      </c>
      <c r="H879" s="5">
        <v>0.0506</v>
      </c>
      <c r="I879" s="5">
        <v>1.62</v>
      </c>
      <c r="J879" s="5">
        <v>1487.16</v>
      </c>
      <c r="K879" s="5">
        <v>14.0</v>
      </c>
      <c r="L879" s="5">
        <v>106.23</v>
      </c>
      <c r="M879" s="5">
        <v>3557.93</v>
      </c>
      <c r="N879" s="5">
        <v>2.39</v>
      </c>
      <c r="O879" s="6">
        <f t="shared" si="1"/>
        <v>106.2257143</v>
      </c>
      <c r="P879" s="6" t="str">
        <f t="shared" si="2"/>
        <v>Baseline</v>
      </c>
      <c r="Q879" s="3">
        <f t="shared" si="3"/>
        <v>22</v>
      </c>
    </row>
    <row r="880">
      <c r="A880" s="4">
        <v>45332.0</v>
      </c>
      <c r="B880" s="2" t="s">
        <v>23</v>
      </c>
      <c r="C880" s="2" t="s">
        <v>31</v>
      </c>
      <c r="D880" s="2" t="s">
        <v>32</v>
      </c>
      <c r="E880" s="2" t="s">
        <v>33</v>
      </c>
      <c r="F880" s="5">
        <v>39626.0</v>
      </c>
      <c r="G880" s="5">
        <v>1172.0</v>
      </c>
      <c r="H880" s="5">
        <v>0.0296</v>
      </c>
      <c r="I880" s="5">
        <v>0.58</v>
      </c>
      <c r="J880" s="5">
        <v>679.76</v>
      </c>
      <c r="K880" s="5">
        <v>22.0</v>
      </c>
      <c r="L880" s="5">
        <v>30.9</v>
      </c>
      <c r="M880" s="5">
        <v>1100.59</v>
      </c>
      <c r="N880" s="5">
        <v>1.62</v>
      </c>
      <c r="O880" s="6">
        <f t="shared" si="1"/>
        <v>30.89818182</v>
      </c>
      <c r="P880" s="6" t="str">
        <f t="shared" si="2"/>
        <v>Baseline</v>
      </c>
      <c r="Q880" s="3">
        <f t="shared" si="3"/>
        <v>40</v>
      </c>
    </row>
    <row r="881">
      <c r="A881" s="4" t="s">
        <v>245</v>
      </c>
      <c r="B881" s="2" t="s">
        <v>23</v>
      </c>
      <c r="C881" s="2" t="s">
        <v>31</v>
      </c>
      <c r="D881" s="2" t="s">
        <v>45</v>
      </c>
      <c r="E881" s="2" t="s">
        <v>21</v>
      </c>
      <c r="F881" s="5">
        <v>103730.0</v>
      </c>
      <c r="G881" s="5">
        <v>4335.0</v>
      </c>
      <c r="H881" s="5">
        <v>0.0418</v>
      </c>
      <c r="I881" s="5">
        <v>1.48</v>
      </c>
      <c r="J881" s="5">
        <v>6415.8</v>
      </c>
      <c r="K881" s="5">
        <v>104.0</v>
      </c>
      <c r="L881" s="5">
        <v>61.69</v>
      </c>
      <c r="M881" s="5">
        <v>27379.91</v>
      </c>
      <c r="N881" s="5">
        <v>4.27</v>
      </c>
      <c r="O881" s="6">
        <f t="shared" si="1"/>
        <v>61.69038462</v>
      </c>
      <c r="P881" s="6" t="str">
        <f t="shared" si="2"/>
        <v>Post-Shift</v>
      </c>
      <c r="Q881" s="3">
        <f t="shared" si="3"/>
        <v>16</v>
      </c>
    </row>
    <row r="882">
      <c r="A882" s="4" t="s">
        <v>251</v>
      </c>
      <c r="B882" s="2" t="s">
        <v>18</v>
      </c>
      <c r="C882" s="2" t="s">
        <v>41</v>
      </c>
      <c r="D882" s="2" t="s">
        <v>29</v>
      </c>
      <c r="E882" s="2" t="s">
        <v>30</v>
      </c>
      <c r="F882" s="5">
        <v>35346.0</v>
      </c>
      <c r="G882" s="5">
        <v>1279.0</v>
      </c>
      <c r="H882" s="5">
        <v>0.0362</v>
      </c>
      <c r="I882" s="5">
        <v>2.54</v>
      </c>
      <c r="J882" s="5">
        <v>3248.66</v>
      </c>
      <c r="K882" s="5">
        <v>48.0</v>
      </c>
      <c r="L882" s="5">
        <v>67.68</v>
      </c>
      <c r="M882" s="5">
        <v>1649.56</v>
      </c>
      <c r="N882" s="5">
        <v>0.51</v>
      </c>
      <c r="O882" s="6">
        <f t="shared" si="1"/>
        <v>67.68041667</v>
      </c>
      <c r="P882" s="6" t="str">
        <f t="shared" si="2"/>
        <v>Post-Shift</v>
      </c>
      <c r="Q882" s="3">
        <f t="shared" si="3"/>
        <v>26</v>
      </c>
    </row>
    <row r="883">
      <c r="A883" s="4" t="s">
        <v>236</v>
      </c>
      <c r="B883" s="2" t="s">
        <v>38</v>
      </c>
      <c r="C883" s="2" t="s">
        <v>27</v>
      </c>
      <c r="D883" s="2" t="s">
        <v>29</v>
      </c>
      <c r="E883" s="2" t="s">
        <v>58</v>
      </c>
      <c r="F883" s="5">
        <v>57776.0</v>
      </c>
      <c r="G883" s="5">
        <v>1490.0</v>
      </c>
      <c r="H883" s="5">
        <v>0.0258</v>
      </c>
      <c r="I883" s="5">
        <v>1.18</v>
      </c>
      <c r="J883" s="5">
        <v>1758.2</v>
      </c>
      <c r="K883" s="5">
        <v>107.0</v>
      </c>
      <c r="L883" s="5">
        <v>16.43</v>
      </c>
      <c r="M883" s="5">
        <v>22435.51</v>
      </c>
      <c r="N883" s="5">
        <v>12.76</v>
      </c>
      <c r="O883" s="6">
        <f t="shared" si="1"/>
        <v>16.4317757</v>
      </c>
      <c r="P883" s="6" t="str">
        <f t="shared" si="2"/>
        <v>Post-Shift</v>
      </c>
      <c r="Q883" s="3">
        <f t="shared" si="3"/>
        <v>5</v>
      </c>
    </row>
    <row r="884">
      <c r="A884" s="4" t="s">
        <v>135</v>
      </c>
      <c r="B884" s="2" t="s">
        <v>38</v>
      </c>
      <c r="C884" s="2" t="s">
        <v>31</v>
      </c>
      <c r="D884" s="2" t="s">
        <v>32</v>
      </c>
      <c r="E884" s="2" t="s">
        <v>21</v>
      </c>
      <c r="F884" s="5">
        <v>178916.0</v>
      </c>
      <c r="G884" s="5">
        <v>4723.0</v>
      </c>
      <c r="H884" s="5">
        <v>0.0264</v>
      </c>
      <c r="I884" s="5">
        <v>1.54</v>
      </c>
      <c r="J884" s="5">
        <v>7273.42</v>
      </c>
      <c r="K884" s="5">
        <v>147.0</v>
      </c>
      <c r="L884" s="5">
        <v>49.48</v>
      </c>
      <c r="M884" s="5">
        <v>29612.74</v>
      </c>
      <c r="N884" s="5">
        <v>4.07</v>
      </c>
      <c r="O884" s="6">
        <f t="shared" si="1"/>
        <v>49.47904762</v>
      </c>
      <c r="P884" s="6" t="str">
        <f t="shared" si="2"/>
        <v>Post-Shift</v>
      </c>
      <c r="Q884" s="3">
        <f t="shared" si="3"/>
        <v>39</v>
      </c>
    </row>
    <row r="885">
      <c r="A885" s="4" t="s">
        <v>105</v>
      </c>
      <c r="B885" s="2" t="s">
        <v>38</v>
      </c>
      <c r="C885" s="2" t="s">
        <v>19</v>
      </c>
      <c r="D885" s="2" t="s">
        <v>20</v>
      </c>
      <c r="E885" s="2" t="s">
        <v>36</v>
      </c>
      <c r="F885" s="5">
        <v>34778.0</v>
      </c>
      <c r="G885" s="5">
        <v>705.0</v>
      </c>
      <c r="H885" s="5">
        <v>0.0203</v>
      </c>
      <c r="I885" s="5">
        <v>1.56</v>
      </c>
      <c r="J885" s="5">
        <v>1099.8</v>
      </c>
      <c r="K885" s="5">
        <v>35.0</v>
      </c>
      <c r="L885" s="5">
        <v>31.42</v>
      </c>
      <c r="M885" s="5">
        <v>2280.29</v>
      </c>
      <c r="N885" s="5">
        <v>2.07</v>
      </c>
      <c r="O885" s="6">
        <f t="shared" si="1"/>
        <v>31.42285714</v>
      </c>
      <c r="P885" s="6" t="str">
        <f t="shared" si="2"/>
        <v>Post-Shift</v>
      </c>
      <c r="Q885" s="3">
        <f t="shared" si="3"/>
        <v>51</v>
      </c>
    </row>
    <row r="886">
      <c r="A886" s="4">
        <v>45418.0</v>
      </c>
      <c r="B886" s="2" t="s">
        <v>23</v>
      </c>
      <c r="C886" s="2" t="s">
        <v>19</v>
      </c>
      <c r="D886" s="2" t="s">
        <v>20</v>
      </c>
      <c r="E886" s="2" t="s">
        <v>58</v>
      </c>
      <c r="F886" s="5">
        <v>179120.0</v>
      </c>
      <c r="G886" s="5">
        <v>8794.0</v>
      </c>
      <c r="H886" s="5">
        <v>0.0491</v>
      </c>
      <c r="I886" s="5">
        <v>0.96</v>
      </c>
      <c r="J886" s="5">
        <v>8442.24</v>
      </c>
      <c r="K886" s="5">
        <v>646.0</v>
      </c>
      <c r="L886" s="5">
        <v>13.07</v>
      </c>
      <c r="M886" s="5">
        <v>31918.96</v>
      </c>
      <c r="N886" s="5">
        <v>3.78</v>
      </c>
      <c r="O886" s="6">
        <f t="shared" si="1"/>
        <v>13.06848297</v>
      </c>
      <c r="P886" s="6" t="str">
        <f t="shared" si="2"/>
        <v>Baseline</v>
      </c>
      <c r="Q886" s="3">
        <f t="shared" si="3"/>
        <v>23</v>
      </c>
    </row>
    <row r="887">
      <c r="A887" s="4" t="s">
        <v>194</v>
      </c>
      <c r="B887" s="2" t="s">
        <v>38</v>
      </c>
      <c r="C887" s="2" t="s">
        <v>41</v>
      </c>
      <c r="D887" s="2" t="s">
        <v>20</v>
      </c>
      <c r="E887" s="2" t="s">
        <v>21</v>
      </c>
      <c r="F887" s="5">
        <v>91706.0</v>
      </c>
      <c r="G887" s="5">
        <v>1650.0</v>
      </c>
      <c r="H887" s="5">
        <v>0.018</v>
      </c>
      <c r="I887" s="5">
        <v>1.68</v>
      </c>
      <c r="J887" s="5">
        <v>2772.0</v>
      </c>
      <c r="K887" s="5">
        <v>80.0</v>
      </c>
      <c r="L887" s="5">
        <v>34.65</v>
      </c>
      <c r="M887" s="5">
        <v>8391.32</v>
      </c>
      <c r="N887" s="5">
        <v>3.03</v>
      </c>
      <c r="O887" s="6">
        <f t="shared" si="1"/>
        <v>34.65</v>
      </c>
      <c r="P887" s="6" t="str">
        <f t="shared" si="2"/>
        <v>Post-Shift</v>
      </c>
      <c r="Q887" s="3">
        <f t="shared" si="3"/>
        <v>25</v>
      </c>
    </row>
    <row r="888">
      <c r="A888" s="4" t="s">
        <v>134</v>
      </c>
      <c r="B888" s="2" t="s">
        <v>38</v>
      </c>
      <c r="C888" s="2" t="s">
        <v>41</v>
      </c>
      <c r="D888" s="2" t="s">
        <v>24</v>
      </c>
      <c r="E888" s="2" t="s">
        <v>33</v>
      </c>
      <c r="F888" s="5">
        <v>7056.0</v>
      </c>
      <c r="G888" s="5">
        <v>227.0</v>
      </c>
      <c r="H888" s="5">
        <v>0.0322</v>
      </c>
      <c r="I888" s="5">
        <v>0.82</v>
      </c>
      <c r="J888" s="5">
        <v>186.14</v>
      </c>
      <c r="K888" s="5">
        <v>6.0</v>
      </c>
      <c r="L888" s="5">
        <v>31.02</v>
      </c>
      <c r="M888" s="5">
        <v>1653.16</v>
      </c>
      <c r="N888" s="5">
        <v>8.88</v>
      </c>
      <c r="O888" s="6">
        <f t="shared" si="1"/>
        <v>31.02333333</v>
      </c>
      <c r="P888" s="6" t="str">
        <f t="shared" si="2"/>
        <v>Post-Shift</v>
      </c>
      <c r="Q888" s="3">
        <f t="shared" si="3"/>
        <v>38</v>
      </c>
    </row>
    <row r="889">
      <c r="A889" s="4" t="s">
        <v>17</v>
      </c>
      <c r="B889" s="2" t="s">
        <v>38</v>
      </c>
      <c r="C889" s="2" t="s">
        <v>41</v>
      </c>
      <c r="D889" s="2" t="s">
        <v>45</v>
      </c>
      <c r="E889" s="2" t="s">
        <v>33</v>
      </c>
      <c r="F889" s="5">
        <v>161646.0</v>
      </c>
      <c r="G889" s="5">
        <v>5253.0</v>
      </c>
      <c r="H889" s="5">
        <v>0.0325</v>
      </c>
      <c r="I889" s="5">
        <v>1.0</v>
      </c>
      <c r="J889" s="5">
        <v>5253.0</v>
      </c>
      <c r="K889" s="5">
        <v>228.0</v>
      </c>
      <c r="L889" s="5">
        <v>23.04</v>
      </c>
      <c r="M889" s="5">
        <v>43732.39</v>
      </c>
      <c r="N889" s="5">
        <v>8.33</v>
      </c>
      <c r="O889" s="6">
        <f t="shared" si="1"/>
        <v>23.03947368</v>
      </c>
      <c r="P889" s="6" t="str">
        <f t="shared" si="2"/>
        <v>Post-Shift</v>
      </c>
      <c r="Q889" s="3">
        <f t="shared" si="3"/>
        <v>4</v>
      </c>
    </row>
    <row r="890">
      <c r="A890" s="4">
        <v>45416.0</v>
      </c>
      <c r="B890" s="2" t="s">
        <v>18</v>
      </c>
      <c r="C890" s="2" t="s">
        <v>27</v>
      </c>
      <c r="D890" s="2" t="s">
        <v>32</v>
      </c>
      <c r="E890" s="2" t="s">
        <v>36</v>
      </c>
      <c r="F890" s="5">
        <v>177115.0</v>
      </c>
      <c r="G890" s="5">
        <v>8005.0</v>
      </c>
      <c r="H890" s="5">
        <v>0.0452</v>
      </c>
      <c r="I890" s="5">
        <v>2.9</v>
      </c>
      <c r="J890" s="5">
        <v>23214.5</v>
      </c>
      <c r="K890" s="5">
        <v>460.0</v>
      </c>
      <c r="L890" s="5">
        <v>50.47</v>
      </c>
      <c r="M890" s="5">
        <v>108688.4</v>
      </c>
      <c r="N890" s="5">
        <v>4.68</v>
      </c>
      <c r="O890" s="6">
        <f t="shared" si="1"/>
        <v>50.46630435</v>
      </c>
      <c r="P890" s="6" t="str">
        <f t="shared" si="2"/>
        <v>Baseline</v>
      </c>
      <c r="Q890" s="3">
        <f t="shared" si="3"/>
        <v>14</v>
      </c>
    </row>
    <row r="891">
      <c r="A891" s="4">
        <v>45361.0</v>
      </c>
      <c r="B891" s="2" t="s">
        <v>23</v>
      </c>
      <c r="C891" s="2" t="s">
        <v>19</v>
      </c>
      <c r="D891" s="2" t="s">
        <v>29</v>
      </c>
      <c r="E891" s="2" t="s">
        <v>58</v>
      </c>
      <c r="F891" s="5">
        <v>141087.0</v>
      </c>
      <c r="G891" s="5">
        <v>10609.0</v>
      </c>
      <c r="H891" s="5">
        <v>0.0752</v>
      </c>
      <c r="I891" s="5">
        <v>0.44</v>
      </c>
      <c r="J891" s="5">
        <v>4667.96</v>
      </c>
      <c r="K891" s="5">
        <v>737.0</v>
      </c>
      <c r="L891" s="5">
        <v>6.33</v>
      </c>
      <c r="M891" s="5">
        <v>190244.6</v>
      </c>
      <c r="N891" s="5">
        <v>40.76</v>
      </c>
      <c r="O891" s="6">
        <f t="shared" si="1"/>
        <v>6.333731343</v>
      </c>
      <c r="P891" s="6" t="str">
        <f t="shared" si="2"/>
        <v>Baseline</v>
      </c>
      <c r="Q891" s="3">
        <f t="shared" si="3"/>
        <v>40</v>
      </c>
    </row>
    <row r="892">
      <c r="A892" s="4">
        <v>45362.0</v>
      </c>
      <c r="B892" s="2" t="s">
        <v>23</v>
      </c>
      <c r="C892" s="2" t="s">
        <v>27</v>
      </c>
      <c r="D892" s="2" t="s">
        <v>32</v>
      </c>
      <c r="E892" s="2" t="s">
        <v>58</v>
      </c>
      <c r="F892" s="5">
        <v>184745.0</v>
      </c>
      <c r="G892" s="5">
        <v>12451.0</v>
      </c>
      <c r="H892" s="5">
        <v>0.0674</v>
      </c>
      <c r="I892" s="5">
        <v>1.67</v>
      </c>
      <c r="J892" s="5">
        <v>20793.17</v>
      </c>
      <c r="K892" s="5">
        <v>404.0</v>
      </c>
      <c r="L892" s="5">
        <v>51.47</v>
      </c>
      <c r="M892" s="5">
        <v>23357.33</v>
      </c>
      <c r="N892" s="5">
        <v>1.12</v>
      </c>
      <c r="O892" s="6">
        <f t="shared" si="1"/>
        <v>51.46824257</v>
      </c>
      <c r="P892" s="6" t="str">
        <f t="shared" si="2"/>
        <v>Baseline</v>
      </c>
      <c r="Q892" s="3">
        <f t="shared" si="3"/>
        <v>45</v>
      </c>
    </row>
    <row r="893">
      <c r="A893" s="4">
        <v>45574.0</v>
      </c>
      <c r="B893" s="2" t="s">
        <v>18</v>
      </c>
      <c r="C893" s="2" t="s">
        <v>31</v>
      </c>
      <c r="D893" s="2" t="s">
        <v>45</v>
      </c>
      <c r="E893" s="2" t="s">
        <v>21</v>
      </c>
      <c r="F893" s="5">
        <v>104969.0</v>
      </c>
      <c r="G893" s="5">
        <v>5773.0</v>
      </c>
      <c r="H893" s="5">
        <v>0.055</v>
      </c>
      <c r="I893" s="5">
        <v>1.42</v>
      </c>
      <c r="J893" s="5">
        <v>8197.66</v>
      </c>
      <c r="K893" s="5">
        <v>142.0</v>
      </c>
      <c r="L893" s="5">
        <v>57.73</v>
      </c>
      <c r="M893" s="5">
        <v>24245.52</v>
      </c>
      <c r="N893" s="5">
        <v>2.96</v>
      </c>
      <c r="O893" s="6">
        <f t="shared" si="1"/>
        <v>57.73</v>
      </c>
      <c r="P893" s="6" t="str">
        <f t="shared" si="2"/>
        <v>Post-Shift</v>
      </c>
      <c r="Q893" s="3">
        <f t="shared" si="3"/>
        <v>37</v>
      </c>
    </row>
    <row r="894">
      <c r="A894" s="4">
        <v>45357.0</v>
      </c>
      <c r="B894" s="2" t="s">
        <v>23</v>
      </c>
      <c r="C894" s="2" t="s">
        <v>31</v>
      </c>
      <c r="D894" s="2" t="s">
        <v>20</v>
      </c>
      <c r="E894" s="2" t="s">
        <v>56</v>
      </c>
      <c r="F894" s="5">
        <v>80885.0</v>
      </c>
      <c r="G894" s="5">
        <v>3995.0</v>
      </c>
      <c r="H894" s="5">
        <v>0.0494</v>
      </c>
      <c r="I894" s="5">
        <v>0.44</v>
      </c>
      <c r="J894" s="5">
        <v>1757.8</v>
      </c>
      <c r="K894" s="5">
        <v>79.0</v>
      </c>
      <c r="L894" s="5">
        <v>22.25</v>
      </c>
      <c r="M894" s="5">
        <v>10692.34</v>
      </c>
      <c r="N894" s="5">
        <v>6.08</v>
      </c>
      <c r="O894" s="6">
        <f t="shared" si="1"/>
        <v>22.25063291</v>
      </c>
      <c r="P894" s="6" t="str">
        <f t="shared" si="2"/>
        <v>Baseline</v>
      </c>
      <c r="Q894" s="3">
        <f t="shared" si="3"/>
        <v>23</v>
      </c>
    </row>
    <row r="895">
      <c r="A895" s="4" t="s">
        <v>98</v>
      </c>
      <c r="B895" s="2" t="s">
        <v>18</v>
      </c>
      <c r="C895" s="2" t="s">
        <v>27</v>
      </c>
      <c r="D895" s="2" t="s">
        <v>45</v>
      </c>
      <c r="E895" s="2" t="s">
        <v>36</v>
      </c>
      <c r="F895" s="5">
        <v>33807.0</v>
      </c>
      <c r="G895" s="5">
        <v>807.0</v>
      </c>
      <c r="H895" s="5">
        <v>0.0239</v>
      </c>
      <c r="I895" s="5">
        <v>2.03</v>
      </c>
      <c r="J895" s="5">
        <v>1638.21</v>
      </c>
      <c r="K895" s="5">
        <v>25.0</v>
      </c>
      <c r="L895" s="5">
        <v>65.53</v>
      </c>
      <c r="M895" s="5">
        <v>5072.77</v>
      </c>
      <c r="N895" s="5">
        <v>3.1</v>
      </c>
      <c r="O895" s="6">
        <f t="shared" si="1"/>
        <v>65.5284</v>
      </c>
      <c r="P895" s="6" t="str">
        <f t="shared" si="2"/>
        <v>Post-Shift</v>
      </c>
      <c r="Q895" s="3">
        <f t="shared" si="3"/>
        <v>16</v>
      </c>
    </row>
    <row r="896">
      <c r="A896" s="4" t="s">
        <v>67</v>
      </c>
      <c r="B896" s="2" t="s">
        <v>38</v>
      </c>
      <c r="C896" s="2" t="s">
        <v>19</v>
      </c>
      <c r="D896" s="2" t="s">
        <v>32</v>
      </c>
      <c r="E896" s="2" t="s">
        <v>56</v>
      </c>
      <c r="F896" s="5">
        <v>198074.0</v>
      </c>
      <c r="G896" s="5">
        <v>5783.0</v>
      </c>
      <c r="H896" s="5">
        <v>0.0292</v>
      </c>
      <c r="I896" s="5">
        <v>0.61</v>
      </c>
      <c r="J896" s="5">
        <v>3527.63</v>
      </c>
      <c r="K896" s="5">
        <v>263.0</v>
      </c>
      <c r="L896" s="5">
        <v>13.41</v>
      </c>
      <c r="M896" s="5">
        <v>60037.86</v>
      </c>
      <c r="N896" s="5">
        <v>17.02</v>
      </c>
      <c r="O896" s="6">
        <f t="shared" si="1"/>
        <v>13.41304183</v>
      </c>
      <c r="P896" s="6" t="str">
        <f t="shared" si="2"/>
        <v>Post-Shift</v>
      </c>
      <c r="Q896" s="3">
        <f t="shared" si="3"/>
        <v>12</v>
      </c>
    </row>
    <row r="897">
      <c r="A897" s="4" t="s">
        <v>252</v>
      </c>
      <c r="B897" s="2" t="s">
        <v>18</v>
      </c>
      <c r="C897" s="2" t="s">
        <v>19</v>
      </c>
      <c r="D897" s="2" t="s">
        <v>24</v>
      </c>
      <c r="E897" s="2" t="s">
        <v>25</v>
      </c>
      <c r="F897" s="5">
        <v>115282.0</v>
      </c>
      <c r="G897" s="5">
        <v>4876.0</v>
      </c>
      <c r="H897" s="5">
        <v>0.0423</v>
      </c>
      <c r="I897" s="5">
        <v>3.76</v>
      </c>
      <c r="J897" s="5">
        <v>18333.76</v>
      </c>
      <c r="K897" s="5">
        <v>77.0</v>
      </c>
      <c r="L897" s="5">
        <v>238.1</v>
      </c>
      <c r="M897" s="5">
        <v>2427.15</v>
      </c>
      <c r="N897" s="5">
        <v>0.13</v>
      </c>
      <c r="O897" s="6">
        <f t="shared" si="1"/>
        <v>238.1007792</v>
      </c>
      <c r="P897" s="6" t="str">
        <f t="shared" si="2"/>
        <v>Post-Shift</v>
      </c>
      <c r="Q897" s="3">
        <f t="shared" si="3"/>
        <v>47</v>
      </c>
    </row>
    <row r="898">
      <c r="A898" s="4" t="s">
        <v>64</v>
      </c>
      <c r="B898" s="2" t="s">
        <v>18</v>
      </c>
      <c r="C898" s="2" t="s">
        <v>41</v>
      </c>
      <c r="D898" s="2" t="s">
        <v>29</v>
      </c>
      <c r="E898" s="2" t="s">
        <v>30</v>
      </c>
      <c r="F898" s="5">
        <v>45880.0</v>
      </c>
      <c r="G898" s="5">
        <v>2817.0</v>
      </c>
      <c r="H898" s="5">
        <v>0.0614</v>
      </c>
      <c r="I898" s="5">
        <v>1.14</v>
      </c>
      <c r="J898" s="5">
        <v>3211.38</v>
      </c>
      <c r="K898" s="5">
        <v>62.0</v>
      </c>
      <c r="L898" s="5">
        <v>51.8</v>
      </c>
      <c r="M898" s="5">
        <v>2770.83</v>
      </c>
      <c r="N898" s="5">
        <v>0.86</v>
      </c>
      <c r="O898" s="6">
        <f t="shared" si="1"/>
        <v>51.79645161</v>
      </c>
      <c r="P898" s="6" t="str">
        <f t="shared" si="2"/>
        <v>Post-Shift</v>
      </c>
      <c r="Q898" s="3">
        <f t="shared" si="3"/>
        <v>9</v>
      </c>
    </row>
    <row r="899">
      <c r="A899" s="4" t="s">
        <v>109</v>
      </c>
      <c r="B899" s="2" t="s">
        <v>38</v>
      </c>
      <c r="C899" s="2" t="s">
        <v>19</v>
      </c>
      <c r="D899" s="2" t="s">
        <v>29</v>
      </c>
      <c r="E899" s="2" t="s">
        <v>33</v>
      </c>
      <c r="F899" s="5">
        <v>20993.0</v>
      </c>
      <c r="G899" s="5">
        <v>583.0</v>
      </c>
      <c r="H899" s="5">
        <v>0.0278</v>
      </c>
      <c r="I899" s="5">
        <v>1.28</v>
      </c>
      <c r="J899" s="5">
        <v>746.24</v>
      </c>
      <c r="K899" s="5">
        <v>45.0</v>
      </c>
      <c r="L899" s="5">
        <v>16.58</v>
      </c>
      <c r="M899" s="5">
        <v>4493.83</v>
      </c>
      <c r="N899" s="5">
        <v>6.02</v>
      </c>
      <c r="O899" s="6">
        <f t="shared" si="1"/>
        <v>16.58311111</v>
      </c>
      <c r="P899" s="6" t="str">
        <f t="shared" si="2"/>
        <v>Post-Shift</v>
      </c>
      <c r="Q899" s="3">
        <f t="shared" si="3"/>
        <v>21</v>
      </c>
    </row>
    <row r="900">
      <c r="A900" s="4">
        <v>45599.0</v>
      </c>
      <c r="B900" s="2" t="s">
        <v>18</v>
      </c>
      <c r="C900" s="2" t="s">
        <v>27</v>
      </c>
      <c r="D900" s="2" t="s">
        <v>32</v>
      </c>
      <c r="E900" s="2" t="s">
        <v>36</v>
      </c>
      <c r="F900" s="5">
        <v>183448.0</v>
      </c>
      <c r="G900" s="5">
        <v>8053.0</v>
      </c>
      <c r="H900" s="5">
        <v>0.0439</v>
      </c>
      <c r="I900" s="5">
        <v>2.08</v>
      </c>
      <c r="J900" s="5">
        <v>16750.24</v>
      </c>
      <c r="K900" s="5">
        <v>351.0</v>
      </c>
      <c r="L900" s="5">
        <v>47.72</v>
      </c>
      <c r="M900" s="5">
        <v>74979.38</v>
      </c>
      <c r="N900" s="5">
        <v>4.48</v>
      </c>
      <c r="O900" s="6">
        <f t="shared" si="1"/>
        <v>47.72148148</v>
      </c>
      <c r="P900" s="6" t="str">
        <f t="shared" si="2"/>
        <v>Post-Shift</v>
      </c>
      <c r="Q900" s="3">
        <f t="shared" si="3"/>
        <v>11</v>
      </c>
    </row>
    <row r="901">
      <c r="A901" s="4" t="s">
        <v>17</v>
      </c>
      <c r="B901" s="2" t="s">
        <v>23</v>
      </c>
      <c r="C901" s="2" t="s">
        <v>31</v>
      </c>
      <c r="D901" s="2" t="s">
        <v>24</v>
      </c>
      <c r="E901" s="2" t="s">
        <v>21</v>
      </c>
      <c r="F901" s="5">
        <v>119944.0</v>
      </c>
      <c r="G901" s="5">
        <v>9331.0</v>
      </c>
      <c r="H901" s="5">
        <v>0.0778</v>
      </c>
      <c r="I901" s="5">
        <v>0.61</v>
      </c>
      <c r="J901" s="5">
        <v>5691.91</v>
      </c>
      <c r="K901" s="5">
        <v>717.0</v>
      </c>
      <c r="L901" s="5">
        <v>7.94</v>
      </c>
      <c r="M901" s="5">
        <v>101587.5</v>
      </c>
      <c r="N901" s="5">
        <v>17.85</v>
      </c>
      <c r="O901" s="6">
        <f t="shared" si="1"/>
        <v>7.938507671</v>
      </c>
      <c r="P901" s="6" t="str">
        <f t="shared" si="2"/>
        <v>Post-Shift</v>
      </c>
      <c r="Q901" s="3">
        <f t="shared" si="3"/>
        <v>4</v>
      </c>
    </row>
    <row r="902">
      <c r="A902" s="4" t="s">
        <v>192</v>
      </c>
      <c r="B902" s="2" t="s">
        <v>23</v>
      </c>
      <c r="C902" s="2" t="s">
        <v>19</v>
      </c>
      <c r="D902" s="2" t="s">
        <v>29</v>
      </c>
      <c r="E902" s="2" t="s">
        <v>36</v>
      </c>
      <c r="F902" s="5">
        <v>69198.0</v>
      </c>
      <c r="G902" s="5">
        <v>3529.0</v>
      </c>
      <c r="H902" s="5">
        <v>0.051</v>
      </c>
      <c r="I902" s="5">
        <v>0.55</v>
      </c>
      <c r="J902" s="5">
        <v>1940.95</v>
      </c>
      <c r="K902" s="5">
        <v>256.0</v>
      </c>
      <c r="L902" s="5">
        <v>7.58</v>
      </c>
      <c r="M902" s="5">
        <v>15199.33</v>
      </c>
      <c r="N902" s="5">
        <v>7.83</v>
      </c>
      <c r="O902" s="6">
        <f t="shared" si="1"/>
        <v>7.581835938</v>
      </c>
      <c r="P902" s="6" t="str">
        <f t="shared" si="2"/>
        <v>Post-Shift</v>
      </c>
      <c r="Q902" s="3">
        <f t="shared" si="3"/>
        <v>4</v>
      </c>
    </row>
    <row r="903">
      <c r="A903" s="4">
        <v>45516.0</v>
      </c>
      <c r="B903" s="2" t="s">
        <v>38</v>
      </c>
      <c r="C903" s="2" t="s">
        <v>19</v>
      </c>
      <c r="D903" s="2" t="s">
        <v>29</v>
      </c>
      <c r="E903" s="2" t="s">
        <v>25</v>
      </c>
      <c r="F903" s="5">
        <v>46936.0</v>
      </c>
      <c r="G903" s="5">
        <v>2234.0</v>
      </c>
      <c r="H903" s="5">
        <v>0.0476</v>
      </c>
      <c r="I903" s="5">
        <v>0.79</v>
      </c>
      <c r="J903" s="5">
        <v>1764.86</v>
      </c>
      <c r="K903" s="5">
        <v>55.0</v>
      </c>
      <c r="L903" s="5">
        <v>32.09</v>
      </c>
      <c r="M903" s="5">
        <v>5977.87</v>
      </c>
      <c r="N903" s="5">
        <v>3.39</v>
      </c>
      <c r="O903" s="6">
        <f t="shared" si="1"/>
        <v>32.08836364</v>
      </c>
      <c r="P903" s="6" t="str">
        <f t="shared" si="2"/>
        <v>Post-Shift</v>
      </c>
      <c r="Q903" s="3">
        <f t="shared" si="3"/>
        <v>50</v>
      </c>
    </row>
    <row r="904">
      <c r="A904" s="4">
        <v>45389.0</v>
      </c>
      <c r="B904" s="2" t="s">
        <v>23</v>
      </c>
      <c r="C904" s="2" t="s">
        <v>27</v>
      </c>
      <c r="D904" s="2" t="s">
        <v>24</v>
      </c>
      <c r="E904" s="2" t="s">
        <v>56</v>
      </c>
      <c r="F904" s="5">
        <v>21689.0</v>
      </c>
      <c r="G904" s="5">
        <v>895.0</v>
      </c>
      <c r="H904" s="5">
        <v>0.0413</v>
      </c>
      <c r="I904" s="5">
        <v>0.95</v>
      </c>
      <c r="J904" s="5">
        <v>850.25</v>
      </c>
      <c r="K904" s="5">
        <v>22.0</v>
      </c>
      <c r="L904" s="5">
        <v>38.65</v>
      </c>
      <c r="M904" s="5">
        <v>4747.38</v>
      </c>
      <c r="N904" s="5">
        <v>5.58</v>
      </c>
      <c r="O904" s="6">
        <f t="shared" si="1"/>
        <v>38.64772727</v>
      </c>
      <c r="P904" s="6" t="str">
        <f t="shared" si="2"/>
        <v>Baseline</v>
      </c>
      <c r="Q904" s="3">
        <f t="shared" si="3"/>
        <v>27</v>
      </c>
    </row>
    <row r="905">
      <c r="A905" s="4" t="s">
        <v>142</v>
      </c>
      <c r="B905" s="2" t="s">
        <v>23</v>
      </c>
      <c r="C905" s="2" t="s">
        <v>19</v>
      </c>
      <c r="D905" s="2" t="s">
        <v>24</v>
      </c>
      <c r="E905" s="2" t="s">
        <v>56</v>
      </c>
      <c r="F905" s="5">
        <v>24504.0</v>
      </c>
      <c r="G905" s="5">
        <v>899.0</v>
      </c>
      <c r="H905" s="5">
        <v>0.0367</v>
      </c>
      <c r="I905" s="5">
        <v>1.42</v>
      </c>
      <c r="J905" s="5">
        <v>1276.58</v>
      </c>
      <c r="K905" s="5">
        <v>41.0</v>
      </c>
      <c r="L905" s="5">
        <v>31.14</v>
      </c>
      <c r="M905" s="5">
        <v>3721.4</v>
      </c>
      <c r="N905" s="5">
        <v>2.92</v>
      </c>
      <c r="O905" s="6">
        <f t="shared" si="1"/>
        <v>31.13609756</v>
      </c>
      <c r="P905" s="6" t="str">
        <f t="shared" si="2"/>
        <v>Post-Shift</v>
      </c>
      <c r="Q905" s="3">
        <f t="shared" si="3"/>
        <v>11</v>
      </c>
    </row>
    <row r="906">
      <c r="A906" s="4" t="s">
        <v>171</v>
      </c>
      <c r="B906" s="2" t="s">
        <v>38</v>
      </c>
      <c r="C906" s="2" t="s">
        <v>31</v>
      </c>
      <c r="D906" s="2" t="s">
        <v>45</v>
      </c>
      <c r="E906" s="2" t="s">
        <v>36</v>
      </c>
      <c r="F906" s="5">
        <v>119053.0</v>
      </c>
      <c r="G906" s="5">
        <v>4000.0</v>
      </c>
      <c r="H906" s="5">
        <v>0.0336</v>
      </c>
      <c r="I906" s="5">
        <v>1.01</v>
      </c>
      <c r="J906" s="5">
        <v>4040.0</v>
      </c>
      <c r="K906" s="5">
        <v>152.0</v>
      </c>
      <c r="L906" s="5">
        <v>26.58</v>
      </c>
      <c r="M906" s="5">
        <v>25959.16</v>
      </c>
      <c r="N906" s="5">
        <v>6.43</v>
      </c>
      <c r="O906" s="6">
        <f t="shared" si="1"/>
        <v>26.57894737</v>
      </c>
      <c r="P906" s="6" t="str">
        <f t="shared" si="2"/>
        <v>Post-Shift</v>
      </c>
      <c r="Q906" s="3">
        <f t="shared" si="3"/>
        <v>16</v>
      </c>
    </row>
    <row r="907">
      <c r="A907" s="4" t="s">
        <v>17</v>
      </c>
      <c r="B907" s="2" t="s">
        <v>23</v>
      </c>
      <c r="C907" s="2" t="s">
        <v>19</v>
      </c>
      <c r="D907" s="2" t="s">
        <v>29</v>
      </c>
      <c r="E907" s="2" t="s">
        <v>36</v>
      </c>
      <c r="F907" s="5">
        <v>160522.0</v>
      </c>
      <c r="G907" s="5">
        <v>5425.0</v>
      </c>
      <c r="H907" s="5">
        <v>0.0338</v>
      </c>
      <c r="I907" s="5">
        <v>1.11</v>
      </c>
      <c r="J907" s="5">
        <v>6021.75</v>
      </c>
      <c r="K907" s="5">
        <v>398.0</v>
      </c>
      <c r="L907" s="5">
        <v>15.13</v>
      </c>
      <c r="M907" s="5">
        <v>79057.93</v>
      </c>
      <c r="N907" s="5">
        <v>13.13</v>
      </c>
      <c r="O907" s="6">
        <f t="shared" si="1"/>
        <v>15.13002513</v>
      </c>
      <c r="P907" s="6" t="str">
        <f t="shared" si="2"/>
        <v>Post-Shift</v>
      </c>
      <c r="Q907" s="3">
        <f t="shared" si="3"/>
        <v>4</v>
      </c>
    </row>
    <row r="908">
      <c r="A908" s="4">
        <v>45390.0</v>
      </c>
      <c r="B908" s="2" t="s">
        <v>18</v>
      </c>
      <c r="C908" s="2" t="s">
        <v>31</v>
      </c>
      <c r="D908" s="2" t="s">
        <v>24</v>
      </c>
      <c r="E908" s="2" t="s">
        <v>25</v>
      </c>
      <c r="F908" s="5">
        <v>158627.0</v>
      </c>
      <c r="G908" s="5">
        <v>7725.0</v>
      </c>
      <c r="H908" s="5">
        <v>0.0487</v>
      </c>
      <c r="I908" s="5">
        <v>2.88</v>
      </c>
      <c r="J908" s="5">
        <v>22248.0</v>
      </c>
      <c r="K908" s="5">
        <v>299.0</v>
      </c>
      <c r="L908" s="5">
        <v>74.41</v>
      </c>
      <c r="M908" s="5">
        <v>66700.13</v>
      </c>
      <c r="N908" s="5">
        <v>3.0</v>
      </c>
      <c r="O908" s="6">
        <f t="shared" si="1"/>
        <v>74.40802676</v>
      </c>
      <c r="P908" s="6" t="str">
        <f t="shared" si="2"/>
        <v>Baseline</v>
      </c>
      <c r="Q908" s="3">
        <f t="shared" si="3"/>
        <v>32</v>
      </c>
    </row>
    <row r="909">
      <c r="A909" s="4" t="s">
        <v>202</v>
      </c>
      <c r="B909" s="2" t="s">
        <v>38</v>
      </c>
      <c r="C909" s="2" t="s">
        <v>27</v>
      </c>
      <c r="D909" s="2" t="s">
        <v>32</v>
      </c>
      <c r="E909" s="2" t="s">
        <v>33</v>
      </c>
      <c r="F909" s="5">
        <v>157955.0</v>
      </c>
      <c r="G909" s="5">
        <v>2780.0</v>
      </c>
      <c r="H909" s="5">
        <v>0.0176</v>
      </c>
      <c r="I909" s="5">
        <v>0.62</v>
      </c>
      <c r="J909" s="5">
        <v>1723.6</v>
      </c>
      <c r="K909" s="5">
        <v>202.0</v>
      </c>
      <c r="L909" s="5">
        <v>8.53</v>
      </c>
      <c r="M909" s="5">
        <v>49191.36</v>
      </c>
      <c r="N909" s="5">
        <v>28.54</v>
      </c>
      <c r="O909" s="6">
        <f t="shared" si="1"/>
        <v>8.532673267</v>
      </c>
      <c r="P909" s="6" t="str">
        <f t="shared" si="2"/>
        <v>Post-Shift</v>
      </c>
      <c r="Q909" s="3">
        <f t="shared" si="3"/>
        <v>26</v>
      </c>
    </row>
    <row r="910">
      <c r="A910" s="4" t="s">
        <v>196</v>
      </c>
      <c r="B910" s="2" t="s">
        <v>38</v>
      </c>
      <c r="C910" s="2" t="s">
        <v>31</v>
      </c>
      <c r="D910" s="2" t="s">
        <v>24</v>
      </c>
      <c r="E910" s="2" t="s">
        <v>30</v>
      </c>
      <c r="F910" s="5">
        <v>196112.0</v>
      </c>
      <c r="G910" s="5">
        <v>2647.0</v>
      </c>
      <c r="H910" s="5">
        <v>0.0135</v>
      </c>
      <c r="I910" s="5">
        <v>1.51</v>
      </c>
      <c r="J910" s="5">
        <v>3996.97</v>
      </c>
      <c r="K910" s="5">
        <v>187.0</v>
      </c>
      <c r="L910" s="5">
        <v>21.37</v>
      </c>
      <c r="M910" s="5">
        <v>16387.67</v>
      </c>
      <c r="N910" s="5">
        <v>4.1</v>
      </c>
      <c r="O910" s="6">
        <f t="shared" si="1"/>
        <v>21.37417112</v>
      </c>
      <c r="P910" s="6" t="str">
        <f t="shared" si="2"/>
        <v>Post-Shift</v>
      </c>
      <c r="Q910" s="3">
        <f t="shared" si="3"/>
        <v>11</v>
      </c>
    </row>
    <row r="911">
      <c r="A911" s="4" t="s">
        <v>173</v>
      </c>
      <c r="B911" s="2" t="s">
        <v>38</v>
      </c>
      <c r="C911" s="2" t="s">
        <v>41</v>
      </c>
      <c r="D911" s="2" t="s">
        <v>24</v>
      </c>
      <c r="E911" s="2" t="s">
        <v>33</v>
      </c>
      <c r="F911" s="5">
        <v>67167.0</v>
      </c>
      <c r="G911" s="5">
        <v>1907.0</v>
      </c>
      <c r="H911" s="5">
        <v>0.0284</v>
      </c>
      <c r="I911" s="5">
        <v>1.43</v>
      </c>
      <c r="J911" s="5">
        <v>2727.01</v>
      </c>
      <c r="K911" s="5">
        <v>114.0</v>
      </c>
      <c r="L911" s="5">
        <v>23.92</v>
      </c>
      <c r="M911" s="5">
        <v>20596.75</v>
      </c>
      <c r="N911" s="5">
        <v>7.55</v>
      </c>
      <c r="O911" s="6">
        <f t="shared" si="1"/>
        <v>23.92114035</v>
      </c>
      <c r="P911" s="6" t="str">
        <f t="shared" si="2"/>
        <v>Post-Shift</v>
      </c>
      <c r="Q911" s="3">
        <f t="shared" si="3"/>
        <v>7</v>
      </c>
    </row>
    <row r="912">
      <c r="A912" s="4">
        <v>45481.0</v>
      </c>
      <c r="B912" s="2" t="s">
        <v>18</v>
      </c>
      <c r="C912" s="2" t="s">
        <v>41</v>
      </c>
      <c r="D912" s="2" t="s">
        <v>29</v>
      </c>
      <c r="E912" s="2" t="s">
        <v>56</v>
      </c>
      <c r="F912" s="5">
        <v>90550.0</v>
      </c>
      <c r="G912" s="5">
        <v>3966.0</v>
      </c>
      <c r="H912" s="5">
        <v>0.0438</v>
      </c>
      <c r="I912" s="5">
        <v>2.76</v>
      </c>
      <c r="J912" s="5">
        <v>10946.16</v>
      </c>
      <c r="K912" s="5">
        <v>207.0</v>
      </c>
      <c r="L912" s="5">
        <v>52.88</v>
      </c>
      <c r="M912" s="5">
        <v>7960.57</v>
      </c>
      <c r="N912" s="5">
        <v>0.73</v>
      </c>
      <c r="O912" s="6">
        <f t="shared" si="1"/>
        <v>52.88</v>
      </c>
      <c r="P912" s="6" t="str">
        <f t="shared" si="2"/>
        <v>Post-Shift</v>
      </c>
      <c r="Q912" s="3">
        <f t="shared" si="3"/>
        <v>32</v>
      </c>
    </row>
    <row r="913">
      <c r="A913" s="4">
        <v>45482.0</v>
      </c>
      <c r="B913" s="2" t="s">
        <v>18</v>
      </c>
      <c r="C913" s="2" t="s">
        <v>31</v>
      </c>
      <c r="D913" s="2" t="s">
        <v>24</v>
      </c>
      <c r="E913" s="2" t="s">
        <v>30</v>
      </c>
      <c r="F913" s="5">
        <v>91150.0</v>
      </c>
      <c r="G913" s="5">
        <v>4119.0</v>
      </c>
      <c r="H913" s="5">
        <v>0.0452</v>
      </c>
      <c r="I913" s="5">
        <v>3.83</v>
      </c>
      <c r="J913" s="5">
        <v>15775.77</v>
      </c>
      <c r="K913" s="5">
        <v>98.0</v>
      </c>
      <c r="L913" s="5">
        <v>160.98</v>
      </c>
      <c r="M913" s="5">
        <v>4547.95</v>
      </c>
      <c r="N913" s="5">
        <v>0.29</v>
      </c>
      <c r="O913" s="6">
        <f t="shared" si="1"/>
        <v>160.9772449</v>
      </c>
      <c r="P913" s="6" t="str">
        <f t="shared" si="2"/>
        <v>Post-Shift</v>
      </c>
      <c r="Q913" s="3">
        <f t="shared" si="3"/>
        <v>36</v>
      </c>
    </row>
    <row r="914">
      <c r="A914" s="4" t="s">
        <v>245</v>
      </c>
      <c r="B914" s="2" t="s">
        <v>18</v>
      </c>
      <c r="C914" s="2" t="s">
        <v>41</v>
      </c>
      <c r="D914" s="2" t="s">
        <v>20</v>
      </c>
      <c r="E914" s="2" t="s">
        <v>56</v>
      </c>
      <c r="F914" s="5">
        <v>157832.0</v>
      </c>
      <c r="G914" s="5">
        <v>4072.0</v>
      </c>
      <c r="H914" s="5">
        <v>0.0258</v>
      </c>
      <c r="I914" s="5">
        <v>2.38</v>
      </c>
      <c r="J914" s="5">
        <v>9691.36</v>
      </c>
      <c r="K914" s="5">
        <v>124.0</v>
      </c>
      <c r="L914" s="5">
        <v>78.16</v>
      </c>
      <c r="M914" s="5">
        <v>34560.39</v>
      </c>
      <c r="N914" s="5">
        <v>3.57</v>
      </c>
      <c r="O914" s="6">
        <f t="shared" si="1"/>
        <v>78.15612903</v>
      </c>
      <c r="P914" s="6" t="str">
        <f t="shared" si="2"/>
        <v>Post-Shift</v>
      </c>
      <c r="Q914" s="3">
        <f t="shared" si="3"/>
        <v>16</v>
      </c>
    </row>
    <row r="915">
      <c r="A915" s="4" t="s">
        <v>95</v>
      </c>
      <c r="B915" s="2" t="s">
        <v>18</v>
      </c>
      <c r="C915" s="2" t="s">
        <v>27</v>
      </c>
      <c r="D915" s="2" t="s">
        <v>20</v>
      </c>
      <c r="E915" s="2" t="s">
        <v>56</v>
      </c>
      <c r="F915" s="5">
        <v>28958.0</v>
      </c>
      <c r="G915" s="5">
        <v>1355.0</v>
      </c>
      <c r="H915" s="5">
        <v>0.0468</v>
      </c>
      <c r="I915" s="5">
        <v>2.87</v>
      </c>
      <c r="J915" s="5">
        <v>3888.85</v>
      </c>
      <c r="K915" s="5">
        <v>49.0</v>
      </c>
      <c r="L915" s="5">
        <v>79.36</v>
      </c>
      <c r="M915" s="5">
        <v>13909.3</v>
      </c>
      <c r="N915" s="5">
        <v>3.58</v>
      </c>
      <c r="O915" s="6">
        <f t="shared" si="1"/>
        <v>79.36428571</v>
      </c>
      <c r="P915" s="6" t="str">
        <f t="shared" si="2"/>
        <v>Post-Shift</v>
      </c>
      <c r="Q915" s="3">
        <f t="shared" si="3"/>
        <v>39</v>
      </c>
    </row>
    <row r="916">
      <c r="A916" s="4">
        <v>45546.0</v>
      </c>
      <c r="B916" s="2" t="s">
        <v>38</v>
      </c>
      <c r="C916" s="2" t="s">
        <v>31</v>
      </c>
      <c r="D916" s="2" t="s">
        <v>24</v>
      </c>
      <c r="E916" s="2" t="s">
        <v>21</v>
      </c>
      <c r="F916" s="5">
        <v>8487.0</v>
      </c>
      <c r="G916" s="5">
        <v>271.0</v>
      </c>
      <c r="H916" s="5">
        <v>0.032</v>
      </c>
      <c r="I916" s="5">
        <v>0.91</v>
      </c>
      <c r="J916" s="5">
        <v>246.61</v>
      </c>
      <c r="K916" s="5">
        <v>14.0</v>
      </c>
      <c r="L916" s="5">
        <v>17.62</v>
      </c>
      <c r="M916" s="5">
        <v>4179.96</v>
      </c>
      <c r="N916" s="5">
        <v>16.95</v>
      </c>
      <c r="O916" s="6">
        <f t="shared" si="1"/>
        <v>17.615</v>
      </c>
      <c r="P916" s="6" t="str">
        <f t="shared" si="2"/>
        <v>Post-Shift</v>
      </c>
      <c r="Q916" s="3">
        <f t="shared" si="3"/>
        <v>45</v>
      </c>
    </row>
    <row r="917">
      <c r="A917" s="4">
        <v>45383.0</v>
      </c>
      <c r="B917" s="2" t="s">
        <v>38</v>
      </c>
      <c r="C917" s="2" t="s">
        <v>31</v>
      </c>
      <c r="D917" s="2" t="s">
        <v>29</v>
      </c>
      <c r="E917" s="2" t="s">
        <v>36</v>
      </c>
      <c r="F917" s="5">
        <v>91284.0</v>
      </c>
      <c r="G917" s="5">
        <v>2126.0</v>
      </c>
      <c r="H917" s="5">
        <v>0.0233</v>
      </c>
      <c r="I917" s="5">
        <v>0.92</v>
      </c>
      <c r="J917" s="5">
        <v>1955.92</v>
      </c>
      <c r="K917" s="5">
        <v>132.0</v>
      </c>
      <c r="L917" s="5">
        <v>14.82</v>
      </c>
      <c r="M917" s="5">
        <v>23916.94</v>
      </c>
      <c r="N917" s="5">
        <v>12.23</v>
      </c>
      <c r="O917" s="6">
        <f t="shared" si="1"/>
        <v>14.81757576</v>
      </c>
      <c r="P917" s="6" t="str">
        <f t="shared" si="2"/>
        <v>Baseline</v>
      </c>
      <c r="Q917" s="3">
        <f t="shared" si="3"/>
        <v>1</v>
      </c>
    </row>
    <row r="918">
      <c r="A918" s="4" t="s">
        <v>128</v>
      </c>
      <c r="B918" s="2" t="s">
        <v>38</v>
      </c>
      <c r="C918" s="2" t="s">
        <v>27</v>
      </c>
      <c r="D918" s="2" t="s">
        <v>20</v>
      </c>
      <c r="E918" s="2" t="s">
        <v>33</v>
      </c>
      <c r="F918" s="5">
        <v>84737.0</v>
      </c>
      <c r="G918" s="5">
        <v>1415.0</v>
      </c>
      <c r="H918" s="5">
        <v>0.0167</v>
      </c>
      <c r="I918" s="5">
        <v>0.61</v>
      </c>
      <c r="J918" s="5">
        <v>863.15</v>
      </c>
      <c r="K918" s="5">
        <v>67.0</v>
      </c>
      <c r="L918" s="5">
        <v>12.88</v>
      </c>
      <c r="M918" s="5">
        <v>10044.57</v>
      </c>
      <c r="N918" s="5">
        <v>11.64</v>
      </c>
      <c r="O918" s="6">
        <f t="shared" si="1"/>
        <v>12.88283582</v>
      </c>
      <c r="P918" s="6" t="str">
        <f t="shared" si="2"/>
        <v>Post-Shift</v>
      </c>
      <c r="Q918" s="3">
        <f t="shared" si="3"/>
        <v>12</v>
      </c>
    </row>
    <row r="919">
      <c r="A919" s="4" t="s">
        <v>62</v>
      </c>
      <c r="B919" s="2" t="s">
        <v>38</v>
      </c>
      <c r="C919" s="2" t="s">
        <v>19</v>
      </c>
      <c r="D919" s="2" t="s">
        <v>24</v>
      </c>
      <c r="E919" s="2" t="s">
        <v>58</v>
      </c>
      <c r="F919" s="5">
        <v>31547.0</v>
      </c>
      <c r="G919" s="5">
        <v>772.0</v>
      </c>
      <c r="H919" s="5">
        <v>0.0245</v>
      </c>
      <c r="I919" s="5">
        <v>1.99</v>
      </c>
      <c r="J919" s="5">
        <v>1536.28</v>
      </c>
      <c r="K919" s="5">
        <v>15.0</v>
      </c>
      <c r="L919" s="5">
        <v>102.42</v>
      </c>
      <c r="M919" s="5">
        <v>4188.5</v>
      </c>
      <c r="N919" s="5">
        <v>2.73</v>
      </c>
      <c r="O919" s="6">
        <f t="shared" si="1"/>
        <v>102.4186667</v>
      </c>
      <c r="P919" s="6" t="str">
        <f t="shared" si="2"/>
        <v>Post-Shift</v>
      </c>
      <c r="Q919" s="3">
        <f t="shared" si="3"/>
        <v>48</v>
      </c>
    </row>
    <row r="920">
      <c r="A920" s="4" t="s">
        <v>243</v>
      </c>
      <c r="B920" s="2" t="s">
        <v>38</v>
      </c>
      <c r="C920" s="2" t="s">
        <v>27</v>
      </c>
      <c r="D920" s="2" t="s">
        <v>32</v>
      </c>
      <c r="E920" s="2" t="s">
        <v>36</v>
      </c>
      <c r="F920" s="5">
        <v>162038.0</v>
      </c>
      <c r="G920" s="5">
        <v>2722.0</v>
      </c>
      <c r="H920" s="5">
        <v>0.0168</v>
      </c>
      <c r="I920" s="5">
        <v>0.77</v>
      </c>
      <c r="J920" s="5">
        <v>2095.94</v>
      </c>
      <c r="K920" s="5">
        <v>71.0</v>
      </c>
      <c r="L920" s="5">
        <v>29.52</v>
      </c>
      <c r="M920" s="5">
        <v>16951.26</v>
      </c>
      <c r="N920" s="5">
        <v>8.09</v>
      </c>
      <c r="O920" s="6">
        <f t="shared" si="1"/>
        <v>29.52028169</v>
      </c>
      <c r="P920" s="6" t="str">
        <f t="shared" si="2"/>
        <v>Post-Shift</v>
      </c>
      <c r="Q920" s="3">
        <f t="shared" si="3"/>
        <v>53</v>
      </c>
    </row>
    <row r="921">
      <c r="A921" s="4" t="s">
        <v>136</v>
      </c>
      <c r="B921" s="2" t="s">
        <v>18</v>
      </c>
      <c r="C921" s="2" t="s">
        <v>27</v>
      </c>
      <c r="D921" s="2" t="s">
        <v>24</v>
      </c>
      <c r="E921" s="2" t="s">
        <v>21</v>
      </c>
      <c r="F921" s="5">
        <v>145119.0</v>
      </c>
      <c r="G921" s="5">
        <v>9998.0</v>
      </c>
      <c r="H921" s="5">
        <v>0.0689</v>
      </c>
      <c r="I921" s="5">
        <v>1.46</v>
      </c>
      <c r="J921" s="5">
        <v>14597.08</v>
      </c>
      <c r="K921" s="5">
        <v>233.0</v>
      </c>
      <c r="L921" s="5">
        <v>62.65</v>
      </c>
      <c r="M921" s="5">
        <v>60859.85</v>
      </c>
      <c r="N921" s="5">
        <v>4.17</v>
      </c>
      <c r="O921" s="6">
        <f t="shared" si="1"/>
        <v>62.64841202</v>
      </c>
      <c r="P921" s="6" t="str">
        <f t="shared" si="2"/>
        <v>Post-Shift</v>
      </c>
      <c r="Q921" s="3">
        <f t="shared" si="3"/>
        <v>35</v>
      </c>
    </row>
    <row r="922">
      <c r="A922" s="4">
        <v>45570.0</v>
      </c>
      <c r="B922" s="2" t="s">
        <v>23</v>
      </c>
      <c r="C922" s="2" t="s">
        <v>41</v>
      </c>
      <c r="D922" s="2" t="s">
        <v>29</v>
      </c>
      <c r="E922" s="2" t="s">
        <v>36</v>
      </c>
      <c r="F922" s="5">
        <v>92601.0</v>
      </c>
      <c r="G922" s="5">
        <v>4065.0</v>
      </c>
      <c r="H922" s="5">
        <v>0.0439</v>
      </c>
      <c r="I922" s="5">
        <v>0.52</v>
      </c>
      <c r="J922" s="5">
        <v>2113.8</v>
      </c>
      <c r="K922" s="5">
        <v>324.0</v>
      </c>
      <c r="L922" s="5">
        <v>6.52</v>
      </c>
      <c r="M922" s="5">
        <v>24076.73</v>
      </c>
      <c r="N922" s="5">
        <v>11.39</v>
      </c>
      <c r="O922" s="6">
        <f t="shared" si="1"/>
        <v>6.524074074</v>
      </c>
      <c r="P922" s="6" t="str">
        <f t="shared" si="2"/>
        <v>Post-Shift</v>
      </c>
      <c r="Q922" s="3">
        <f t="shared" si="3"/>
        <v>19</v>
      </c>
    </row>
    <row r="923">
      <c r="A923" s="4" t="s">
        <v>55</v>
      </c>
      <c r="B923" s="2" t="s">
        <v>18</v>
      </c>
      <c r="C923" s="2" t="s">
        <v>31</v>
      </c>
      <c r="D923" s="2" t="s">
        <v>29</v>
      </c>
      <c r="E923" s="2" t="s">
        <v>36</v>
      </c>
      <c r="F923" s="5">
        <v>148041.0</v>
      </c>
      <c r="G923" s="5">
        <v>8053.0</v>
      </c>
      <c r="H923" s="5">
        <v>0.0544</v>
      </c>
      <c r="I923" s="5">
        <v>3.47</v>
      </c>
      <c r="J923" s="5">
        <v>27943.91</v>
      </c>
      <c r="K923" s="5">
        <v>98.0</v>
      </c>
      <c r="L923" s="5">
        <v>285.14</v>
      </c>
      <c r="M923" s="5">
        <v>4146.07</v>
      </c>
      <c r="N923" s="5">
        <v>0.15</v>
      </c>
      <c r="O923" s="6">
        <f t="shared" si="1"/>
        <v>285.1419388</v>
      </c>
      <c r="P923" s="6" t="str">
        <f t="shared" si="2"/>
        <v>Post-Shift</v>
      </c>
      <c r="Q923" s="3">
        <f t="shared" si="3"/>
        <v>53</v>
      </c>
    </row>
    <row r="924">
      <c r="A924" s="4" t="s">
        <v>135</v>
      </c>
      <c r="B924" s="2" t="s">
        <v>18</v>
      </c>
      <c r="C924" s="2" t="s">
        <v>41</v>
      </c>
      <c r="D924" s="2" t="s">
        <v>45</v>
      </c>
      <c r="E924" s="2" t="s">
        <v>25</v>
      </c>
      <c r="F924" s="5">
        <v>25195.0</v>
      </c>
      <c r="G924" s="5">
        <v>738.0</v>
      </c>
      <c r="H924" s="5">
        <v>0.0293</v>
      </c>
      <c r="I924" s="5">
        <v>2.61</v>
      </c>
      <c r="J924" s="5">
        <v>1926.18</v>
      </c>
      <c r="K924" s="5">
        <v>12.0</v>
      </c>
      <c r="L924" s="5">
        <v>160.52</v>
      </c>
      <c r="M924" s="5">
        <v>432.4</v>
      </c>
      <c r="N924" s="5">
        <v>0.22</v>
      </c>
      <c r="O924" s="6">
        <f t="shared" si="1"/>
        <v>160.515</v>
      </c>
      <c r="P924" s="6" t="str">
        <f t="shared" si="2"/>
        <v>Post-Shift</v>
      </c>
      <c r="Q924" s="3">
        <f t="shared" si="3"/>
        <v>39</v>
      </c>
    </row>
    <row r="925">
      <c r="A925" s="4" t="s">
        <v>17</v>
      </c>
      <c r="B925" s="2" t="s">
        <v>18</v>
      </c>
      <c r="C925" s="2" t="s">
        <v>41</v>
      </c>
      <c r="D925" s="2" t="s">
        <v>24</v>
      </c>
      <c r="E925" s="2" t="s">
        <v>58</v>
      </c>
      <c r="F925" s="5">
        <v>186465.0</v>
      </c>
      <c r="G925" s="5">
        <v>8689.0</v>
      </c>
      <c r="H925" s="5">
        <v>0.0466</v>
      </c>
      <c r="I925" s="5">
        <v>2.42</v>
      </c>
      <c r="J925" s="5">
        <v>21027.38</v>
      </c>
      <c r="K925" s="5">
        <v>367.0</v>
      </c>
      <c r="L925" s="5">
        <v>57.3</v>
      </c>
      <c r="M925" s="5">
        <v>57833.06</v>
      </c>
      <c r="N925" s="5">
        <v>2.75</v>
      </c>
      <c r="O925" s="6">
        <f t="shared" si="1"/>
        <v>57.29531335</v>
      </c>
      <c r="P925" s="6" t="str">
        <f t="shared" si="2"/>
        <v>Post-Shift</v>
      </c>
      <c r="Q925" s="3">
        <f t="shared" si="3"/>
        <v>4</v>
      </c>
    </row>
    <row r="926">
      <c r="A926" s="4">
        <v>45452.0</v>
      </c>
      <c r="B926" s="2" t="s">
        <v>18</v>
      </c>
      <c r="C926" s="2" t="s">
        <v>31</v>
      </c>
      <c r="D926" s="2" t="s">
        <v>20</v>
      </c>
      <c r="E926" s="2" t="s">
        <v>58</v>
      </c>
      <c r="F926" s="5">
        <v>136960.0</v>
      </c>
      <c r="G926" s="5">
        <v>5382.0</v>
      </c>
      <c r="H926" s="5">
        <v>0.0393</v>
      </c>
      <c r="I926" s="5">
        <v>1.42</v>
      </c>
      <c r="J926" s="5">
        <v>7642.44</v>
      </c>
      <c r="K926" s="5">
        <v>230.0</v>
      </c>
      <c r="L926" s="5">
        <v>33.23</v>
      </c>
      <c r="M926" s="5">
        <v>39826.63</v>
      </c>
      <c r="N926" s="5">
        <v>5.21</v>
      </c>
      <c r="O926" s="6">
        <f t="shared" si="1"/>
        <v>33.228</v>
      </c>
      <c r="P926" s="6" t="str">
        <f t="shared" si="2"/>
        <v>Baseline</v>
      </c>
      <c r="Q926" s="3">
        <f t="shared" si="3"/>
        <v>36</v>
      </c>
    </row>
    <row r="927">
      <c r="A927" s="4" t="s">
        <v>205</v>
      </c>
      <c r="B927" s="2" t="s">
        <v>18</v>
      </c>
      <c r="C927" s="2" t="s">
        <v>27</v>
      </c>
      <c r="D927" s="2" t="s">
        <v>24</v>
      </c>
      <c r="E927" s="2" t="s">
        <v>30</v>
      </c>
      <c r="F927" s="5">
        <v>193405.0</v>
      </c>
      <c r="G927" s="5">
        <v>7852.0</v>
      </c>
      <c r="H927" s="5">
        <v>0.0406</v>
      </c>
      <c r="I927" s="5">
        <v>0.96</v>
      </c>
      <c r="J927" s="5">
        <v>7537.92</v>
      </c>
      <c r="K927" s="5">
        <v>459.0</v>
      </c>
      <c r="L927" s="5">
        <v>16.42</v>
      </c>
      <c r="M927" s="5">
        <v>79715.61</v>
      </c>
      <c r="N927" s="5">
        <v>10.58</v>
      </c>
      <c r="O927" s="6">
        <f t="shared" si="1"/>
        <v>16.42248366</v>
      </c>
      <c r="P927" s="6" t="str">
        <f t="shared" si="2"/>
        <v>Post-Shift</v>
      </c>
      <c r="Q927" s="3">
        <f t="shared" si="3"/>
        <v>17</v>
      </c>
    </row>
    <row r="928">
      <c r="A928" s="4">
        <v>45418.0</v>
      </c>
      <c r="B928" s="2" t="s">
        <v>38</v>
      </c>
      <c r="C928" s="2" t="s">
        <v>27</v>
      </c>
      <c r="D928" s="2" t="s">
        <v>29</v>
      </c>
      <c r="E928" s="2" t="s">
        <v>30</v>
      </c>
      <c r="F928" s="5">
        <v>118591.0</v>
      </c>
      <c r="G928" s="5">
        <v>4043.0</v>
      </c>
      <c r="H928" s="5">
        <v>0.0341</v>
      </c>
      <c r="I928" s="5">
        <v>1.15</v>
      </c>
      <c r="J928" s="5">
        <v>4649.45</v>
      </c>
      <c r="K928" s="5">
        <v>303.0</v>
      </c>
      <c r="L928" s="5">
        <v>15.34</v>
      </c>
      <c r="M928" s="5">
        <v>36581.13</v>
      </c>
      <c r="N928" s="5">
        <v>7.87</v>
      </c>
      <c r="O928" s="6">
        <f t="shared" si="1"/>
        <v>15.34471947</v>
      </c>
      <c r="P928" s="6" t="str">
        <f t="shared" si="2"/>
        <v>Baseline</v>
      </c>
      <c r="Q928" s="3">
        <f t="shared" si="3"/>
        <v>23</v>
      </c>
    </row>
    <row r="929">
      <c r="A929" s="4">
        <v>45475.0</v>
      </c>
      <c r="B929" s="2" t="s">
        <v>18</v>
      </c>
      <c r="C929" s="2" t="s">
        <v>19</v>
      </c>
      <c r="D929" s="2" t="s">
        <v>20</v>
      </c>
      <c r="E929" s="2" t="s">
        <v>33</v>
      </c>
      <c r="F929" s="5">
        <v>163349.0</v>
      </c>
      <c r="G929" s="5">
        <v>7906.0</v>
      </c>
      <c r="H929" s="5">
        <v>0.0484</v>
      </c>
      <c r="I929" s="5">
        <v>2.68</v>
      </c>
      <c r="J929" s="5">
        <v>21188.08</v>
      </c>
      <c r="K929" s="5">
        <v>360.0</v>
      </c>
      <c r="L929" s="5">
        <v>58.86</v>
      </c>
      <c r="M929" s="5">
        <v>44353.83</v>
      </c>
      <c r="N929" s="5">
        <v>2.09</v>
      </c>
      <c r="O929" s="6">
        <f t="shared" si="1"/>
        <v>58.85577778</v>
      </c>
      <c r="P929" s="6" t="str">
        <f t="shared" si="2"/>
        <v>Post-Shift</v>
      </c>
      <c r="Q929" s="3">
        <f t="shared" si="3"/>
        <v>6</v>
      </c>
    </row>
    <row r="930">
      <c r="A930" s="4" t="s">
        <v>164</v>
      </c>
      <c r="B930" s="2" t="s">
        <v>18</v>
      </c>
      <c r="C930" s="2" t="s">
        <v>27</v>
      </c>
      <c r="D930" s="2" t="s">
        <v>29</v>
      </c>
      <c r="E930" s="2" t="s">
        <v>30</v>
      </c>
      <c r="F930" s="5">
        <v>166957.0</v>
      </c>
      <c r="G930" s="5">
        <v>5476.0</v>
      </c>
      <c r="H930" s="5">
        <v>0.0328</v>
      </c>
      <c r="I930" s="5">
        <v>1.22</v>
      </c>
      <c r="J930" s="5">
        <v>6680.72</v>
      </c>
      <c r="K930" s="5">
        <v>137.0</v>
      </c>
      <c r="L930" s="5">
        <v>48.76</v>
      </c>
      <c r="M930" s="5">
        <v>35345.21</v>
      </c>
      <c r="N930" s="5">
        <v>5.29</v>
      </c>
      <c r="O930" s="6">
        <f t="shared" si="1"/>
        <v>48.76437956</v>
      </c>
      <c r="P930" s="6" t="str">
        <f t="shared" si="2"/>
        <v>Post-Shift</v>
      </c>
      <c r="Q930" s="3">
        <f t="shared" si="3"/>
        <v>35</v>
      </c>
    </row>
    <row r="931">
      <c r="A931" s="4" t="s">
        <v>169</v>
      </c>
      <c r="B931" s="2" t="s">
        <v>38</v>
      </c>
      <c r="C931" s="2" t="s">
        <v>41</v>
      </c>
      <c r="D931" s="2" t="s">
        <v>32</v>
      </c>
      <c r="E931" s="2" t="s">
        <v>25</v>
      </c>
      <c r="F931" s="5">
        <v>169818.0</v>
      </c>
      <c r="G931" s="5">
        <v>4992.0</v>
      </c>
      <c r="H931" s="5">
        <v>0.0294</v>
      </c>
      <c r="I931" s="5">
        <v>1.9</v>
      </c>
      <c r="J931" s="5">
        <v>9484.8</v>
      </c>
      <c r="K931" s="5">
        <v>146.0</v>
      </c>
      <c r="L931" s="5">
        <v>64.96</v>
      </c>
      <c r="M931" s="5">
        <v>26864.23</v>
      </c>
      <c r="N931" s="5">
        <v>2.83</v>
      </c>
      <c r="O931" s="6">
        <f t="shared" si="1"/>
        <v>64.96438356</v>
      </c>
      <c r="P931" s="6" t="str">
        <f t="shared" si="2"/>
        <v>Post-Shift</v>
      </c>
      <c r="Q931" s="3">
        <f t="shared" si="3"/>
        <v>26</v>
      </c>
    </row>
    <row r="932">
      <c r="A932" s="4">
        <v>45393.0</v>
      </c>
      <c r="B932" s="2" t="s">
        <v>18</v>
      </c>
      <c r="C932" s="2" t="s">
        <v>41</v>
      </c>
      <c r="D932" s="2" t="s">
        <v>24</v>
      </c>
      <c r="E932" s="2" t="s">
        <v>56</v>
      </c>
      <c r="F932" s="5">
        <v>158441.0</v>
      </c>
      <c r="G932" s="5">
        <v>3976.0</v>
      </c>
      <c r="H932" s="5">
        <v>0.0251</v>
      </c>
      <c r="I932" s="5">
        <v>2.72</v>
      </c>
      <c r="J932" s="5">
        <v>10814.72</v>
      </c>
      <c r="K932" s="5">
        <v>300.0</v>
      </c>
      <c r="L932" s="5">
        <v>36.05</v>
      </c>
      <c r="M932" s="5">
        <v>51868.85</v>
      </c>
      <c r="N932" s="5">
        <v>4.8</v>
      </c>
      <c r="O932" s="6">
        <f t="shared" si="1"/>
        <v>36.04906667</v>
      </c>
      <c r="P932" s="6" t="str">
        <f t="shared" si="2"/>
        <v>Baseline</v>
      </c>
      <c r="Q932" s="3">
        <f t="shared" si="3"/>
        <v>45</v>
      </c>
    </row>
    <row r="933">
      <c r="A933" s="4" t="s">
        <v>54</v>
      </c>
      <c r="B933" s="2" t="s">
        <v>18</v>
      </c>
      <c r="C933" s="2" t="s">
        <v>41</v>
      </c>
      <c r="D933" s="2" t="s">
        <v>45</v>
      </c>
      <c r="E933" s="2" t="s">
        <v>25</v>
      </c>
      <c r="F933" s="5">
        <v>10380.0</v>
      </c>
      <c r="G933" s="5">
        <v>503.0</v>
      </c>
      <c r="H933" s="5">
        <v>0.0485</v>
      </c>
      <c r="I933" s="5">
        <v>2.0</v>
      </c>
      <c r="J933" s="5">
        <v>1006.0</v>
      </c>
      <c r="K933" s="5">
        <v>15.0</v>
      </c>
      <c r="L933" s="5">
        <v>67.07</v>
      </c>
      <c r="M933" s="5">
        <v>1306.45</v>
      </c>
      <c r="N933" s="5">
        <v>1.3</v>
      </c>
      <c r="O933" s="6">
        <f t="shared" si="1"/>
        <v>67.06666667</v>
      </c>
      <c r="P933" s="6" t="str">
        <f t="shared" si="2"/>
        <v>Post-Shift</v>
      </c>
      <c r="Q933" s="3">
        <f t="shared" si="3"/>
        <v>52</v>
      </c>
    </row>
    <row r="934">
      <c r="A934" s="4" t="s">
        <v>159</v>
      </c>
      <c r="B934" s="2" t="s">
        <v>18</v>
      </c>
      <c r="C934" s="2" t="s">
        <v>31</v>
      </c>
      <c r="D934" s="2" t="s">
        <v>32</v>
      </c>
      <c r="E934" s="2" t="s">
        <v>58</v>
      </c>
      <c r="F934" s="5">
        <v>27791.0</v>
      </c>
      <c r="G934" s="5">
        <v>930.0</v>
      </c>
      <c r="H934" s="5">
        <v>0.0335</v>
      </c>
      <c r="I934" s="5">
        <v>1.49</v>
      </c>
      <c r="J934" s="5">
        <v>1385.7</v>
      </c>
      <c r="K934" s="5">
        <v>73.0</v>
      </c>
      <c r="L934" s="5">
        <v>18.98</v>
      </c>
      <c r="M934" s="5">
        <v>10712.26</v>
      </c>
      <c r="N934" s="5">
        <v>7.73</v>
      </c>
      <c r="O934" s="6">
        <f t="shared" si="1"/>
        <v>18.98219178</v>
      </c>
      <c r="P934" s="6" t="str">
        <f t="shared" si="2"/>
        <v>Post-Shift</v>
      </c>
      <c r="Q934" s="3">
        <f t="shared" si="3"/>
        <v>38</v>
      </c>
    </row>
    <row r="935">
      <c r="A935" s="4" t="s">
        <v>180</v>
      </c>
      <c r="B935" s="2" t="s">
        <v>38</v>
      </c>
      <c r="C935" s="2" t="s">
        <v>31</v>
      </c>
      <c r="D935" s="2" t="s">
        <v>45</v>
      </c>
      <c r="E935" s="2" t="s">
        <v>58</v>
      </c>
      <c r="F935" s="5">
        <v>124870.0</v>
      </c>
      <c r="G935" s="5">
        <v>2622.0</v>
      </c>
      <c r="H935" s="5">
        <v>0.021</v>
      </c>
      <c r="I935" s="5">
        <v>1.68</v>
      </c>
      <c r="J935" s="5">
        <v>4404.96</v>
      </c>
      <c r="K935" s="5">
        <v>140.0</v>
      </c>
      <c r="L935" s="5">
        <v>31.46</v>
      </c>
      <c r="M935" s="5">
        <v>13095.31</v>
      </c>
      <c r="N935" s="5">
        <v>2.97</v>
      </c>
      <c r="O935" s="6">
        <f t="shared" si="1"/>
        <v>31.464</v>
      </c>
      <c r="P935" s="6" t="str">
        <f t="shared" si="2"/>
        <v>Post-Shift</v>
      </c>
      <c r="Q935" s="3">
        <f t="shared" si="3"/>
        <v>13</v>
      </c>
    </row>
    <row r="936">
      <c r="A936" s="4" t="s">
        <v>200</v>
      </c>
      <c r="B936" s="2" t="s">
        <v>38</v>
      </c>
      <c r="C936" s="2" t="s">
        <v>41</v>
      </c>
      <c r="D936" s="2" t="s">
        <v>29</v>
      </c>
      <c r="E936" s="2" t="s">
        <v>58</v>
      </c>
      <c r="F936" s="5">
        <v>137053.0</v>
      </c>
      <c r="G936" s="5">
        <v>5550.0</v>
      </c>
      <c r="H936" s="5">
        <v>0.0405</v>
      </c>
      <c r="I936" s="5">
        <v>1.52</v>
      </c>
      <c r="J936" s="5">
        <v>8436.0</v>
      </c>
      <c r="K936" s="5">
        <v>381.0</v>
      </c>
      <c r="L936" s="5">
        <v>22.14</v>
      </c>
      <c r="M936" s="5">
        <v>43644.89</v>
      </c>
      <c r="N936" s="5">
        <v>5.17</v>
      </c>
      <c r="O936" s="6">
        <f t="shared" si="1"/>
        <v>22.14173228</v>
      </c>
      <c r="P936" s="6" t="str">
        <f t="shared" si="2"/>
        <v>Post-Shift</v>
      </c>
      <c r="Q936" s="3">
        <f t="shared" si="3"/>
        <v>35</v>
      </c>
    </row>
    <row r="937">
      <c r="A937" s="4" t="s">
        <v>205</v>
      </c>
      <c r="B937" s="2" t="s">
        <v>38</v>
      </c>
      <c r="C937" s="2" t="s">
        <v>19</v>
      </c>
      <c r="D937" s="2" t="s">
        <v>45</v>
      </c>
      <c r="E937" s="2" t="s">
        <v>21</v>
      </c>
      <c r="F937" s="5">
        <v>43062.0</v>
      </c>
      <c r="G937" s="5">
        <v>1322.0</v>
      </c>
      <c r="H937" s="5">
        <v>0.0307</v>
      </c>
      <c r="I937" s="5">
        <v>0.7</v>
      </c>
      <c r="J937" s="5">
        <v>925.4</v>
      </c>
      <c r="K937" s="5">
        <v>23.0</v>
      </c>
      <c r="L937" s="5">
        <v>40.23</v>
      </c>
      <c r="M937" s="5">
        <v>2104.08</v>
      </c>
      <c r="N937" s="5">
        <v>2.27</v>
      </c>
      <c r="O937" s="6">
        <f t="shared" si="1"/>
        <v>40.23478261</v>
      </c>
      <c r="P937" s="6" t="str">
        <f t="shared" si="2"/>
        <v>Post-Shift</v>
      </c>
      <c r="Q937" s="3">
        <f t="shared" si="3"/>
        <v>17</v>
      </c>
    </row>
    <row r="938">
      <c r="A938" s="4">
        <v>45360.0</v>
      </c>
      <c r="B938" s="2" t="s">
        <v>18</v>
      </c>
      <c r="C938" s="2" t="s">
        <v>27</v>
      </c>
      <c r="D938" s="2" t="s">
        <v>32</v>
      </c>
      <c r="E938" s="2" t="s">
        <v>30</v>
      </c>
      <c r="F938" s="5">
        <v>177472.0</v>
      </c>
      <c r="G938" s="5">
        <v>9210.0</v>
      </c>
      <c r="H938" s="5">
        <v>0.0519</v>
      </c>
      <c r="I938" s="5">
        <v>2.03</v>
      </c>
      <c r="J938" s="5">
        <v>18696.3</v>
      </c>
      <c r="K938" s="5">
        <v>410.0</v>
      </c>
      <c r="L938" s="5">
        <v>45.6</v>
      </c>
      <c r="M938" s="5">
        <v>45066.38</v>
      </c>
      <c r="N938" s="5">
        <v>2.41</v>
      </c>
      <c r="O938" s="6">
        <f t="shared" si="1"/>
        <v>45.60073171</v>
      </c>
      <c r="P938" s="6" t="str">
        <f t="shared" si="2"/>
        <v>Baseline</v>
      </c>
      <c r="Q938" s="3">
        <f t="shared" si="3"/>
        <v>36</v>
      </c>
    </row>
    <row r="939">
      <c r="A939" s="4" t="s">
        <v>47</v>
      </c>
      <c r="B939" s="2" t="s">
        <v>18</v>
      </c>
      <c r="C939" s="2" t="s">
        <v>41</v>
      </c>
      <c r="D939" s="2" t="s">
        <v>29</v>
      </c>
      <c r="E939" s="2" t="s">
        <v>58</v>
      </c>
      <c r="F939" s="5">
        <v>25967.0</v>
      </c>
      <c r="G939" s="5">
        <v>656.0</v>
      </c>
      <c r="H939" s="5">
        <v>0.0253</v>
      </c>
      <c r="I939" s="5">
        <v>2.69</v>
      </c>
      <c r="J939" s="5">
        <v>1764.64</v>
      </c>
      <c r="K939" s="5">
        <v>24.0</v>
      </c>
      <c r="L939" s="5">
        <v>73.53</v>
      </c>
      <c r="M939" s="5">
        <v>1078.62</v>
      </c>
      <c r="N939" s="5">
        <v>0.61</v>
      </c>
      <c r="O939" s="6">
        <f t="shared" si="1"/>
        <v>73.52666667</v>
      </c>
      <c r="P939" s="6" t="str">
        <f t="shared" si="2"/>
        <v>Post-Shift</v>
      </c>
      <c r="Q939" s="3">
        <f t="shared" si="3"/>
        <v>22</v>
      </c>
    </row>
    <row r="940">
      <c r="A940" s="4" t="s">
        <v>135</v>
      </c>
      <c r="B940" s="2" t="s">
        <v>23</v>
      </c>
      <c r="C940" s="2" t="s">
        <v>31</v>
      </c>
      <c r="D940" s="2" t="s">
        <v>32</v>
      </c>
      <c r="E940" s="2" t="s">
        <v>36</v>
      </c>
      <c r="F940" s="5">
        <v>139162.0</v>
      </c>
      <c r="G940" s="5">
        <v>7152.0</v>
      </c>
      <c r="H940" s="5">
        <v>0.0514</v>
      </c>
      <c r="I940" s="5">
        <v>1.39</v>
      </c>
      <c r="J940" s="5">
        <v>9941.28</v>
      </c>
      <c r="K940" s="5">
        <v>137.0</v>
      </c>
      <c r="L940" s="5">
        <v>72.56</v>
      </c>
      <c r="M940" s="5">
        <v>29124.09</v>
      </c>
      <c r="N940" s="5">
        <v>2.93</v>
      </c>
      <c r="O940" s="6">
        <f t="shared" si="1"/>
        <v>72.56408759</v>
      </c>
      <c r="P940" s="6" t="str">
        <f t="shared" si="2"/>
        <v>Post-Shift</v>
      </c>
      <c r="Q940" s="3">
        <f t="shared" si="3"/>
        <v>39</v>
      </c>
    </row>
    <row r="941">
      <c r="A941" s="4" t="s">
        <v>130</v>
      </c>
      <c r="B941" s="2" t="s">
        <v>18</v>
      </c>
      <c r="C941" s="2" t="s">
        <v>41</v>
      </c>
      <c r="D941" s="2" t="s">
        <v>20</v>
      </c>
      <c r="E941" s="2" t="s">
        <v>25</v>
      </c>
      <c r="F941" s="5">
        <v>45364.0</v>
      </c>
      <c r="G941" s="5">
        <v>1628.0</v>
      </c>
      <c r="H941" s="5">
        <v>0.0359</v>
      </c>
      <c r="I941" s="5">
        <v>1.23</v>
      </c>
      <c r="J941" s="5">
        <v>2002.44</v>
      </c>
      <c r="K941" s="5">
        <v>113.0</v>
      </c>
      <c r="L941" s="5">
        <v>17.72</v>
      </c>
      <c r="M941" s="5">
        <v>10930.4</v>
      </c>
      <c r="N941" s="5">
        <v>5.46</v>
      </c>
      <c r="O941" s="6">
        <f t="shared" si="1"/>
        <v>17.72070796</v>
      </c>
      <c r="P941" s="6" t="str">
        <f t="shared" si="2"/>
        <v>Post-Shift</v>
      </c>
      <c r="Q941" s="3">
        <f t="shared" si="3"/>
        <v>52</v>
      </c>
    </row>
    <row r="942">
      <c r="A942" s="4" t="s">
        <v>203</v>
      </c>
      <c r="B942" s="2" t="s">
        <v>18</v>
      </c>
      <c r="C942" s="2" t="s">
        <v>41</v>
      </c>
      <c r="D942" s="2" t="s">
        <v>45</v>
      </c>
      <c r="E942" s="2" t="s">
        <v>25</v>
      </c>
      <c r="F942" s="5">
        <v>62320.0</v>
      </c>
      <c r="G942" s="5">
        <v>3857.0</v>
      </c>
      <c r="H942" s="5">
        <v>0.0619</v>
      </c>
      <c r="I942" s="5">
        <v>1.01</v>
      </c>
      <c r="J942" s="5">
        <v>3895.57</v>
      </c>
      <c r="K942" s="5">
        <v>158.0</v>
      </c>
      <c r="L942" s="5">
        <v>24.66</v>
      </c>
      <c r="M942" s="5">
        <v>17905.2</v>
      </c>
      <c r="N942" s="5">
        <v>4.6</v>
      </c>
      <c r="O942" s="6">
        <f t="shared" si="1"/>
        <v>24.65550633</v>
      </c>
      <c r="P942" s="6" t="str">
        <f t="shared" si="2"/>
        <v>Post-Shift</v>
      </c>
      <c r="Q942" s="3">
        <f t="shared" si="3"/>
        <v>3</v>
      </c>
    </row>
    <row r="943">
      <c r="A943" s="4" t="s">
        <v>153</v>
      </c>
      <c r="B943" s="2" t="s">
        <v>38</v>
      </c>
      <c r="C943" s="2" t="s">
        <v>31</v>
      </c>
      <c r="D943" s="2" t="s">
        <v>32</v>
      </c>
      <c r="E943" s="2" t="s">
        <v>36</v>
      </c>
      <c r="F943" s="5">
        <v>141436.0</v>
      </c>
      <c r="G943" s="5">
        <v>3026.0</v>
      </c>
      <c r="H943" s="5">
        <v>0.0214</v>
      </c>
      <c r="I943" s="5">
        <v>1.84</v>
      </c>
      <c r="J943" s="5">
        <v>5567.84</v>
      </c>
      <c r="K943" s="5">
        <v>108.0</v>
      </c>
      <c r="L943" s="5">
        <v>51.55</v>
      </c>
      <c r="M943" s="5">
        <v>24540.41</v>
      </c>
      <c r="N943" s="5">
        <v>4.41</v>
      </c>
      <c r="O943" s="6">
        <f t="shared" si="1"/>
        <v>51.55407407</v>
      </c>
      <c r="P943" s="6" t="str">
        <f t="shared" si="2"/>
        <v>Post-Shift</v>
      </c>
      <c r="Q943" s="3">
        <f t="shared" si="3"/>
        <v>46</v>
      </c>
    </row>
    <row r="944">
      <c r="A944" s="4" t="s">
        <v>210</v>
      </c>
      <c r="B944" s="2" t="s">
        <v>38</v>
      </c>
      <c r="C944" s="2" t="s">
        <v>27</v>
      </c>
      <c r="D944" s="2" t="s">
        <v>24</v>
      </c>
      <c r="E944" s="2" t="s">
        <v>33</v>
      </c>
      <c r="F944" s="5">
        <v>152318.0</v>
      </c>
      <c r="G944" s="5">
        <v>4554.0</v>
      </c>
      <c r="H944" s="5">
        <v>0.0299</v>
      </c>
      <c r="I944" s="5">
        <v>1.08</v>
      </c>
      <c r="J944" s="5">
        <v>4918.32</v>
      </c>
      <c r="K944" s="5">
        <v>296.0</v>
      </c>
      <c r="L944" s="5">
        <v>16.62</v>
      </c>
      <c r="M944" s="5">
        <v>64805.54</v>
      </c>
      <c r="N944" s="5">
        <v>13.18</v>
      </c>
      <c r="O944" s="6">
        <f t="shared" si="1"/>
        <v>16.61594595</v>
      </c>
      <c r="P944" s="6" t="str">
        <f t="shared" si="2"/>
        <v>Post-Shift</v>
      </c>
      <c r="Q944" s="3">
        <f t="shared" si="3"/>
        <v>42</v>
      </c>
    </row>
    <row r="945">
      <c r="A945" s="4">
        <v>45300.0</v>
      </c>
      <c r="B945" s="2" t="s">
        <v>18</v>
      </c>
      <c r="C945" s="2" t="s">
        <v>19</v>
      </c>
      <c r="D945" s="2" t="s">
        <v>32</v>
      </c>
      <c r="E945" s="2" t="s">
        <v>30</v>
      </c>
      <c r="F945" s="5">
        <v>27778.0</v>
      </c>
      <c r="G945" s="5">
        <v>1902.0</v>
      </c>
      <c r="H945" s="5">
        <v>0.0685</v>
      </c>
      <c r="I945" s="5">
        <v>1.55</v>
      </c>
      <c r="J945" s="5">
        <v>2948.1</v>
      </c>
      <c r="K945" s="5">
        <v>125.0</v>
      </c>
      <c r="L945" s="5">
        <v>23.58</v>
      </c>
      <c r="M945" s="5">
        <v>15444.21</v>
      </c>
      <c r="N945" s="5">
        <v>5.24</v>
      </c>
      <c r="O945" s="6">
        <f t="shared" si="1"/>
        <v>23.5848</v>
      </c>
      <c r="P945" s="6" t="str">
        <f t="shared" si="2"/>
        <v>Baseline</v>
      </c>
      <c r="Q945" s="3">
        <f t="shared" si="3"/>
        <v>36</v>
      </c>
    </row>
    <row r="946">
      <c r="A946" s="4" t="s">
        <v>162</v>
      </c>
      <c r="B946" s="2" t="s">
        <v>23</v>
      </c>
      <c r="C946" s="2" t="s">
        <v>27</v>
      </c>
      <c r="D946" s="2" t="s">
        <v>45</v>
      </c>
      <c r="E946" s="2" t="s">
        <v>25</v>
      </c>
      <c r="F946" s="5">
        <v>82400.0</v>
      </c>
      <c r="G946" s="5">
        <v>3708.0</v>
      </c>
      <c r="H946" s="5">
        <v>0.045</v>
      </c>
      <c r="I946" s="5">
        <v>0.8</v>
      </c>
      <c r="J946" s="5">
        <v>2966.4</v>
      </c>
      <c r="K946" s="5">
        <v>139.0</v>
      </c>
      <c r="L946" s="5">
        <v>21.34</v>
      </c>
      <c r="M946" s="5">
        <v>31548.51</v>
      </c>
      <c r="N946" s="5">
        <v>10.64</v>
      </c>
      <c r="O946" s="6">
        <f t="shared" si="1"/>
        <v>21.34100719</v>
      </c>
      <c r="P946" s="6" t="str">
        <f t="shared" si="2"/>
        <v>Post-Shift</v>
      </c>
      <c r="Q946" s="3">
        <f t="shared" si="3"/>
        <v>34</v>
      </c>
    </row>
    <row r="947">
      <c r="A947" s="4" t="s">
        <v>72</v>
      </c>
      <c r="B947" s="2" t="s">
        <v>18</v>
      </c>
      <c r="C947" s="2" t="s">
        <v>19</v>
      </c>
      <c r="D947" s="2" t="s">
        <v>29</v>
      </c>
      <c r="E947" s="2" t="s">
        <v>25</v>
      </c>
      <c r="F947" s="5">
        <v>195606.0</v>
      </c>
      <c r="G947" s="5">
        <v>10817.0</v>
      </c>
      <c r="H947" s="5">
        <v>0.0553</v>
      </c>
      <c r="I947" s="5">
        <v>3.53</v>
      </c>
      <c r="J947" s="5">
        <v>38184.01</v>
      </c>
      <c r="K947" s="5">
        <v>122.0</v>
      </c>
      <c r="L947" s="5">
        <v>312.98</v>
      </c>
      <c r="M947" s="5">
        <v>7355.91</v>
      </c>
      <c r="N947" s="5">
        <v>0.19</v>
      </c>
      <c r="O947" s="6">
        <f t="shared" si="1"/>
        <v>312.9836885</v>
      </c>
      <c r="P947" s="6" t="str">
        <f t="shared" si="2"/>
        <v>Post-Shift</v>
      </c>
      <c r="Q947" s="3">
        <f t="shared" si="3"/>
        <v>48</v>
      </c>
    </row>
    <row r="948">
      <c r="A948" s="4" t="s">
        <v>232</v>
      </c>
      <c r="B948" s="2" t="s">
        <v>23</v>
      </c>
      <c r="C948" s="2" t="s">
        <v>31</v>
      </c>
      <c r="D948" s="2" t="s">
        <v>20</v>
      </c>
      <c r="E948" s="2" t="s">
        <v>36</v>
      </c>
      <c r="F948" s="5">
        <v>18181.0</v>
      </c>
      <c r="G948" s="5">
        <v>1179.0</v>
      </c>
      <c r="H948" s="5">
        <v>0.0649</v>
      </c>
      <c r="I948" s="5">
        <v>0.64</v>
      </c>
      <c r="J948" s="5">
        <v>754.56</v>
      </c>
      <c r="K948" s="5">
        <v>24.0</v>
      </c>
      <c r="L948" s="5">
        <v>31.44</v>
      </c>
      <c r="M948" s="5">
        <v>4581.7</v>
      </c>
      <c r="N948" s="5">
        <v>6.07</v>
      </c>
      <c r="O948" s="6">
        <f t="shared" si="1"/>
        <v>31.44</v>
      </c>
      <c r="P948" s="6" t="str">
        <f t="shared" si="2"/>
        <v>Post-Shift</v>
      </c>
      <c r="Q948" s="3">
        <f t="shared" si="3"/>
        <v>47</v>
      </c>
    </row>
    <row r="949">
      <c r="A949" s="4" t="s">
        <v>199</v>
      </c>
      <c r="B949" s="2" t="s">
        <v>18</v>
      </c>
      <c r="C949" s="2" t="s">
        <v>27</v>
      </c>
      <c r="D949" s="2" t="s">
        <v>32</v>
      </c>
      <c r="E949" s="2" t="s">
        <v>30</v>
      </c>
      <c r="F949" s="5">
        <v>86560.0</v>
      </c>
      <c r="G949" s="5">
        <v>5323.0</v>
      </c>
      <c r="H949" s="5">
        <v>0.0615</v>
      </c>
      <c r="I949" s="5">
        <v>0.91</v>
      </c>
      <c r="J949" s="5">
        <v>4843.93</v>
      </c>
      <c r="K949" s="5">
        <v>94.0</v>
      </c>
      <c r="L949" s="5">
        <v>51.53</v>
      </c>
      <c r="M949" s="5">
        <v>8283.62</v>
      </c>
      <c r="N949" s="5">
        <v>1.71</v>
      </c>
      <c r="O949" s="6">
        <f t="shared" si="1"/>
        <v>51.53117021</v>
      </c>
      <c r="P949" s="6" t="str">
        <f t="shared" si="2"/>
        <v>Post-Shift</v>
      </c>
      <c r="Q949" s="3">
        <f t="shared" si="3"/>
        <v>17</v>
      </c>
    </row>
    <row r="950">
      <c r="A950" s="4">
        <v>45599.0</v>
      </c>
      <c r="B950" s="2" t="s">
        <v>18</v>
      </c>
      <c r="C950" s="2" t="s">
        <v>27</v>
      </c>
      <c r="D950" s="2" t="s">
        <v>20</v>
      </c>
      <c r="E950" s="2" t="s">
        <v>30</v>
      </c>
      <c r="F950" s="5">
        <v>89845.0</v>
      </c>
      <c r="G950" s="5">
        <v>2605.0</v>
      </c>
      <c r="H950" s="5">
        <v>0.029</v>
      </c>
      <c r="I950" s="5">
        <v>1.74</v>
      </c>
      <c r="J950" s="5">
        <v>4532.7</v>
      </c>
      <c r="K950" s="5">
        <v>155.0</v>
      </c>
      <c r="L950" s="5">
        <v>29.24</v>
      </c>
      <c r="M950" s="5">
        <v>14107.55</v>
      </c>
      <c r="N950" s="5">
        <v>3.11</v>
      </c>
      <c r="O950" s="6">
        <f t="shared" si="1"/>
        <v>29.24322581</v>
      </c>
      <c r="P950" s="6" t="str">
        <f t="shared" si="2"/>
        <v>Post-Shift</v>
      </c>
      <c r="Q950" s="3">
        <f t="shared" si="3"/>
        <v>11</v>
      </c>
    </row>
    <row r="951">
      <c r="A951" s="4">
        <v>45510.0</v>
      </c>
      <c r="B951" s="2" t="s">
        <v>38</v>
      </c>
      <c r="C951" s="2" t="s">
        <v>31</v>
      </c>
      <c r="D951" s="2" t="s">
        <v>20</v>
      </c>
      <c r="E951" s="2" t="s">
        <v>33</v>
      </c>
      <c r="F951" s="5">
        <v>194121.0</v>
      </c>
      <c r="G951" s="5">
        <v>6270.0</v>
      </c>
      <c r="H951" s="5">
        <v>0.0323</v>
      </c>
      <c r="I951" s="5">
        <v>0.69</v>
      </c>
      <c r="J951" s="5">
        <v>4326.3</v>
      </c>
      <c r="K951" s="5">
        <v>133.0</v>
      </c>
      <c r="L951" s="5">
        <v>32.53</v>
      </c>
      <c r="M951" s="5">
        <v>11409.44</v>
      </c>
      <c r="N951" s="5">
        <v>2.64</v>
      </c>
      <c r="O951" s="6">
        <f t="shared" si="1"/>
        <v>32.52857143</v>
      </c>
      <c r="P951" s="6" t="str">
        <f t="shared" si="2"/>
        <v>Post-Shift</v>
      </c>
      <c r="Q951" s="3">
        <f t="shared" si="3"/>
        <v>23</v>
      </c>
    </row>
    <row r="952">
      <c r="A952" s="4" t="s">
        <v>119</v>
      </c>
      <c r="B952" s="2" t="s">
        <v>38</v>
      </c>
      <c r="C952" s="2" t="s">
        <v>27</v>
      </c>
      <c r="D952" s="2" t="s">
        <v>32</v>
      </c>
      <c r="E952" s="2" t="s">
        <v>36</v>
      </c>
      <c r="F952" s="5">
        <v>81313.0</v>
      </c>
      <c r="G952" s="5">
        <v>1089.0</v>
      </c>
      <c r="H952" s="5">
        <v>0.0134</v>
      </c>
      <c r="I952" s="5">
        <v>1.43</v>
      </c>
      <c r="J952" s="5">
        <v>1557.27</v>
      </c>
      <c r="K952" s="5">
        <v>77.0</v>
      </c>
      <c r="L952" s="5">
        <v>20.22</v>
      </c>
      <c r="M952" s="5">
        <v>3549.91</v>
      </c>
      <c r="N952" s="5">
        <v>2.28</v>
      </c>
      <c r="O952" s="6">
        <f t="shared" si="1"/>
        <v>20.22428571</v>
      </c>
      <c r="P952" s="6" t="str">
        <f t="shared" si="2"/>
        <v>Post-Shift</v>
      </c>
      <c r="Q952" s="3">
        <f t="shared" si="3"/>
        <v>43</v>
      </c>
    </row>
    <row r="953">
      <c r="A953" s="4" t="s">
        <v>226</v>
      </c>
      <c r="B953" s="2" t="s">
        <v>18</v>
      </c>
      <c r="C953" s="2" t="s">
        <v>41</v>
      </c>
      <c r="D953" s="2" t="s">
        <v>29</v>
      </c>
      <c r="E953" s="2" t="s">
        <v>30</v>
      </c>
      <c r="F953" s="5">
        <v>95153.0</v>
      </c>
      <c r="G953" s="5">
        <v>5404.0</v>
      </c>
      <c r="H953" s="5">
        <v>0.0568</v>
      </c>
      <c r="I953" s="5">
        <v>1.7</v>
      </c>
      <c r="J953" s="5">
        <v>9186.8</v>
      </c>
      <c r="K953" s="5">
        <v>74.0</v>
      </c>
      <c r="L953" s="5">
        <v>124.15</v>
      </c>
      <c r="M953" s="5">
        <v>20688.95</v>
      </c>
      <c r="N953" s="5">
        <v>2.25</v>
      </c>
      <c r="O953" s="6">
        <f t="shared" si="1"/>
        <v>124.1459459</v>
      </c>
      <c r="P953" s="6" t="str">
        <f t="shared" si="2"/>
        <v>Post-Shift</v>
      </c>
      <c r="Q953" s="3">
        <f t="shared" si="3"/>
        <v>33</v>
      </c>
    </row>
    <row r="954">
      <c r="A954" s="4" t="s">
        <v>111</v>
      </c>
      <c r="B954" s="2" t="s">
        <v>38</v>
      </c>
      <c r="C954" s="2" t="s">
        <v>41</v>
      </c>
      <c r="D954" s="2" t="s">
        <v>20</v>
      </c>
      <c r="E954" s="2" t="s">
        <v>33</v>
      </c>
      <c r="F954" s="5">
        <v>104926.0</v>
      </c>
      <c r="G954" s="5">
        <v>3273.0</v>
      </c>
      <c r="H954" s="5">
        <v>0.0312</v>
      </c>
      <c r="I954" s="5">
        <v>1.48</v>
      </c>
      <c r="J954" s="5">
        <v>4844.04</v>
      </c>
      <c r="K954" s="5">
        <v>65.0</v>
      </c>
      <c r="L954" s="5">
        <v>74.52</v>
      </c>
      <c r="M954" s="5">
        <v>12449.27</v>
      </c>
      <c r="N954" s="5">
        <v>2.57</v>
      </c>
      <c r="O954" s="6">
        <f t="shared" si="1"/>
        <v>74.52369231</v>
      </c>
      <c r="P954" s="6" t="str">
        <f t="shared" si="2"/>
        <v>Post-Shift</v>
      </c>
      <c r="Q954" s="3">
        <f t="shared" si="3"/>
        <v>7</v>
      </c>
    </row>
    <row r="955">
      <c r="A955" s="4">
        <v>45455.0</v>
      </c>
      <c r="B955" s="2" t="s">
        <v>38</v>
      </c>
      <c r="C955" s="2" t="s">
        <v>31</v>
      </c>
      <c r="D955" s="2" t="s">
        <v>32</v>
      </c>
      <c r="E955" s="2" t="s">
        <v>33</v>
      </c>
      <c r="F955" s="5">
        <v>16093.0</v>
      </c>
      <c r="G955" s="5">
        <v>466.0</v>
      </c>
      <c r="H955" s="5">
        <v>0.029</v>
      </c>
      <c r="I955" s="5">
        <v>0.83</v>
      </c>
      <c r="J955" s="5">
        <v>386.78</v>
      </c>
      <c r="K955" s="5">
        <v>28.0</v>
      </c>
      <c r="L955" s="5">
        <v>13.81</v>
      </c>
      <c r="M955" s="5">
        <v>5468.73</v>
      </c>
      <c r="N955" s="5">
        <v>14.14</v>
      </c>
      <c r="O955" s="6">
        <f t="shared" si="1"/>
        <v>13.81357143</v>
      </c>
      <c r="P955" s="6" t="str">
        <f t="shared" si="2"/>
        <v>Baseline</v>
      </c>
      <c r="Q955" s="3">
        <f t="shared" si="3"/>
        <v>49</v>
      </c>
    </row>
    <row r="956">
      <c r="A956" s="4" t="s">
        <v>175</v>
      </c>
      <c r="B956" s="2" t="s">
        <v>18</v>
      </c>
      <c r="C956" s="2" t="s">
        <v>31</v>
      </c>
      <c r="D956" s="2" t="s">
        <v>24</v>
      </c>
      <c r="E956" s="2" t="s">
        <v>36</v>
      </c>
      <c r="F956" s="5">
        <v>155338.0</v>
      </c>
      <c r="G956" s="5">
        <v>10718.0</v>
      </c>
      <c r="H956" s="5">
        <v>0.069</v>
      </c>
      <c r="I956" s="5">
        <v>1.86</v>
      </c>
      <c r="J956" s="5">
        <v>19935.48</v>
      </c>
      <c r="K956" s="5">
        <v>411.0</v>
      </c>
      <c r="L956" s="5">
        <v>48.5</v>
      </c>
      <c r="M956" s="5">
        <v>112821.8</v>
      </c>
      <c r="N956" s="5">
        <v>5.66</v>
      </c>
      <c r="O956" s="6">
        <f t="shared" si="1"/>
        <v>48.50481752</v>
      </c>
      <c r="P956" s="6" t="str">
        <f t="shared" si="2"/>
        <v>Post-Shift</v>
      </c>
      <c r="Q956" s="3">
        <f t="shared" si="3"/>
        <v>48</v>
      </c>
    </row>
    <row r="957">
      <c r="A957" s="4" t="s">
        <v>43</v>
      </c>
      <c r="B957" s="2" t="s">
        <v>18</v>
      </c>
      <c r="C957" s="2" t="s">
        <v>27</v>
      </c>
      <c r="D957" s="2" t="s">
        <v>24</v>
      </c>
      <c r="E957" s="2" t="s">
        <v>36</v>
      </c>
      <c r="F957" s="5">
        <v>179877.0</v>
      </c>
      <c r="G957" s="5">
        <v>4317.0</v>
      </c>
      <c r="H957" s="5">
        <v>0.024</v>
      </c>
      <c r="I957" s="5">
        <v>2.54</v>
      </c>
      <c r="J957" s="5">
        <v>10965.18</v>
      </c>
      <c r="K957" s="5">
        <v>215.0</v>
      </c>
      <c r="L957" s="5">
        <v>51.0</v>
      </c>
      <c r="M957" s="5">
        <v>13004.03</v>
      </c>
      <c r="N957" s="5">
        <v>1.19</v>
      </c>
      <c r="O957" s="6">
        <f t="shared" si="1"/>
        <v>51.00083721</v>
      </c>
      <c r="P957" s="6" t="str">
        <f t="shared" si="2"/>
        <v>Post-Shift</v>
      </c>
      <c r="Q957" s="3">
        <f t="shared" si="3"/>
        <v>46</v>
      </c>
    </row>
    <row r="958">
      <c r="A958" s="4" t="s">
        <v>92</v>
      </c>
      <c r="B958" s="2" t="s">
        <v>23</v>
      </c>
      <c r="C958" s="2" t="s">
        <v>27</v>
      </c>
      <c r="D958" s="2" t="s">
        <v>45</v>
      </c>
      <c r="E958" s="2" t="s">
        <v>58</v>
      </c>
      <c r="F958" s="5">
        <v>185510.0</v>
      </c>
      <c r="G958" s="5">
        <v>9739.0</v>
      </c>
      <c r="H958" s="5">
        <v>0.0525</v>
      </c>
      <c r="I958" s="5">
        <v>2.05</v>
      </c>
      <c r="J958" s="5">
        <v>19964.95</v>
      </c>
      <c r="K958" s="5">
        <v>461.0</v>
      </c>
      <c r="L958" s="5">
        <v>43.31</v>
      </c>
      <c r="M958" s="5">
        <v>116711.4</v>
      </c>
      <c r="N958" s="5">
        <v>5.85</v>
      </c>
      <c r="O958" s="6">
        <f t="shared" si="1"/>
        <v>43.30791757</v>
      </c>
      <c r="P958" s="6" t="str">
        <f t="shared" si="2"/>
        <v>Post-Shift</v>
      </c>
      <c r="Q958" s="3">
        <f t="shared" si="3"/>
        <v>34</v>
      </c>
    </row>
    <row r="959">
      <c r="A959" s="4" t="s">
        <v>53</v>
      </c>
      <c r="B959" s="2" t="s">
        <v>23</v>
      </c>
      <c r="C959" s="2" t="s">
        <v>19</v>
      </c>
      <c r="D959" s="2" t="s">
        <v>24</v>
      </c>
      <c r="E959" s="2" t="s">
        <v>33</v>
      </c>
      <c r="F959" s="5">
        <v>135992.0</v>
      </c>
      <c r="G959" s="5">
        <v>8023.0</v>
      </c>
      <c r="H959" s="5">
        <v>0.059</v>
      </c>
      <c r="I959" s="5">
        <v>0.4</v>
      </c>
      <c r="J959" s="5">
        <v>3209.2</v>
      </c>
      <c r="K959" s="5">
        <v>640.0</v>
      </c>
      <c r="L959" s="5">
        <v>5.01</v>
      </c>
      <c r="M959" s="5">
        <v>50560.98</v>
      </c>
      <c r="N959" s="5">
        <v>15.76</v>
      </c>
      <c r="O959" s="6">
        <f t="shared" si="1"/>
        <v>5.014375</v>
      </c>
      <c r="P959" s="6" t="str">
        <f t="shared" si="2"/>
        <v>Post-Shift</v>
      </c>
      <c r="Q959" s="3">
        <f t="shared" si="3"/>
        <v>34</v>
      </c>
    </row>
    <row r="960">
      <c r="A960" s="4" t="s">
        <v>182</v>
      </c>
      <c r="B960" s="2" t="s">
        <v>18</v>
      </c>
      <c r="C960" s="2" t="s">
        <v>19</v>
      </c>
      <c r="D960" s="2" t="s">
        <v>24</v>
      </c>
      <c r="E960" s="2" t="s">
        <v>33</v>
      </c>
      <c r="F960" s="5">
        <v>192593.0</v>
      </c>
      <c r="G960" s="5">
        <v>4949.0</v>
      </c>
      <c r="H960" s="5">
        <v>0.0257</v>
      </c>
      <c r="I960" s="5">
        <v>1.83</v>
      </c>
      <c r="J960" s="5">
        <v>9056.67</v>
      </c>
      <c r="K960" s="5">
        <v>172.0</v>
      </c>
      <c r="L960" s="5">
        <v>52.66</v>
      </c>
      <c r="M960" s="5">
        <v>20836.16</v>
      </c>
      <c r="N960" s="5">
        <v>2.3</v>
      </c>
      <c r="O960" s="6">
        <f t="shared" si="1"/>
        <v>52.65505814</v>
      </c>
      <c r="P960" s="6" t="str">
        <f t="shared" si="2"/>
        <v>Post-Shift</v>
      </c>
      <c r="Q960" s="3">
        <f t="shared" si="3"/>
        <v>3</v>
      </c>
    </row>
    <row r="961">
      <c r="A961" s="4" t="s">
        <v>55</v>
      </c>
      <c r="B961" s="2" t="s">
        <v>38</v>
      </c>
      <c r="C961" s="2" t="s">
        <v>19</v>
      </c>
      <c r="D961" s="2" t="s">
        <v>24</v>
      </c>
      <c r="E961" s="2" t="s">
        <v>21</v>
      </c>
      <c r="F961" s="5">
        <v>18487.0</v>
      </c>
      <c r="G961" s="5">
        <v>693.0</v>
      </c>
      <c r="H961" s="5">
        <v>0.0375</v>
      </c>
      <c r="I961" s="5">
        <v>0.49</v>
      </c>
      <c r="J961" s="5">
        <v>339.57</v>
      </c>
      <c r="K961" s="5">
        <v>36.0</v>
      </c>
      <c r="L961" s="5">
        <v>9.43</v>
      </c>
      <c r="M961" s="5">
        <v>7765.15</v>
      </c>
      <c r="N961" s="5">
        <v>22.87</v>
      </c>
      <c r="O961" s="6">
        <f t="shared" si="1"/>
        <v>9.4325</v>
      </c>
      <c r="P961" s="6" t="str">
        <f t="shared" si="2"/>
        <v>Post-Shift</v>
      </c>
      <c r="Q961" s="3">
        <f t="shared" si="3"/>
        <v>53</v>
      </c>
    </row>
    <row r="962">
      <c r="A962" s="4" t="s">
        <v>228</v>
      </c>
      <c r="B962" s="2" t="s">
        <v>38</v>
      </c>
      <c r="C962" s="2" t="s">
        <v>27</v>
      </c>
      <c r="D962" s="2" t="s">
        <v>24</v>
      </c>
      <c r="E962" s="2" t="s">
        <v>25</v>
      </c>
      <c r="F962" s="5">
        <v>88452.0</v>
      </c>
      <c r="G962" s="5">
        <v>3361.0</v>
      </c>
      <c r="H962" s="5">
        <v>0.038</v>
      </c>
      <c r="I962" s="5">
        <v>1.63</v>
      </c>
      <c r="J962" s="5">
        <v>5478.43</v>
      </c>
      <c r="K962" s="5">
        <v>180.0</v>
      </c>
      <c r="L962" s="5">
        <v>30.44</v>
      </c>
      <c r="M962" s="5">
        <v>8119.45</v>
      </c>
      <c r="N962" s="5">
        <v>1.48</v>
      </c>
      <c r="O962" s="6">
        <f t="shared" si="1"/>
        <v>30.43572222</v>
      </c>
      <c r="P962" s="6" t="str">
        <f t="shared" si="2"/>
        <v>Post-Shift</v>
      </c>
      <c r="Q962" s="3">
        <f t="shared" si="3"/>
        <v>48</v>
      </c>
    </row>
    <row r="963">
      <c r="A963" s="4" t="s">
        <v>253</v>
      </c>
      <c r="B963" s="2" t="s">
        <v>23</v>
      </c>
      <c r="C963" s="2" t="s">
        <v>41</v>
      </c>
      <c r="D963" s="2" t="s">
        <v>20</v>
      </c>
      <c r="E963" s="2" t="s">
        <v>30</v>
      </c>
      <c r="F963" s="5">
        <v>178714.0</v>
      </c>
      <c r="G963" s="5">
        <v>7559.0</v>
      </c>
      <c r="H963" s="5">
        <v>0.0423</v>
      </c>
      <c r="I963" s="5">
        <v>1.14</v>
      </c>
      <c r="J963" s="5">
        <v>8617.26</v>
      </c>
      <c r="K963" s="5">
        <v>312.0</v>
      </c>
      <c r="L963" s="5">
        <v>27.62</v>
      </c>
      <c r="M963" s="5">
        <v>39985.98</v>
      </c>
      <c r="N963" s="5">
        <v>4.64</v>
      </c>
      <c r="O963" s="6">
        <f t="shared" si="1"/>
        <v>27.61942308</v>
      </c>
      <c r="P963" s="6" t="str">
        <f t="shared" si="2"/>
        <v>Post-Shift</v>
      </c>
      <c r="Q963" s="3">
        <f t="shared" si="3"/>
        <v>42</v>
      </c>
    </row>
    <row r="964">
      <c r="A964" s="4">
        <v>45419.0</v>
      </c>
      <c r="B964" s="2" t="s">
        <v>23</v>
      </c>
      <c r="C964" s="2" t="s">
        <v>41</v>
      </c>
      <c r="D964" s="2" t="s">
        <v>32</v>
      </c>
      <c r="E964" s="2" t="s">
        <v>25</v>
      </c>
      <c r="F964" s="5">
        <v>113190.0</v>
      </c>
      <c r="G964" s="5">
        <v>3984.0</v>
      </c>
      <c r="H964" s="5">
        <v>0.0352</v>
      </c>
      <c r="I964" s="5">
        <v>1.41</v>
      </c>
      <c r="J964" s="5">
        <v>5617.44</v>
      </c>
      <c r="K964" s="5">
        <v>172.0</v>
      </c>
      <c r="L964" s="5">
        <v>32.66</v>
      </c>
      <c r="M964" s="5">
        <v>10269.39</v>
      </c>
      <c r="N964" s="5">
        <v>1.83</v>
      </c>
      <c r="O964" s="6">
        <f t="shared" si="1"/>
        <v>32.65953488</v>
      </c>
      <c r="P964" s="6" t="str">
        <f t="shared" si="2"/>
        <v>Baseline</v>
      </c>
      <c r="Q964" s="3">
        <f t="shared" si="3"/>
        <v>27</v>
      </c>
    </row>
    <row r="965">
      <c r="A965" s="4" t="s">
        <v>132</v>
      </c>
      <c r="B965" s="2" t="s">
        <v>38</v>
      </c>
      <c r="C965" s="2" t="s">
        <v>27</v>
      </c>
      <c r="D965" s="2" t="s">
        <v>45</v>
      </c>
      <c r="E965" s="2" t="s">
        <v>58</v>
      </c>
      <c r="F965" s="5">
        <v>126103.0</v>
      </c>
      <c r="G965" s="5">
        <v>4300.0</v>
      </c>
      <c r="H965" s="5">
        <v>0.0341</v>
      </c>
      <c r="I965" s="5">
        <v>1.09</v>
      </c>
      <c r="J965" s="5">
        <v>4687.0</v>
      </c>
      <c r="K965" s="5">
        <v>313.0</v>
      </c>
      <c r="L965" s="5">
        <v>14.97</v>
      </c>
      <c r="M965" s="5">
        <v>18027.88</v>
      </c>
      <c r="N965" s="5">
        <v>3.85</v>
      </c>
      <c r="O965" s="6">
        <f t="shared" si="1"/>
        <v>14.97444089</v>
      </c>
      <c r="P965" s="6" t="str">
        <f t="shared" si="2"/>
        <v>Post-Shift</v>
      </c>
      <c r="Q965" s="3">
        <f t="shared" si="3"/>
        <v>15</v>
      </c>
    </row>
    <row r="966">
      <c r="A966" s="4" t="s">
        <v>156</v>
      </c>
      <c r="B966" s="2" t="s">
        <v>18</v>
      </c>
      <c r="C966" s="2" t="s">
        <v>19</v>
      </c>
      <c r="D966" s="2" t="s">
        <v>29</v>
      </c>
      <c r="E966" s="2" t="s">
        <v>56</v>
      </c>
      <c r="F966" s="5">
        <v>101355.0</v>
      </c>
      <c r="G966" s="5">
        <v>4459.0</v>
      </c>
      <c r="H966" s="5">
        <v>0.044</v>
      </c>
      <c r="I966" s="5">
        <v>2.55</v>
      </c>
      <c r="J966" s="5">
        <v>11370.45</v>
      </c>
      <c r="K966" s="5">
        <v>122.0</v>
      </c>
      <c r="L966" s="5">
        <v>93.2</v>
      </c>
      <c r="M966" s="5">
        <v>10455.25</v>
      </c>
      <c r="N966" s="5">
        <v>0.92</v>
      </c>
      <c r="O966" s="6">
        <f t="shared" si="1"/>
        <v>93.20040984</v>
      </c>
      <c r="P966" s="6" t="str">
        <f t="shared" si="2"/>
        <v>Post-Shift</v>
      </c>
      <c r="Q966" s="3">
        <f t="shared" si="3"/>
        <v>51</v>
      </c>
    </row>
    <row r="967">
      <c r="A967" s="4" t="s">
        <v>241</v>
      </c>
      <c r="B967" s="2" t="s">
        <v>18</v>
      </c>
      <c r="C967" s="2" t="s">
        <v>41</v>
      </c>
      <c r="D967" s="2" t="s">
        <v>24</v>
      </c>
      <c r="E967" s="2" t="s">
        <v>36</v>
      </c>
      <c r="F967" s="5">
        <v>197974.0</v>
      </c>
      <c r="G967" s="5">
        <v>4375.0</v>
      </c>
      <c r="H967" s="5">
        <v>0.0221</v>
      </c>
      <c r="I967" s="5">
        <v>2.43</v>
      </c>
      <c r="J967" s="5">
        <v>10631.25</v>
      </c>
      <c r="K967" s="5">
        <v>347.0</v>
      </c>
      <c r="L967" s="5">
        <v>30.64</v>
      </c>
      <c r="M967" s="5">
        <v>73971.79</v>
      </c>
      <c r="N967" s="5">
        <v>6.96</v>
      </c>
      <c r="O967" s="6">
        <f t="shared" si="1"/>
        <v>30.63760807</v>
      </c>
      <c r="P967" s="6" t="str">
        <f t="shared" si="2"/>
        <v>Post-Shift</v>
      </c>
      <c r="Q967" s="3">
        <f t="shared" si="3"/>
        <v>7</v>
      </c>
    </row>
    <row r="968">
      <c r="A968" s="4">
        <v>45477.0</v>
      </c>
      <c r="B968" s="2" t="s">
        <v>38</v>
      </c>
      <c r="C968" s="2" t="s">
        <v>31</v>
      </c>
      <c r="D968" s="2" t="s">
        <v>20</v>
      </c>
      <c r="E968" s="2" t="s">
        <v>25</v>
      </c>
      <c r="F968" s="5">
        <v>49261.0</v>
      </c>
      <c r="G968" s="5">
        <v>724.0</v>
      </c>
      <c r="H968" s="5">
        <v>0.0147</v>
      </c>
      <c r="I968" s="5">
        <v>0.62</v>
      </c>
      <c r="J968" s="5">
        <v>448.88</v>
      </c>
      <c r="K968" s="5">
        <v>31.0</v>
      </c>
      <c r="L968" s="5">
        <v>14.48</v>
      </c>
      <c r="M968" s="5">
        <v>1397.37</v>
      </c>
      <c r="N968" s="5">
        <v>3.11</v>
      </c>
      <c r="O968" s="6">
        <f t="shared" si="1"/>
        <v>14.48</v>
      </c>
      <c r="P968" s="6" t="str">
        <f t="shared" si="2"/>
        <v>Post-Shift</v>
      </c>
      <c r="Q968" s="3">
        <f t="shared" si="3"/>
        <v>15</v>
      </c>
    </row>
    <row r="969">
      <c r="A969" s="4" t="s">
        <v>240</v>
      </c>
      <c r="B969" s="2" t="s">
        <v>23</v>
      </c>
      <c r="C969" s="2" t="s">
        <v>31</v>
      </c>
      <c r="D969" s="2" t="s">
        <v>32</v>
      </c>
      <c r="E969" s="2" t="s">
        <v>56</v>
      </c>
      <c r="F969" s="5">
        <v>174668.0</v>
      </c>
      <c r="G969" s="5">
        <v>10916.0</v>
      </c>
      <c r="H969" s="5">
        <v>0.0625</v>
      </c>
      <c r="I969" s="5">
        <v>0.63</v>
      </c>
      <c r="J969" s="5">
        <v>6877.08</v>
      </c>
      <c r="K969" s="5">
        <v>310.0</v>
      </c>
      <c r="L969" s="5">
        <v>22.18</v>
      </c>
      <c r="M969" s="5">
        <v>37599.64</v>
      </c>
      <c r="N969" s="5">
        <v>5.47</v>
      </c>
      <c r="O969" s="6">
        <f t="shared" si="1"/>
        <v>22.18412903</v>
      </c>
      <c r="P969" s="6" t="str">
        <f t="shared" si="2"/>
        <v>Post-Shift</v>
      </c>
      <c r="Q969" s="3">
        <f t="shared" si="3"/>
        <v>5</v>
      </c>
    </row>
    <row r="970">
      <c r="A970" s="4" t="s">
        <v>253</v>
      </c>
      <c r="B970" s="2" t="s">
        <v>18</v>
      </c>
      <c r="C970" s="2" t="s">
        <v>31</v>
      </c>
      <c r="D970" s="2" t="s">
        <v>20</v>
      </c>
      <c r="E970" s="2" t="s">
        <v>30</v>
      </c>
      <c r="F970" s="5">
        <v>163178.0</v>
      </c>
      <c r="G970" s="5">
        <v>5172.0</v>
      </c>
      <c r="H970" s="5">
        <v>0.0317</v>
      </c>
      <c r="I970" s="5">
        <v>2.21</v>
      </c>
      <c r="J970" s="5">
        <v>11430.12</v>
      </c>
      <c r="K970" s="5">
        <v>325.0</v>
      </c>
      <c r="L970" s="5">
        <v>35.17</v>
      </c>
      <c r="M970" s="5">
        <v>14305.21</v>
      </c>
      <c r="N970" s="5">
        <v>1.25</v>
      </c>
      <c r="O970" s="6">
        <f t="shared" si="1"/>
        <v>35.1696</v>
      </c>
      <c r="P970" s="6" t="str">
        <f t="shared" si="2"/>
        <v>Post-Shift</v>
      </c>
      <c r="Q970" s="3">
        <f t="shared" si="3"/>
        <v>42</v>
      </c>
    </row>
    <row r="971">
      <c r="A971" s="4" t="s">
        <v>252</v>
      </c>
      <c r="B971" s="2" t="s">
        <v>23</v>
      </c>
      <c r="C971" s="2" t="s">
        <v>19</v>
      </c>
      <c r="D971" s="2" t="s">
        <v>24</v>
      </c>
      <c r="E971" s="2" t="s">
        <v>30</v>
      </c>
      <c r="F971" s="5">
        <v>105726.0</v>
      </c>
      <c r="G971" s="5">
        <v>8542.0</v>
      </c>
      <c r="H971" s="5">
        <v>0.0808</v>
      </c>
      <c r="I971" s="5">
        <v>1.4</v>
      </c>
      <c r="J971" s="5">
        <v>11958.8</v>
      </c>
      <c r="K971" s="5">
        <v>662.0</v>
      </c>
      <c r="L971" s="5">
        <v>18.06</v>
      </c>
      <c r="M971" s="5">
        <v>104498.8</v>
      </c>
      <c r="N971" s="5">
        <v>8.74</v>
      </c>
      <c r="O971" s="6">
        <f t="shared" si="1"/>
        <v>18.06465257</v>
      </c>
      <c r="P971" s="6" t="str">
        <f t="shared" si="2"/>
        <v>Post-Shift</v>
      </c>
      <c r="Q971" s="3">
        <f t="shared" si="3"/>
        <v>47</v>
      </c>
    </row>
    <row r="972">
      <c r="A972" s="4">
        <v>45628.0</v>
      </c>
      <c r="B972" s="2" t="s">
        <v>23</v>
      </c>
      <c r="C972" s="2" t="s">
        <v>41</v>
      </c>
      <c r="D972" s="2" t="s">
        <v>29</v>
      </c>
      <c r="E972" s="2" t="s">
        <v>21</v>
      </c>
      <c r="F972" s="5">
        <v>74285.0</v>
      </c>
      <c r="G972" s="5">
        <v>2094.0</v>
      </c>
      <c r="H972" s="5">
        <v>0.0282</v>
      </c>
      <c r="I972" s="5">
        <v>0.63</v>
      </c>
      <c r="J972" s="5">
        <v>1319.22</v>
      </c>
      <c r="K972" s="5">
        <v>92.0</v>
      </c>
      <c r="L972" s="5">
        <v>14.34</v>
      </c>
      <c r="M972" s="5">
        <v>18972.8</v>
      </c>
      <c r="N972" s="5">
        <v>14.38</v>
      </c>
      <c r="O972" s="6">
        <f t="shared" si="1"/>
        <v>14.33934783</v>
      </c>
      <c r="P972" s="6" t="str">
        <f t="shared" si="2"/>
        <v>Post-Shift</v>
      </c>
      <c r="Q972" s="3">
        <f t="shared" si="3"/>
        <v>7</v>
      </c>
    </row>
    <row r="973">
      <c r="A973" s="4" t="s">
        <v>177</v>
      </c>
      <c r="B973" s="2" t="s">
        <v>18</v>
      </c>
      <c r="C973" s="2" t="s">
        <v>41</v>
      </c>
      <c r="D973" s="2" t="s">
        <v>24</v>
      </c>
      <c r="E973" s="2" t="s">
        <v>30</v>
      </c>
      <c r="F973" s="5">
        <v>168471.0</v>
      </c>
      <c r="G973" s="5">
        <v>6014.0</v>
      </c>
      <c r="H973" s="5">
        <v>0.0357</v>
      </c>
      <c r="I973" s="5">
        <v>0.97</v>
      </c>
      <c r="J973" s="5">
        <v>5833.58</v>
      </c>
      <c r="K973" s="5">
        <v>117.0</v>
      </c>
      <c r="L973" s="5">
        <v>49.86</v>
      </c>
      <c r="M973" s="5">
        <v>25231.33</v>
      </c>
      <c r="N973" s="5">
        <v>4.33</v>
      </c>
      <c r="O973" s="6">
        <f t="shared" si="1"/>
        <v>49.85965812</v>
      </c>
      <c r="P973" s="6" t="str">
        <f t="shared" si="2"/>
        <v>Post-Shift</v>
      </c>
      <c r="Q973" s="3">
        <f t="shared" si="3"/>
        <v>5</v>
      </c>
    </row>
    <row r="974">
      <c r="A974" s="4">
        <v>45545.0</v>
      </c>
      <c r="B974" s="2" t="s">
        <v>23</v>
      </c>
      <c r="C974" s="2" t="s">
        <v>19</v>
      </c>
      <c r="D974" s="2" t="s">
        <v>45</v>
      </c>
      <c r="E974" s="2" t="s">
        <v>25</v>
      </c>
      <c r="F974" s="5">
        <v>128295.0</v>
      </c>
      <c r="G974" s="5">
        <v>4695.0</v>
      </c>
      <c r="H974" s="5">
        <v>0.0366</v>
      </c>
      <c r="I974" s="5">
        <v>0.84</v>
      </c>
      <c r="J974" s="5">
        <v>3943.8</v>
      </c>
      <c r="K974" s="5">
        <v>276.0</v>
      </c>
      <c r="L974" s="5">
        <v>14.29</v>
      </c>
      <c r="M974" s="5">
        <v>42279.01</v>
      </c>
      <c r="N974" s="5">
        <v>10.72</v>
      </c>
      <c r="O974" s="6">
        <f t="shared" si="1"/>
        <v>14.28913043</v>
      </c>
      <c r="P974" s="6" t="str">
        <f t="shared" si="2"/>
        <v>Post-Shift</v>
      </c>
      <c r="Q974" s="3">
        <f t="shared" si="3"/>
        <v>41</v>
      </c>
    </row>
    <row r="975">
      <c r="A975" s="4" t="s">
        <v>62</v>
      </c>
      <c r="B975" s="2" t="s">
        <v>38</v>
      </c>
      <c r="C975" s="2" t="s">
        <v>19</v>
      </c>
      <c r="D975" s="2" t="s">
        <v>29</v>
      </c>
      <c r="E975" s="2" t="s">
        <v>58</v>
      </c>
      <c r="F975" s="5">
        <v>109777.0</v>
      </c>
      <c r="G975" s="5">
        <v>2722.0</v>
      </c>
      <c r="H975" s="5">
        <v>0.0248</v>
      </c>
      <c r="I975" s="5">
        <v>1.44</v>
      </c>
      <c r="J975" s="5">
        <v>3919.68</v>
      </c>
      <c r="K975" s="5">
        <v>170.0</v>
      </c>
      <c r="L975" s="5">
        <v>23.06</v>
      </c>
      <c r="M975" s="5">
        <v>47040.47</v>
      </c>
      <c r="N975" s="5">
        <v>12.0</v>
      </c>
      <c r="O975" s="6">
        <f t="shared" si="1"/>
        <v>23.05694118</v>
      </c>
      <c r="P975" s="6" t="str">
        <f t="shared" si="2"/>
        <v>Post-Shift</v>
      </c>
      <c r="Q975" s="3">
        <f t="shared" si="3"/>
        <v>48</v>
      </c>
    </row>
    <row r="976">
      <c r="A976" s="4" t="s">
        <v>233</v>
      </c>
      <c r="B976" s="2" t="s">
        <v>23</v>
      </c>
      <c r="C976" s="2" t="s">
        <v>27</v>
      </c>
      <c r="D976" s="2" t="s">
        <v>29</v>
      </c>
      <c r="E976" s="2" t="s">
        <v>21</v>
      </c>
      <c r="F976" s="5">
        <v>153537.0</v>
      </c>
      <c r="G976" s="5">
        <v>7277.0</v>
      </c>
      <c r="H976" s="5">
        <v>0.0474</v>
      </c>
      <c r="I976" s="5">
        <v>1.0</v>
      </c>
      <c r="J976" s="5">
        <v>7277.0</v>
      </c>
      <c r="K976" s="5">
        <v>175.0</v>
      </c>
      <c r="L976" s="5">
        <v>41.58</v>
      </c>
      <c r="M976" s="5">
        <v>48117.42</v>
      </c>
      <c r="N976" s="5">
        <v>6.61</v>
      </c>
      <c r="O976" s="6">
        <f t="shared" si="1"/>
        <v>41.58285714</v>
      </c>
      <c r="P976" s="6" t="str">
        <f t="shared" si="2"/>
        <v>Post-Shift</v>
      </c>
      <c r="Q976" s="3">
        <f t="shared" si="3"/>
        <v>38</v>
      </c>
    </row>
    <row r="977">
      <c r="A977" s="4" t="s">
        <v>200</v>
      </c>
      <c r="B977" s="2" t="s">
        <v>18</v>
      </c>
      <c r="C977" s="2" t="s">
        <v>31</v>
      </c>
      <c r="D977" s="2" t="s">
        <v>20</v>
      </c>
      <c r="E977" s="2" t="s">
        <v>33</v>
      </c>
      <c r="F977" s="5">
        <v>20915.0</v>
      </c>
      <c r="G977" s="5">
        <v>913.0</v>
      </c>
      <c r="H977" s="5">
        <v>0.0437</v>
      </c>
      <c r="I977" s="5">
        <v>1.03</v>
      </c>
      <c r="J977" s="5">
        <v>940.39</v>
      </c>
      <c r="K977" s="5">
        <v>37.0</v>
      </c>
      <c r="L977" s="5">
        <v>25.42</v>
      </c>
      <c r="M977" s="5">
        <v>3637.08</v>
      </c>
      <c r="N977" s="5">
        <v>3.87</v>
      </c>
      <c r="O977" s="6">
        <f t="shared" si="1"/>
        <v>25.41594595</v>
      </c>
      <c r="P977" s="6" t="str">
        <f t="shared" si="2"/>
        <v>Post-Shift</v>
      </c>
      <c r="Q977" s="3">
        <f t="shared" si="3"/>
        <v>35</v>
      </c>
    </row>
    <row r="978">
      <c r="A978" s="4" t="s">
        <v>160</v>
      </c>
      <c r="B978" s="2" t="s">
        <v>38</v>
      </c>
      <c r="C978" s="2" t="s">
        <v>19</v>
      </c>
      <c r="D978" s="2" t="s">
        <v>24</v>
      </c>
      <c r="E978" s="2" t="s">
        <v>25</v>
      </c>
      <c r="F978" s="5">
        <v>29992.0</v>
      </c>
      <c r="G978" s="5">
        <v>605.0</v>
      </c>
      <c r="H978" s="5">
        <v>0.0202</v>
      </c>
      <c r="I978" s="5">
        <v>0.61</v>
      </c>
      <c r="J978" s="5">
        <v>369.05</v>
      </c>
      <c r="K978" s="5">
        <v>35.0</v>
      </c>
      <c r="L978" s="5">
        <v>10.54</v>
      </c>
      <c r="M978" s="5">
        <v>5311.42</v>
      </c>
      <c r="N978" s="5">
        <v>14.39</v>
      </c>
      <c r="O978" s="6">
        <f t="shared" si="1"/>
        <v>10.54428571</v>
      </c>
      <c r="P978" s="6" t="str">
        <f t="shared" si="2"/>
        <v>Post-Shift</v>
      </c>
      <c r="Q978" s="3">
        <f t="shared" si="3"/>
        <v>30</v>
      </c>
    </row>
    <row r="979">
      <c r="A979" s="4">
        <v>45415.0</v>
      </c>
      <c r="B979" s="2" t="s">
        <v>38</v>
      </c>
      <c r="C979" s="2" t="s">
        <v>19</v>
      </c>
      <c r="D979" s="2" t="s">
        <v>20</v>
      </c>
      <c r="E979" s="2" t="s">
        <v>25</v>
      </c>
      <c r="F979" s="5">
        <v>187461.0</v>
      </c>
      <c r="G979" s="5">
        <v>2511.0</v>
      </c>
      <c r="H979" s="5">
        <v>0.0134</v>
      </c>
      <c r="I979" s="5">
        <v>1.7</v>
      </c>
      <c r="J979" s="5">
        <v>4268.7</v>
      </c>
      <c r="K979" s="5">
        <v>189.0</v>
      </c>
      <c r="L979" s="5">
        <v>22.59</v>
      </c>
      <c r="M979" s="5">
        <v>16540.06</v>
      </c>
      <c r="N979" s="5">
        <v>3.87</v>
      </c>
      <c r="O979" s="6">
        <f t="shared" si="1"/>
        <v>22.58571429</v>
      </c>
      <c r="P979" s="6" t="str">
        <f t="shared" si="2"/>
        <v>Baseline</v>
      </c>
      <c r="Q979" s="3">
        <f t="shared" si="3"/>
        <v>10</v>
      </c>
    </row>
    <row r="980">
      <c r="A980" s="4" t="s">
        <v>71</v>
      </c>
      <c r="B980" s="2" t="s">
        <v>18</v>
      </c>
      <c r="C980" s="2" t="s">
        <v>41</v>
      </c>
      <c r="D980" s="2" t="s">
        <v>45</v>
      </c>
      <c r="E980" s="2" t="s">
        <v>58</v>
      </c>
      <c r="F980" s="5">
        <v>107885.0</v>
      </c>
      <c r="G980" s="5">
        <v>3344.0</v>
      </c>
      <c r="H980" s="5">
        <v>0.031</v>
      </c>
      <c r="I980" s="5">
        <v>2.09</v>
      </c>
      <c r="J980" s="5">
        <v>6988.96</v>
      </c>
      <c r="K980" s="5">
        <v>262.0</v>
      </c>
      <c r="L980" s="5">
        <v>26.68</v>
      </c>
      <c r="M980" s="5">
        <v>51456.48</v>
      </c>
      <c r="N980" s="5">
        <v>7.36</v>
      </c>
      <c r="O980" s="6">
        <f t="shared" si="1"/>
        <v>26.67541985</v>
      </c>
      <c r="P980" s="6" t="str">
        <f t="shared" si="2"/>
        <v>Post-Shift</v>
      </c>
      <c r="Q980" s="3">
        <f t="shared" si="3"/>
        <v>20</v>
      </c>
    </row>
    <row r="981">
      <c r="A981" s="4" t="s">
        <v>61</v>
      </c>
      <c r="B981" s="2" t="s">
        <v>18</v>
      </c>
      <c r="C981" s="2" t="s">
        <v>27</v>
      </c>
      <c r="D981" s="2" t="s">
        <v>45</v>
      </c>
      <c r="E981" s="2" t="s">
        <v>33</v>
      </c>
      <c r="F981" s="5">
        <v>162242.0</v>
      </c>
      <c r="G981" s="5">
        <v>5110.0</v>
      </c>
      <c r="H981" s="5">
        <v>0.0315</v>
      </c>
      <c r="I981" s="5">
        <v>2.67</v>
      </c>
      <c r="J981" s="5">
        <v>13643.7</v>
      </c>
      <c r="K981" s="5">
        <v>118.0</v>
      </c>
      <c r="L981" s="5">
        <v>115.62</v>
      </c>
      <c r="M981" s="5">
        <v>30643.55</v>
      </c>
      <c r="N981" s="5">
        <v>2.25</v>
      </c>
      <c r="O981" s="6">
        <f t="shared" si="1"/>
        <v>115.6245763</v>
      </c>
      <c r="P981" s="6" t="str">
        <f t="shared" si="2"/>
        <v>Post-Shift</v>
      </c>
      <c r="Q981" s="3">
        <f t="shared" si="3"/>
        <v>21</v>
      </c>
    </row>
    <row r="982">
      <c r="A982" s="4">
        <v>45448.0</v>
      </c>
      <c r="B982" s="2" t="s">
        <v>38</v>
      </c>
      <c r="C982" s="2" t="s">
        <v>27</v>
      </c>
      <c r="D982" s="2" t="s">
        <v>24</v>
      </c>
      <c r="E982" s="2" t="s">
        <v>30</v>
      </c>
      <c r="F982" s="5">
        <v>34404.0</v>
      </c>
      <c r="G982" s="5">
        <v>1204.0</v>
      </c>
      <c r="H982" s="5">
        <v>0.035</v>
      </c>
      <c r="I982" s="5">
        <v>1.42</v>
      </c>
      <c r="J982" s="5">
        <v>1709.68</v>
      </c>
      <c r="K982" s="5">
        <v>94.0</v>
      </c>
      <c r="L982" s="5">
        <v>18.19</v>
      </c>
      <c r="M982" s="5">
        <v>17655.16</v>
      </c>
      <c r="N982" s="5">
        <v>10.33</v>
      </c>
      <c r="O982" s="6">
        <f t="shared" si="1"/>
        <v>18.18808511</v>
      </c>
      <c r="P982" s="6" t="str">
        <f t="shared" si="2"/>
        <v>Baseline</v>
      </c>
      <c r="Q982" s="3">
        <f t="shared" si="3"/>
        <v>19</v>
      </c>
    </row>
    <row r="983">
      <c r="A983" s="4">
        <v>45333.0</v>
      </c>
      <c r="B983" s="2" t="s">
        <v>38</v>
      </c>
      <c r="C983" s="2" t="s">
        <v>41</v>
      </c>
      <c r="D983" s="2" t="s">
        <v>24</v>
      </c>
      <c r="E983" s="2" t="s">
        <v>58</v>
      </c>
      <c r="F983" s="5">
        <v>133773.0</v>
      </c>
      <c r="G983" s="5">
        <v>3491.0</v>
      </c>
      <c r="H983" s="5">
        <v>0.0261</v>
      </c>
      <c r="I983" s="5">
        <v>1.83</v>
      </c>
      <c r="J983" s="5">
        <v>6388.53</v>
      </c>
      <c r="K983" s="5">
        <v>181.0</v>
      </c>
      <c r="L983" s="5">
        <v>35.3</v>
      </c>
      <c r="M983" s="5">
        <v>21663.32</v>
      </c>
      <c r="N983" s="5">
        <v>3.39</v>
      </c>
      <c r="O983" s="6">
        <f t="shared" si="1"/>
        <v>35.29574586</v>
      </c>
      <c r="P983" s="6" t="str">
        <f t="shared" si="2"/>
        <v>Baseline</v>
      </c>
      <c r="Q983" s="3">
        <f t="shared" si="3"/>
        <v>44</v>
      </c>
    </row>
    <row r="984">
      <c r="A984" s="4">
        <v>45359.0</v>
      </c>
      <c r="B984" s="2" t="s">
        <v>18</v>
      </c>
      <c r="C984" s="2" t="s">
        <v>27</v>
      </c>
      <c r="D984" s="2" t="s">
        <v>32</v>
      </c>
      <c r="E984" s="2" t="s">
        <v>36</v>
      </c>
      <c r="F984" s="5">
        <v>185948.0</v>
      </c>
      <c r="G984" s="5">
        <v>5373.0</v>
      </c>
      <c r="H984" s="5">
        <v>0.0289</v>
      </c>
      <c r="I984" s="5">
        <v>0.73</v>
      </c>
      <c r="J984" s="5">
        <v>3922.29</v>
      </c>
      <c r="K984" s="5">
        <v>82.0</v>
      </c>
      <c r="L984" s="5">
        <v>47.83</v>
      </c>
      <c r="M984" s="5">
        <v>15594.76</v>
      </c>
      <c r="N984" s="5">
        <v>3.98</v>
      </c>
      <c r="O984" s="6">
        <f t="shared" si="1"/>
        <v>47.83280488</v>
      </c>
      <c r="P984" s="6" t="str">
        <f t="shared" si="2"/>
        <v>Baseline</v>
      </c>
      <c r="Q984" s="3">
        <f t="shared" si="3"/>
        <v>31</v>
      </c>
    </row>
    <row r="985">
      <c r="A985" s="4" t="s">
        <v>250</v>
      </c>
      <c r="B985" s="2" t="s">
        <v>18</v>
      </c>
      <c r="C985" s="2" t="s">
        <v>31</v>
      </c>
      <c r="D985" s="2" t="s">
        <v>29</v>
      </c>
      <c r="E985" s="2" t="s">
        <v>58</v>
      </c>
      <c r="F985" s="5">
        <v>98375.0</v>
      </c>
      <c r="G985" s="5">
        <v>1898.0</v>
      </c>
      <c r="H985" s="5">
        <v>0.0193</v>
      </c>
      <c r="I985" s="5">
        <v>3.35</v>
      </c>
      <c r="J985" s="5">
        <v>6358.3</v>
      </c>
      <c r="K985" s="5">
        <v>45.0</v>
      </c>
      <c r="L985" s="5">
        <v>141.3</v>
      </c>
      <c r="M985" s="5">
        <v>2253.91</v>
      </c>
      <c r="N985" s="5">
        <v>0.35</v>
      </c>
      <c r="O985" s="6">
        <f t="shared" si="1"/>
        <v>141.2955556</v>
      </c>
      <c r="P985" s="6" t="str">
        <f t="shared" si="2"/>
        <v>Post-Shift</v>
      </c>
      <c r="Q985" s="3">
        <f t="shared" si="3"/>
        <v>28</v>
      </c>
    </row>
    <row r="986">
      <c r="A986" s="4" t="s">
        <v>211</v>
      </c>
      <c r="B986" s="2" t="s">
        <v>18</v>
      </c>
      <c r="C986" s="2" t="s">
        <v>27</v>
      </c>
      <c r="D986" s="2" t="s">
        <v>29</v>
      </c>
      <c r="E986" s="2" t="s">
        <v>30</v>
      </c>
      <c r="F986" s="5">
        <v>190826.0</v>
      </c>
      <c r="G986" s="5">
        <v>12174.0</v>
      </c>
      <c r="H986" s="5">
        <v>0.0638</v>
      </c>
      <c r="I986" s="5">
        <v>1.75</v>
      </c>
      <c r="J986" s="5">
        <v>21304.5</v>
      </c>
      <c r="K986" s="5">
        <v>933.0</v>
      </c>
      <c r="L986" s="5">
        <v>22.83</v>
      </c>
      <c r="M986" s="5">
        <v>139478.0</v>
      </c>
      <c r="N986" s="5">
        <v>6.55</v>
      </c>
      <c r="O986" s="6">
        <f t="shared" si="1"/>
        <v>22.83440514</v>
      </c>
      <c r="P986" s="6" t="str">
        <f t="shared" si="2"/>
        <v>Post-Shift</v>
      </c>
      <c r="Q986" s="3">
        <f t="shared" si="3"/>
        <v>30</v>
      </c>
    </row>
    <row r="987">
      <c r="A987" s="4">
        <v>45480.0</v>
      </c>
      <c r="B987" s="2" t="s">
        <v>38</v>
      </c>
      <c r="C987" s="2" t="s">
        <v>41</v>
      </c>
      <c r="D987" s="2" t="s">
        <v>29</v>
      </c>
      <c r="E987" s="2" t="s">
        <v>21</v>
      </c>
      <c r="F987" s="5">
        <v>105050.0</v>
      </c>
      <c r="G987" s="5">
        <v>3077.0</v>
      </c>
      <c r="H987" s="5">
        <v>0.0293</v>
      </c>
      <c r="I987" s="5">
        <v>0.5</v>
      </c>
      <c r="J987" s="5">
        <v>1538.5</v>
      </c>
      <c r="K987" s="5">
        <v>206.0</v>
      </c>
      <c r="L987" s="5">
        <v>7.47</v>
      </c>
      <c r="M987" s="5">
        <v>55580.46</v>
      </c>
      <c r="N987" s="5">
        <v>36.13</v>
      </c>
      <c r="O987" s="6">
        <f t="shared" si="1"/>
        <v>7.468446602</v>
      </c>
      <c r="P987" s="6" t="str">
        <f t="shared" si="2"/>
        <v>Post-Shift</v>
      </c>
      <c r="Q987" s="3">
        <f t="shared" si="3"/>
        <v>28</v>
      </c>
    </row>
    <row r="988">
      <c r="A988" s="4" t="s">
        <v>129</v>
      </c>
      <c r="B988" s="2" t="s">
        <v>18</v>
      </c>
      <c r="C988" s="2" t="s">
        <v>31</v>
      </c>
      <c r="D988" s="2" t="s">
        <v>45</v>
      </c>
      <c r="E988" s="2" t="s">
        <v>56</v>
      </c>
      <c r="F988" s="5">
        <v>52547.0</v>
      </c>
      <c r="G988" s="5">
        <v>2806.0</v>
      </c>
      <c r="H988" s="5">
        <v>0.0534</v>
      </c>
      <c r="I988" s="5">
        <v>2.15</v>
      </c>
      <c r="J988" s="5">
        <v>6032.9</v>
      </c>
      <c r="K988" s="5">
        <v>47.0</v>
      </c>
      <c r="L988" s="5">
        <v>128.36</v>
      </c>
      <c r="M988" s="5">
        <v>13262.4</v>
      </c>
      <c r="N988" s="5">
        <v>2.2</v>
      </c>
      <c r="O988" s="6">
        <f t="shared" si="1"/>
        <v>128.3595745</v>
      </c>
      <c r="P988" s="6" t="str">
        <f t="shared" si="2"/>
        <v>Post-Shift</v>
      </c>
      <c r="Q988" s="3">
        <f t="shared" si="3"/>
        <v>29</v>
      </c>
    </row>
    <row r="989">
      <c r="A989" s="4" t="s">
        <v>225</v>
      </c>
      <c r="B989" s="2" t="s">
        <v>18</v>
      </c>
      <c r="C989" s="2" t="s">
        <v>19</v>
      </c>
      <c r="D989" s="2" t="s">
        <v>29</v>
      </c>
      <c r="E989" s="2" t="s">
        <v>56</v>
      </c>
      <c r="F989" s="5">
        <v>139648.0</v>
      </c>
      <c r="G989" s="5">
        <v>4398.0</v>
      </c>
      <c r="H989" s="5">
        <v>0.0315</v>
      </c>
      <c r="I989" s="5">
        <v>3.0</v>
      </c>
      <c r="J989" s="5">
        <v>13194.0</v>
      </c>
      <c r="K989" s="5">
        <v>347.0</v>
      </c>
      <c r="L989" s="5">
        <v>38.02</v>
      </c>
      <c r="M989" s="5">
        <v>82597.15</v>
      </c>
      <c r="N989" s="5">
        <v>6.26</v>
      </c>
      <c r="O989" s="6">
        <f t="shared" si="1"/>
        <v>38.02305476</v>
      </c>
      <c r="P989" s="6" t="str">
        <f t="shared" si="2"/>
        <v>Post-Shift</v>
      </c>
      <c r="Q989" s="3">
        <f t="shared" si="3"/>
        <v>20</v>
      </c>
    </row>
    <row r="990">
      <c r="A990" s="4" t="s">
        <v>154</v>
      </c>
      <c r="B990" s="2" t="s">
        <v>23</v>
      </c>
      <c r="C990" s="2" t="s">
        <v>19</v>
      </c>
      <c r="D990" s="2" t="s">
        <v>20</v>
      </c>
      <c r="E990" s="2" t="s">
        <v>33</v>
      </c>
      <c r="F990" s="5">
        <v>186434.0</v>
      </c>
      <c r="G990" s="5">
        <v>8743.0</v>
      </c>
      <c r="H990" s="5">
        <v>0.0469</v>
      </c>
      <c r="I990" s="5">
        <v>1.65</v>
      </c>
      <c r="J990" s="5">
        <v>14425.95</v>
      </c>
      <c r="K990" s="5">
        <v>87.0</v>
      </c>
      <c r="L990" s="5">
        <v>165.82</v>
      </c>
      <c r="M990" s="5">
        <v>21530.58</v>
      </c>
      <c r="N990" s="5">
        <v>1.49</v>
      </c>
      <c r="O990" s="6">
        <f t="shared" si="1"/>
        <v>165.8155172</v>
      </c>
      <c r="P990" s="6" t="str">
        <f t="shared" si="2"/>
        <v>Post-Shift</v>
      </c>
      <c r="Q990" s="3">
        <f t="shared" si="3"/>
        <v>25</v>
      </c>
    </row>
    <row r="991">
      <c r="A991" s="4" t="s">
        <v>246</v>
      </c>
      <c r="B991" s="2" t="s">
        <v>18</v>
      </c>
      <c r="C991" s="2" t="s">
        <v>19</v>
      </c>
      <c r="D991" s="2" t="s">
        <v>20</v>
      </c>
      <c r="E991" s="2" t="s">
        <v>33</v>
      </c>
      <c r="F991" s="5">
        <v>63001.0</v>
      </c>
      <c r="G991" s="5">
        <v>3181.0</v>
      </c>
      <c r="H991" s="5">
        <v>0.0505</v>
      </c>
      <c r="I991" s="5">
        <v>1.48</v>
      </c>
      <c r="J991" s="5">
        <v>4707.88</v>
      </c>
      <c r="K991" s="5">
        <v>94.0</v>
      </c>
      <c r="L991" s="5">
        <v>50.08</v>
      </c>
      <c r="M991" s="5">
        <v>3324.55</v>
      </c>
      <c r="N991" s="5">
        <v>0.71</v>
      </c>
      <c r="O991" s="6">
        <f t="shared" si="1"/>
        <v>50.08382979</v>
      </c>
      <c r="P991" s="6" t="str">
        <f t="shared" si="2"/>
        <v>Post-Shift</v>
      </c>
      <c r="Q991" s="3">
        <f t="shared" si="3"/>
        <v>31</v>
      </c>
    </row>
    <row r="992">
      <c r="A992" s="4">
        <v>45630.0</v>
      </c>
      <c r="B992" s="2" t="s">
        <v>38</v>
      </c>
      <c r="C992" s="2" t="s">
        <v>31</v>
      </c>
      <c r="D992" s="2" t="s">
        <v>45</v>
      </c>
      <c r="E992" s="2" t="s">
        <v>25</v>
      </c>
      <c r="F992" s="5">
        <v>132343.0</v>
      </c>
      <c r="G992" s="5">
        <v>3507.0</v>
      </c>
      <c r="H992" s="5">
        <v>0.0265</v>
      </c>
      <c r="I992" s="5">
        <v>1.14</v>
      </c>
      <c r="J992" s="5">
        <v>3997.98</v>
      </c>
      <c r="K992" s="5">
        <v>238.0</v>
      </c>
      <c r="L992" s="5">
        <v>16.8</v>
      </c>
      <c r="M992" s="5">
        <v>17184.94</v>
      </c>
      <c r="N992" s="5">
        <v>4.3</v>
      </c>
      <c r="O992" s="6">
        <f t="shared" si="1"/>
        <v>16.79823529</v>
      </c>
      <c r="P992" s="6" t="str">
        <f t="shared" si="2"/>
        <v>Post-Shift</v>
      </c>
      <c r="Q992" s="3">
        <f t="shared" si="3"/>
        <v>15</v>
      </c>
    </row>
    <row r="993">
      <c r="A993" s="4" t="s">
        <v>194</v>
      </c>
      <c r="B993" s="2" t="s">
        <v>18</v>
      </c>
      <c r="C993" s="2" t="s">
        <v>31</v>
      </c>
      <c r="D993" s="2" t="s">
        <v>29</v>
      </c>
      <c r="E993" s="2" t="s">
        <v>25</v>
      </c>
      <c r="F993" s="5">
        <v>172570.0</v>
      </c>
      <c r="G993" s="5">
        <v>3692.0</v>
      </c>
      <c r="H993" s="5">
        <v>0.0214</v>
      </c>
      <c r="I993" s="5">
        <v>2.16</v>
      </c>
      <c r="J993" s="5">
        <v>7974.72</v>
      </c>
      <c r="K993" s="5">
        <v>53.0</v>
      </c>
      <c r="L993" s="5">
        <v>150.47</v>
      </c>
      <c r="M993" s="5">
        <v>15699.11</v>
      </c>
      <c r="N993" s="5">
        <v>1.97</v>
      </c>
      <c r="O993" s="6">
        <f t="shared" si="1"/>
        <v>150.4664151</v>
      </c>
      <c r="P993" s="6" t="str">
        <f t="shared" si="2"/>
        <v>Post-Shift</v>
      </c>
      <c r="Q993" s="3">
        <f t="shared" si="3"/>
        <v>25</v>
      </c>
    </row>
    <row r="994">
      <c r="A994" s="4">
        <v>45539.0</v>
      </c>
      <c r="B994" s="2" t="s">
        <v>18</v>
      </c>
      <c r="C994" s="2" t="s">
        <v>27</v>
      </c>
      <c r="D994" s="2" t="s">
        <v>20</v>
      </c>
      <c r="E994" s="2" t="s">
        <v>21</v>
      </c>
      <c r="F994" s="5">
        <v>196510.0</v>
      </c>
      <c r="G994" s="5">
        <v>10316.0</v>
      </c>
      <c r="H994" s="5">
        <v>0.0525</v>
      </c>
      <c r="I994" s="5">
        <v>2.0</v>
      </c>
      <c r="J994" s="5">
        <v>20632.0</v>
      </c>
      <c r="K994" s="5">
        <v>282.0</v>
      </c>
      <c r="L994" s="5">
        <v>73.16</v>
      </c>
      <c r="M994" s="5">
        <v>66245.27</v>
      </c>
      <c r="N994" s="5">
        <v>3.21</v>
      </c>
      <c r="O994" s="6">
        <f t="shared" si="1"/>
        <v>73.16312057</v>
      </c>
      <c r="P994" s="6" t="str">
        <f t="shared" si="2"/>
        <v>Post-Shift</v>
      </c>
      <c r="Q994" s="3">
        <f t="shared" si="3"/>
        <v>15</v>
      </c>
    </row>
    <row r="995">
      <c r="A995" s="4" t="s">
        <v>80</v>
      </c>
      <c r="B995" s="2" t="s">
        <v>18</v>
      </c>
      <c r="C995" s="2" t="s">
        <v>41</v>
      </c>
      <c r="D995" s="2" t="s">
        <v>24</v>
      </c>
      <c r="E995" s="2" t="s">
        <v>36</v>
      </c>
      <c r="F995" s="5">
        <v>140875.0</v>
      </c>
      <c r="G995" s="5">
        <v>6818.0</v>
      </c>
      <c r="H995" s="5">
        <v>0.0484</v>
      </c>
      <c r="I995" s="5">
        <v>2.25</v>
      </c>
      <c r="J995" s="5">
        <v>15340.5</v>
      </c>
      <c r="K995" s="5">
        <v>142.0</v>
      </c>
      <c r="L995" s="5">
        <v>108.03</v>
      </c>
      <c r="M995" s="5">
        <v>28774.25</v>
      </c>
      <c r="N995" s="5">
        <v>1.88</v>
      </c>
      <c r="O995" s="6">
        <f t="shared" si="1"/>
        <v>108.0316901</v>
      </c>
      <c r="P995" s="6" t="str">
        <f t="shared" si="2"/>
        <v>Post-Shift</v>
      </c>
      <c r="Q995" s="3">
        <f t="shared" si="3"/>
        <v>20</v>
      </c>
    </row>
    <row r="996">
      <c r="A996" s="4">
        <v>45330.0</v>
      </c>
      <c r="B996" s="2" t="s">
        <v>23</v>
      </c>
      <c r="C996" s="2" t="s">
        <v>31</v>
      </c>
      <c r="D996" s="2" t="s">
        <v>32</v>
      </c>
      <c r="E996" s="2" t="s">
        <v>30</v>
      </c>
      <c r="F996" s="5">
        <v>50955.0</v>
      </c>
      <c r="G996" s="5">
        <v>3892.0</v>
      </c>
      <c r="H996" s="5">
        <v>0.0764</v>
      </c>
      <c r="I996" s="5">
        <v>1.27</v>
      </c>
      <c r="J996" s="5">
        <v>4942.84</v>
      </c>
      <c r="K996" s="5">
        <v>224.0</v>
      </c>
      <c r="L996" s="5">
        <v>22.07</v>
      </c>
      <c r="M996" s="5">
        <v>60995.17</v>
      </c>
      <c r="N996" s="5">
        <v>12.34</v>
      </c>
      <c r="O996" s="6">
        <f t="shared" si="1"/>
        <v>22.06625</v>
      </c>
      <c r="P996" s="6" t="str">
        <f t="shared" si="2"/>
        <v>Baseline</v>
      </c>
      <c r="Q996" s="3">
        <f t="shared" si="3"/>
        <v>31</v>
      </c>
    </row>
    <row r="997">
      <c r="A997" s="4" t="s">
        <v>229</v>
      </c>
      <c r="B997" s="2" t="s">
        <v>18</v>
      </c>
      <c r="C997" s="2" t="s">
        <v>19</v>
      </c>
      <c r="D997" s="2" t="s">
        <v>20</v>
      </c>
      <c r="E997" s="2" t="s">
        <v>30</v>
      </c>
      <c r="F997" s="5">
        <v>103991.0</v>
      </c>
      <c r="G997" s="5">
        <v>3067.0</v>
      </c>
      <c r="H997" s="5">
        <v>0.0295</v>
      </c>
      <c r="I997" s="5">
        <v>2.59</v>
      </c>
      <c r="J997" s="5">
        <v>7943.53</v>
      </c>
      <c r="K997" s="5">
        <v>142.0</v>
      </c>
      <c r="L997" s="5">
        <v>55.94</v>
      </c>
      <c r="M997" s="5">
        <v>36045.3</v>
      </c>
      <c r="N997" s="5">
        <v>4.54</v>
      </c>
      <c r="O997" s="6">
        <f t="shared" si="1"/>
        <v>55.94035211</v>
      </c>
      <c r="P997" s="6" t="str">
        <f t="shared" si="2"/>
        <v>Post-Shift</v>
      </c>
      <c r="Q997" s="3">
        <f t="shared" si="3"/>
        <v>42</v>
      </c>
    </row>
    <row r="998">
      <c r="A998" s="4" t="s">
        <v>141</v>
      </c>
      <c r="B998" s="2" t="s">
        <v>18</v>
      </c>
      <c r="C998" s="2" t="s">
        <v>27</v>
      </c>
      <c r="D998" s="2" t="s">
        <v>24</v>
      </c>
      <c r="E998" s="2" t="s">
        <v>33</v>
      </c>
      <c r="F998" s="5">
        <v>22637.0</v>
      </c>
      <c r="G998" s="5">
        <v>876.0</v>
      </c>
      <c r="H998" s="5">
        <v>0.0387</v>
      </c>
      <c r="I998" s="5">
        <v>1.22</v>
      </c>
      <c r="J998" s="5">
        <v>1068.72</v>
      </c>
      <c r="K998" s="5">
        <v>16.0</v>
      </c>
      <c r="L998" s="5">
        <v>66.8</v>
      </c>
      <c r="M998" s="5">
        <v>2623.14</v>
      </c>
      <c r="N998" s="5">
        <v>2.45</v>
      </c>
      <c r="O998" s="6">
        <f t="shared" si="1"/>
        <v>66.795</v>
      </c>
      <c r="P998" s="6" t="str">
        <f t="shared" si="2"/>
        <v>Post-Shift</v>
      </c>
      <c r="Q998" s="3">
        <f t="shared" si="3"/>
        <v>43</v>
      </c>
    </row>
    <row r="999">
      <c r="A999" s="4" t="s">
        <v>138</v>
      </c>
      <c r="B999" s="2" t="s">
        <v>38</v>
      </c>
      <c r="C999" s="2" t="s">
        <v>41</v>
      </c>
      <c r="D999" s="2" t="s">
        <v>20</v>
      </c>
      <c r="E999" s="2" t="s">
        <v>36</v>
      </c>
      <c r="F999" s="5">
        <v>86099.0</v>
      </c>
      <c r="G999" s="5">
        <v>2910.0</v>
      </c>
      <c r="H999" s="5">
        <v>0.0338</v>
      </c>
      <c r="I999" s="5">
        <v>2.19</v>
      </c>
      <c r="J999" s="5">
        <v>6372.9</v>
      </c>
      <c r="K999" s="5">
        <v>194.0</v>
      </c>
      <c r="L999" s="5">
        <v>32.85</v>
      </c>
      <c r="M999" s="5">
        <v>39485.52</v>
      </c>
      <c r="N999" s="5">
        <v>6.2</v>
      </c>
      <c r="O999" s="6">
        <f t="shared" si="1"/>
        <v>32.85</v>
      </c>
      <c r="P999" s="6" t="str">
        <f t="shared" si="2"/>
        <v>Post-Shift</v>
      </c>
      <c r="Q999" s="3">
        <f t="shared" si="3"/>
        <v>51</v>
      </c>
    </row>
    <row r="1000">
      <c r="A1000" s="4">
        <v>45515.0</v>
      </c>
      <c r="B1000" s="2" t="s">
        <v>38</v>
      </c>
      <c r="C1000" s="2" t="s">
        <v>41</v>
      </c>
      <c r="D1000" s="2" t="s">
        <v>20</v>
      </c>
      <c r="E1000" s="2" t="s">
        <v>21</v>
      </c>
      <c r="F1000" s="5">
        <v>181950.0</v>
      </c>
      <c r="G1000" s="5">
        <v>2401.0</v>
      </c>
      <c r="H1000" s="5">
        <v>0.0132</v>
      </c>
      <c r="I1000" s="5">
        <v>0.67</v>
      </c>
      <c r="J1000" s="5">
        <v>1608.67</v>
      </c>
      <c r="K1000" s="5">
        <v>168.0</v>
      </c>
      <c r="L1000" s="5">
        <v>9.58</v>
      </c>
      <c r="M1000" s="5">
        <v>30028.61</v>
      </c>
      <c r="N1000" s="5">
        <v>18.67</v>
      </c>
      <c r="O1000" s="6">
        <f t="shared" si="1"/>
        <v>9.575416667</v>
      </c>
      <c r="P1000" s="6" t="str">
        <f t="shared" si="2"/>
        <v>Post-Shift</v>
      </c>
      <c r="Q1000" s="3">
        <f t="shared" si="3"/>
        <v>45</v>
      </c>
    </row>
    <row r="1001">
      <c r="A1001" s="4">
        <v>45602.0</v>
      </c>
      <c r="B1001" s="2" t="s">
        <v>38</v>
      </c>
      <c r="C1001" s="2" t="s">
        <v>27</v>
      </c>
      <c r="D1001" s="2" t="s">
        <v>45</v>
      </c>
      <c r="E1001" s="2" t="s">
        <v>58</v>
      </c>
      <c r="F1001" s="5">
        <v>102229.0</v>
      </c>
      <c r="G1001" s="5">
        <v>2146.0</v>
      </c>
      <c r="H1001" s="5">
        <v>0.021</v>
      </c>
      <c r="I1001" s="5">
        <v>0.61</v>
      </c>
      <c r="J1001" s="5">
        <v>1309.06</v>
      </c>
      <c r="K1001" s="5">
        <v>52.0</v>
      </c>
      <c r="L1001" s="5">
        <v>25.17</v>
      </c>
      <c r="M1001" s="5">
        <v>14121.79</v>
      </c>
      <c r="N1001" s="5">
        <v>10.79</v>
      </c>
      <c r="O1001" s="6">
        <f t="shared" si="1"/>
        <v>25.17423077</v>
      </c>
      <c r="P1001" s="6" t="str">
        <f t="shared" si="2"/>
        <v>Post-Shift</v>
      </c>
      <c r="Q1001" s="3">
        <f t="shared" si="3"/>
        <v>24</v>
      </c>
    </row>
    <row r="1002">
      <c r="A1002" s="4" t="s">
        <v>101</v>
      </c>
      <c r="B1002" s="2" t="s">
        <v>23</v>
      </c>
      <c r="C1002" s="2" t="s">
        <v>27</v>
      </c>
      <c r="D1002" s="2" t="s">
        <v>32</v>
      </c>
      <c r="E1002" s="2" t="s">
        <v>33</v>
      </c>
      <c r="F1002" s="5">
        <v>53167.0</v>
      </c>
      <c r="G1002" s="5">
        <v>2536.0</v>
      </c>
      <c r="H1002" s="5">
        <v>0.0477</v>
      </c>
      <c r="I1002" s="5">
        <v>0.44</v>
      </c>
      <c r="J1002" s="5">
        <v>1115.84</v>
      </c>
      <c r="K1002" s="5">
        <v>145.0</v>
      </c>
      <c r="L1002" s="5">
        <v>7.7</v>
      </c>
      <c r="M1002" s="5">
        <v>11216.46</v>
      </c>
      <c r="N1002" s="5">
        <v>10.05</v>
      </c>
      <c r="O1002" s="6">
        <f t="shared" si="1"/>
        <v>7.695448276</v>
      </c>
      <c r="P1002" s="6" t="str">
        <f t="shared" si="2"/>
        <v>Post-Shift</v>
      </c>
      <c r="Q1002" s="3">
        <f t="shared" si="3"/>
        <v>39</v>
      </c>
    </row>
    <row r="1003">
      <c r="A1003" s="4">
        <v>45448.0</v>
      </c>
      <c r="B1003" s="2" t="s">
        <v>38</v>
      </c>
      <c r="C1003" s="2" t="s">
        <v>31</v>
      </c>
      <c r="D1003" s="2" t="s">
        <v>32</v>
      </c>
      <c r="E1003" s="2" t="s">
        <v>36</v>
      </c>
      <c r="F1003" s="5">
        <v>10177.0</v>
      </c>
      <c r="G1003" s="5">
        <v>413.0</v>
      </c>
      <c r="H1003" s="5">
        <v>0.0406</v>
      </c>
      <c r="I1003" s="5">
        <v>1.85</v>
      </c>
      <c r="J1003" s="5">
        <v>764.05</v>
      </c>
      <c r="K1003" s="5">
        <v>16.0</v>
      </c>
      <c r="L1003" s="5">
        <v>47.75</v>
      </c>
      <c r="M1003" s="5">
        <v>4058.36</v>
      </c>
      <c r="N1003" s="5">
        <v>5.31</v>
      </c>
      <c r="O1003" s="6">
        <f t="shared" si="1"/>
        <v>47.753125</v>
      </c>
      <c r="P1003" s="6" t="str">
        <f t="shared" si="2"/>
        <v>Baseline</v>
      </c>
      <c r="Q1003" s="3">
        <f t="shared" si="3"/>
        <v>19</v>
      </c>
    </row>
    <row r="1004">
      <c r="A1004" s="4">
        <v>45516.0</v>
      </c>
      <c r="B1004" s="2" t="s">
        <v>38</v>
      </c>
      <c r="C1004" s="2" t="s">
        <v>31</v>
      </c>
      <c r="D1004" s="2" t="s">
        <v>45</v>
      </c>
      <c r="E1004" s="2" t="s">
        <v>36</v>
      </c>
      <c r="F1004" s="5">
        <v>67714.0</v>
      </c>
      <c r="G1004" s="5">
        <v>738.0</v>
      </c>
      <c r="H1004" s="5">
        <v>0.0109</v>
      </c>
      <c r="I1004" s="5">
        <v>1.11</v>
      </c>
      <c r="J1004" s="5">
        <v>819.18</v>
      </c>
      <c r="K1004" s="5">
        <v>17.0</v>
      </c>
      <c r="L1004" s="5">
        <v>48.19</v>
      </c>
      <c r="M1004" s="5">
        <v>1445.84</v>
      </c>
      <c r="N1004" s="5">
        <v>1.76</v>
      </c>
      <c r="O1004" s="6">
        <f t="shared" si="1"/>
        <v>48.18705882</v>
      </c>
      <c r="P1004" s="6" t="str">
        <f t="shared" si="2"/>
        <v>Post-Shift</v>
      </c>
      <c r="Q1004" s="3">
        <f t="shared" si="3"/>
        <v>50</v>
      </c>
    </row>
    <row r="1005">
      <c r="A1005" s="4" t="s">
        <v>119</v>
      </c>
      <c r="B1005" s="2" t="s">
        <v>18</v>
      </c>
      <c r="C1005" s="2" t="s">
        <v>31</v>
      </c>
      <c r="D1005" s="2" t="s">
        <v>20</v>
      </c>
      <c r="E1005" s="2" t="s">
        <v>25</v>
      </c>
      <c r="F1005" s="5">
        <v>51032.0</v>
      </c>
      <c r="G1005" s="5">
        <v>3036.0</v>
      </c>
      <c r="H1005" s="5">
        <v>0.0595</v>
      </c>
      <c r="I1005" s="5">
        <v>2.23</v>
      </c>
      <c r="J1005" s="5">
        <v>6770.28</v>
      </c>
      <c r="K1005" s="5">
        <v>195.0</v>
      </c>
      <c r="L1005" s="5">
        <v>34.72</v>
      </c>
      <c r="M1005" s="5">
        <v>18761.36</v>
      </c>
      <c r="N1005" s="5">
        <v>2.77</v>
      </c>
      <c r="O1005" s="6">
        <f t="shared" si="1"/>
        <v>34.71938462</v>
      </c>
      <c r="P1005" s="6" t="str">
        <f t="shared" si="2"/>
        <v>Post-Shift</v>
      </c>
      <c r="Q1005" s="3">
        <f t="shared" si="3"/>
        <v>43</v>
      </c>
    </row>
    <row r="1006">
      <c r="A1006" s="4">
        <v>45604.0</v>
      </c>
      <c r="B1006" s="2" t="s">
        <v>23</v>
      </c>
      <c r="C1006" s="2" t="s">
        <v>41</v>
      </c>
      <c r="D1006" s="2" t="s">
        <v>32</v>
      </c>
      <c r="E1006" s="2" t="s">
        <v>30</v>
      </c>
      <c r="F1006" s="5">
        <v>68474.0</v>
      </c>
      <c r="G1006" s="5">
        <v>4923.0</v>
      </c>
      <c r="H1006" s="5">
        <v>0.0719</v>
      </c>
      <c r="I1006" s="5">
        <v>0.47</v>
      </c>
      <c r="J1006" s="5">
        <v>2313.81</v>
      </c>
      <c r="K1006" s="5">
        <v>198.0</v>
      </c>
      <c r="L1006" s="5">
        <v>11.69</v>
      </c>
      <c r="M1006" s="5">
        <v>32574.4</v>
      </c>
      <c r="N1006" s="5">
        <v>14.08</v>
      </c>
      <c r="O1006" s="6">
        <f t="shared" si="1"/>
        <v>11.68590909</v>
      </c>
      <c r="P1006" s="6" t="str">
        <f t="shared" si="2"/>
        <v>Post-Shift</v>
      </c>
      <c r="Q1006" s="3">
        <f t="shared" si="3"/>
        <v>33</v>
      </c>
    </row>
    <row r="1007">
      <c r="A1007" s="4">
        <v>45634.0</v>
      </c>
      <c r="B1007" s="2" t="s">
        <v>23</v>
      </c>
      <c r="C1007" s="2" t="s">
        <v>27</v>
      </c>
      <c r="D1007" s="2" t="s">
        <v>32</v>
      </c>
      <c r="E1007" s="2" t="s">
        <v>58</v>
      </c>
      <c r="F1007" s="5">
        <v>12838.0</v>
      </c>
      <c r="G1007" s="5">
        <v>784.0</v>
      </c>
      <c r="H1007" s="5">
        <v>0.0611</v>
      </c>
      <c r="I1007" s="5">
        <v>0.42</v>
      </c>
      <c r="J1007" s="5">
        <v>329.28</v>
      </c>
      <c r="K1007" s="5">
        <v>56.0</v>
      </c>
      <c r="L1007" s="5">
        <v>5.88</v>
      </c>
      <c r="M1007" s="5">
        <v>2887.05</v>
      </c>
      <c r="N1007" s="5">
        <v>8.77</v>
      </c>
      <c r="O1007" s="6">
        <f t="shared" si="1"/>
        <v>5.88</v>
      </c>
      <c r="P1007" s="6" t="str">
        <f t="shared" si="2"/>
        <v>Post-Shift</v>
      </c>
      <c r="Q1007" s="3">
        <f t="shared" si="3"/>
        <v>33</v>
      </c>
    </row>
    <row r="1008">
      <c r="A1008" s="4">
        <v>45418.0</v>
      </c>
      <c r="B1008" s="2" t="s">
        <v>18</v>
      </c>
      <c r="C1008" s="2" t="s">
        <v>41</v>
      </c>
      <c r="D1008" s="2" t="s">
        <v>29</v>
      </c>
      <c r="E1008" s="2" t="s">
        <v>25</v>
      </c>
      <c r="F1008" s="5">
        <v>151595.0</v>
      </c>
      <c r="G1008" s="5">
        <v>9262.0</v>
      </c>
      <c r="H1008" s="5">
        <v>0.0611</v>
      </c>
      <c r="I1008" s="5">
        <v>1.76</v>
      </c>
      <c r="J1008" s="5">
        <v>16301.12</v>
      </c>
      <c r="K1008" s="5">
        <v>572.0</v>
      </c>
      <c r="L1008" s="5">
        <v>28.5</v>
      </c>
      <c r="M1008" s="5">
        <v>85249.68</v>
      </c>
      <c r="N1008" s="5">
        <v>5.23</v>
      </c>
      <c r="O1008" s="6">
        <f t="shared" si="1"/>
        <v>28.49846154</v>
      </c>
      <c r="P1008" s="6" t="str">
        <f t="shared" si="2"/>
        <v>Baseline</v>
      </c>
      <c r="Q1008" s="3">
        <f t="shared" si="3"/>
        <v>23</v>
      </c>
    </row>
    <row r="1009">
      <c r="A1009" s="4">
        <v>45600.0</v>
      </c>
      <c r="B1009" s="2" t="s">
        <v>23</v>
      </c>
      <c r="C1009" s="2" t="s">
        <v>27</v>
      </c>
      <c r="D1009" s="2" t="s">
        <v>45</v>
      </c>
      <c r="E1009" s="2" t="s">
        <v>33</v>
      </c>
      <c r="F1009" s="5">
        <v>38799.0</v>
      </c>
      <c r="G1009" s="5">
        <v>1303.0</v>
      </c>
      <c r="H1009" s="5">
        <v>0.0336</v>
      </c>
      <c r="I1009" s="5">
        <v>0.33</v>
      </c>
      <c r="J1009" s="5">
        <v>429.99</v>
      </c>
      <c r="K1009" s="5">
        <v>51.0</v>
      </c>
      <c r="L1009" s="5">
        <v>8.43</v>
      </c>
      <c r="M1009" s="5">
        <v>4095.81</v>
      </c>
      <c r="N1009" s="5">
        <v>9.53</v>
      </c>
      <c r="O1009" s="6">
        <f t="shared" si="1"/>
        <v>8.431176471</v>
      </c>
      <c r="P1009" s="6" t="str">
        <f t="shared" si="2"/>
        <v>Post-Shift</v>
      </c>
      <c r="Q1009" s="3">
        <f t="shared" si="3"/>
        <v>15</v>
      </c>
    </row>
    <row r="1010">
      <c r="A1010" s="4" t="s">
        <v>77</v>
      </c>
      <c r="B1010" s="2" t="s">
        <v>18</v>
      </c>
      <c r="C1010" s="2" t="s">
        <v>27</v>
      </c>
      <c r="D1010" s="2" t="s">
        <v>32</v>
      </c>
      <c r="E1010" s="2" t="s">
        <v>58</v>
      </c>
      <c r="F1010" s="5">
        <v>121565.0</v>
      </c>
      <c r="G1010" s="5">
        <v>2601.0</v>
      </c>
      <c r="H1010" s="5">
        <v>0.0214</v>
      </c>
      <c r="I1010" s="5">
        <v>2.04</v>
      </c>
      <c r="J1010" s="5">
        <v>5306.04</v>
      </c>
      <c r="K1010" s="5">
        <v>176.0</v>
      </c>
      <c r="L1010" s="5">
        <v>30.15</v>
      </c>
      <c r="M1010" s="5">
        <v>34156.84</v>
      </c>
      <c r="N1010" s="5">
        <v>6.44</v>
      </c>
      <c r="O1010" s="6">
        <f t="shared" si="1"/>
        <v>30.14795455</v>
      </c>
      <c r="P1010" s="6" t="str">
        <f t="shared" si="2"/>
        <v>Post-Shift</v>
      </c>
      <c r="Q1010" s="3">
        <f t="shared" si="3"/>
        <v>26</v>
      </c>
    </row>
    <row r="1011">
      <c r="A1011" s="4">
        <v>45605.0</v>
      </c>
      <c r="B1011" s="2" t="s">
        <v>38</v>
      </c>
      <c r="C1011" s="2" t="s">
        <v>41</v>
      </c>
      <c r="D1011" s="2" t="s">
        <v>45</v>
      </c>
      <c r="E1011" s="2" t="s">
        <v>36</v>
      </c>
      <c r="F1011" s="5">
        <v>38762.0</v>
      </c>
      <c r="G1011" s="5">
        <v>1007.0</v>
      </c>
      <c r="H1011" s="5">
        <v>0.026</v>
      </c>
      <c r="I1011" s="5">
        <v>0.68</v>
      </c>
      <c r="J1011" s="5">
        <v>684.76</v>
      </c>
      <c r="K1011" s="5">
        <v>16.0</v>
      </c>
      <c r="L1011" s="5">
        <v>42.8</v>
      </c>
      <c r="M1011" s="5">
        <v>3871.2</v>
      </c>
      <c r="N1011" s="5">
        <v>5.65</v>
      </c>
      <c r="O1011" s="6">
        <f t="shared" si="1"/>
        <v>42.7975</v>
      </c>
      <c r="P1011" s="6" t="str">
        <f t="shared" si="2"/>
        <v>Post-Shift</v>
      </c>
      <c r="Q1011" s="3">
        <f t="shared" si="3"/>
        <v>37</v>
      </c>
    </row>
    <row r="1012">
      <c r="A1012" s="4" t="s">
        <v>114</v>
      </c>
      <c r="B1012" s="2" t="s">
        <v>38</v>
      </c>
      <c r="C1012" s="2" t="s">
        <v>19</v>
      </c>
      <c r="D1012" s="2" t="s">
        <v>45</v>
      </c>
      <c r="E1012" s="2" t="s">
        <v>56</v>
      </c>
      <c r="F1012" s="5">
        <v>32410.0</v>
      </c>
      <c r="G1012" s="5">
        <v>693.0</v>
      </c>
      <c r="H1012" s="5">
        <v>0.0214</v>
      </c>
      <c r="I1012" s="5">
        <v>1.79</v>
      </c>
      <c r="J1012" s="5">
        <v>1240.47</v>
      </c>
      <c r="K1012" s="5">
        <v>21.0</v>
      </c>
      <c r="L1012" s="5">
        <v>59.07</v>
      </c>
      <c r="M1012" s="5">
        <v>678.51</v>
      </c>
      <c r="N1012" s="5">
        <v>0.55</v>
      </c>
      <c r="O1012" s="6">
        <f t="shared" si="1"/>
        <v>59.07</v>
      </c>
      <c r="P1012" s="6" t="str">
        <f t="shared" si="2"/>
        <v>Post-Shift</v>
      </c>
      <c r="Q1012" s="3">
        <f t="shared" si="3"/>
        <v>8</v>
      </c>
    </row>
    <row r="1013">
      <c r="A1013" s="4" t="s">
        <v>172</v>
      </c>
      <c r="B1013" s="2" t="s">
        <v>23</v>
      </c>
      <c r="C1013" s="2" t="s">
        <v>27</v>
      </c>
      <c r="D1013" s="2" t="s">
        <v>24</v>
      </c>
      <c r="E1013" s="2" t="s">
        <v>58</v>
      </c>
      <c r="F1013" s="5">
        <v>134132.0</v>
      </c>
      <c r="G1013" s="5">
        <v>4694.0</v>
      </c>
      <c r="H1013" s="5">
        <v>0.035</v>
      </c>
      <c r="I1013" s="5">
        <v>0.82</v>
      </c>
      <c r="J1013" s="5">
        <v>3849.08</v>
      </c>
      <c r="K1013" s="5">
        <v>306.0</v>
      </c>
      <c r="L1013" s="5">
        <v>12.58</v>
      </c>
      <c r="M1013" s="5">
        <v>52932.5</v>
      </c>
      <c r="N1013" s="5">
        <v>13.75</v>
      </c>
      <c r="O1013" s="6">
        <f t="shared" si="1"/>
        <v>12.57869281</v>
      </c>
      <c r="P1013" s="6" t="str">
        <f t="shared" si="2"/>
        <v>Post-Shift</v>
      </c>
      <c r="Q1013" s="3">
        <f t="shared" si="3"/>
        <v>13</v>
      </c>
    </row>
    <row r="1014">
      <c r="A1014" s="4" t="s">
        <v>113</v>
      </c>
      <c r="B1014" s="2" t="s">
        <v>18</v>
      </c>
      <c r="C1014" s="2" t="s">
        <v>41</v>
      </c>
      <c r="D1014" s="2" t="s">
        <v>45</v>
      </c>
      <c r="E1014" s="2" t="s">
        <v>58</v>
      </c>
      <c r="F1014" s="5">
        <v>38005.0</v>
      </c>
      <c r="G1014" s="5">
        <v>1489.0</v>
      </c>
      <c r="H1014" s="5">
        <v>0.0392</v>
      </c>
      <c r="I1014" s="5">
        <v>1.51</v>
      </c>
      <c r="J1014" s="5">
        <v>2248.39</v>
      </c>
      <c r="K1014" s="5">
        <v>79.0</v>
      </c>
      <c r="L1014" s="5">
        <v>28.46</v>
      </c>
      <c r="M1014" s="5">
        <v>23043.93</v>
      </c>
      <c r="N1014" s="5">
        <v>10.25</v>
      </c>
      <c r="O1014" s="6">
        <f t="shared" si="1"/>
        <v>28.46063291</v>
      </c>
      <c r="P1014" s="6" t="str">
        <f t="shared" si="2"/>
        <v>Post-Shift</v>
      </c>
      <c r="Q1014" s="3">
        <f t="shared" si="3"/>
        <v>5</v>
      </c>
    </row>
    <row r="1015">
      <c r="A1015" s="4" t="s">
        <v>203</v>
      </c>
      <c r="B1015" s="2" t="s">
        <v>18</v>
      </c>
      <c r="C1015" s="2" t="s">
        <v>19</v>
      </c>
      <c r="D1015" s="2" t="s">
        <v>45</v>
      </c>
      <c r="E1015" s="2" t="s">
        <v>56</v>
      </c>
      <c r="F1015" s="5">
        <v>91348.0</v>
      </c>
      <c r="G1015" s="5">
        <v>2914.0</v>
      </c>
      <c r="H1015" s="5">
        <v>0.0319</v>
      </c>
      <c r="I1015" s="5">
        <v>1.73</v>
      </c>
      <c r="J1015" s="5">
        <v>5041.22</v>
      </c>
      <c r="K1015" s="5">
        <v>98.0</v>
      </c>
      <c r="L1015" s="5">
        <v>51.44</v>
      </c>
      <c r="M1015" s="5">
        <v>14981.67</v>
      </c>
      <c r="N1015" s="5">
        <v>2.97</v>
      </c>
      <c r="O1015" s="6">
        <f t="shared" si="1"/>
        <v>51.44102041</v>
      </c>
      <c r="P1015" s="6" t="str">
        <f t="shared" si="2"/>
        <v>Post-Shift</v>
      </c>
      <c r="Q1015" s="3">
        <f t="shared" si="3"/>
        <v>3</v>
      </c>
    </row>
    <row r="1016">
      <c r="A1016" s="4" t="s">
        <v>207</v>
      </c>
      <c r="B1016" s="2" t="s">
        <v>18</v>
      </c>
      <c r="C1016" s="2" t="s">
        <v>41</v>
      </c>
      <c r="D1016" s="2" t="s">
        <v>45</v>
      </c>
      <c r="E1016" s="2" t="s">
        <v>25</v>
      </c>
      <c r="F1016" s="5">
        <v>87607.0</v>
      </c>
      <c r="G1016" s="5">
        <v>3661.0</v>
      </c>
      <c r="H1016" s="5">
        <v>0.0418</v>
      </c>
      <c r="I1016" s="5">
        <v>3.15</v>
      </c>
      <c r="J1016" s="5">
        <v>11532.15</v>
      </c>
      <c r="K1016" s="5">
        <v>106.0</v>
      </c>
      <c r="L1016" s="5">
        <v>108.79</v>
      </c>
      <c r="M1016" s="5">
        <v>31383.75</v>
      </c>
      <c r="N1016" s="5">
        <v>2.72</v>
      </c>
      <c r="O1016" s="6">
        <f t="shared" si="1"/>
        <v>108.7938679</v>
      </c>
      <c r="P1016" s="6" t="str">
        <f t="shared" si="2"/>
        <v>Post-Shift</v>
      </c>
      <c r="Q1016" s="3">
        <f t="shared" si="3"/>
        <v>34</v>
      </c>
    </row>
    <row r="1017">
      <c r="A1017" s="4">
        <v>45293.0</v>
      </c>
      <c r="B1017" s="2" t="s">
        <v>23</v>
      </c>
      <c r="C1017" s="2" t="s">
        <v>31</v>
      </c>
      <c r="D1017" s="2" t="s">
        <v>20</v>
      </c>
      <c r="E1017" s="2" t="s">
        <v>56</v>
      </c>
      <c r="F1017" s="5">
        <v>95288.0</v>
      </c>
      <c r="G1017" s="5">
        <v>7108.0</v>
      </c>
      <c r="H1017" s="5">
        <v>0.0746</v>
      </c>
      <c r="I1017" s="5">
        <v>0.51</v>
      </c>
      <c r="J1017" s="5">
        <v>3625.08</v>
      </c>
      <c r="K1017" s="5">
        <v>454.0</v>
      </c>
      <c r="L1017" s="5">
        <v>7.98</v>
      </c>
      <c r="M1017" s="5">
        <v>132401.6</v>
      </c>
      <c r="N1017" s="5">
        <v>36.52</v>
      </c>
      <c r="O1017" s="6">
        <f t="shared" si="1"/>
        <v>7.984757709</v>
      </c>
      <c r="P1017" s="6" t="str">
        <f t="shared" si="2"/>
        <v>Baseline</v>
      </c>
      <c r="Q1017" s="3">
        <f t="shared" si="3"/>
        <v>5</v>
      </c>
    </row>
    <row r="1018">
      <c r="A1018" s="4" t="s">
        <v>83</v>
      </c>
      <c r="B1018" s="2" t="s">
        <v>23</v>
      </c>
      <c r="C1018" s="2" t="s">
        <v>27</v>
      </c>
      <c r="D1018" s="2" t="s">
        <v>29</v>
      </c>
      <c r="E1018" s="2" t="s">
        <v>25</v>
      </c>
      <c r="F1018" s="5">
        <v>68620.0</v>
      </c>
      <c r="G1018" s="5">
        <v>3602.0</v>
      </c>
      <c r="H1018" s="5">
        <v>0.0525</v>
      </c>
      <c r="I1018" s="5">
        <v>0.48</v>
      </c>
      <c r="J1018" s="5">
        <v>1728.96</v>
      </c>
      <c r="K1018" s="5">
        <v>134.0</v>
      </c>
      <c r="L1018" s="5">
        <v>12.9</v>
      </c>
      <c r="M1018" s="5">
        <v>22980.94</v>
      </c>
      <c r="N1018" s="5">
        <v>13.29</v>
      </c>
      <c r="O1018" s="6">
        <f t="shared" si="1"/>
        <v>12.90268657</v>
      </c>
      <c r="P1018" s="6" t="str">
        <f t="shared" si="2"/>
        <v>Post-Shift</v>
      </c>
      <c r="Q1018" s="3">
        <f t="shared" si="3"/>
        <v>39</v>
      </c>
    </row>
    <row r="1019">
      <c r="A1019" s="4">
        <v>45450.0</v>
      </c>
      <c r="B1019" s="2" t="s">
        <v>23</v>
      </c>
      <c r="C1019" s="2" t="s">
        <v>27</v>
      </c>
      <c r="D1019" s="2" t="s">
        <v>29</v>
      </c>
      <c r="E1019" s="2" t="s">
        <v>58</v>
      </c>
      <c r="F1019" s="5">
        <v>95975.0</v>
      </c>
      <c r="G1019" s="5">
        <v>3848.0</v>
      </c>
      <c r="H1019" s="5">
        <v>0.0401</v>
      </c>
      <c r="I1019" s="5">
        <v>1.78</v>
      </c>
      <c r="J1019" s="5">
        <v>6849.44</v>
      </c>
      <c r="K1019" s="5">
        <v>66.0</v>
      </c>
      <c r="L1019" s="5">
        <v>103.78</v>
      </c>
      <c r="M1019" s="5">
        <v>6246.82</v>
      </c>
      <c r="N1019" s="5">
        <v>0.91</v>
      </c>
      <c r="O1019" s="6">
        <f t="shared" si="1"/>
        <v>103.7793939</v>
      </c>
      <c r="P1019" s="6" t="str">
        <f t="shared" si="2"/>
        <v>Baseline</v>
      </c>
      <c r="Q1019" s="3">
        <f t="shared" si="3"/>
        <v>27</v>
      </c>
    </row>
    <row r="1020">
      <c r="A1020" s="4">
        <v>45638.0</v>
      </c>
      <c r="B1020" s="2" t="s">
        <v>18</v>
      </c>
      <c r="C1020" s="2" t="s">
        <v>31</v>
      </c>
      <c r="D1020" s="2" t="s">
        <v>32</v>
      </c>
      <c r="E1020" s="2" t="s">
        <v>36</v>
      </c>
      <c r="F1020" s="5">
        <v>162064.0</v>
      </c>
      <c r="G1020" s="5">
        <v>5607.0</v>
      </c>
      <c r="H1020" s="5">
        <v>0.0346</v>
      </c>
      <c r="I1020" s="5">
        <v>2.42</v>
      </c>
      <c r="J1020" s="5">
        <v>13568.94</v>
      </c>
      <c r="K1020" s="5">
        <v>77.0</v>
      </c>
      <c r="L1020" s="5">
        <v>176.22</v>
      </c>
      <c r="M1020" s="5">
        <v>8174.03</v>
      </c>
      <c r="N1020" s="5">
        <v>0.6</v>
      </c>
      <c r="O1020" s="6">
        <f t="shared" si="1"/>
        <v>176.22</v>
      </c>
      <c r="P1020" s="6" t="str">
        <f t="shared" si="2"/>
        <v>Post-Shift</v>
      </c>
      <c r="Q1020" s="3">
        <f t="shared" si="3"/>
        <v>50</v>
      </c>
    </row>
    <row r="1021">
      <c r="A1021" s="4" t="s">
        <v>213</v>
      </c>
      <c r="B1021" s="2" t="s">
        <v>38</v>
      </c>
      <c r="C1021" s="2" t="s">
        <v>19</v>
      </c>
      <c r="D1021" s="2" t="s">
        <v>20</v>
      </c>
      <c r="E1021" s="2" t="s">
        <v>30</v>
      </c>
      <c r="F1021" s="5">
        <v>57712.0</v>
      </c>
      <c r="G1021" s="5">
        <v>848.0</v>
      </c>
      <c r="H1021" s="5">
        <v>0.0147</v>
      </c>
      <c r="I1021" s="5">
        <v>0.9</v>
      </c>
      <c r="J1021" s="5">
        <v>763.2</v>
      </c>
      <c r="K1021" s="5">
        <v>64.0</v>
      </c>
      <c r="L1021" s="5">
        <v>11.93</v>
      </c>
      <c r="M1021" s="5">
        <v>2136.83</v>
      </c>
      <c r="N1021" s="5">
        <v>2.8</v>
      </c>
      <c r="O1021" s="6">
        <f t="shared" si="1"/>
        <v>11.925</v>
      </c>
      <c r="P1021" s="6" t="str">
        <f t="shared" si="2"/>
        <v>Post-Shift</v>
      </c>
      <c r="Q1021" s="3">
        <f t="shared" si="3"/>
        <v>20</v>
      </c>
    </row>
    <row r="1022">
      <c r="A1022" s="4" t="s">
        <v>251</v>
      </c>
      <c r="B1022" s="2" t="s">
        <v>38</v>
      </c>
      <c r="C1022" s="2" t="s">
        <v>31</v>
      </c>
      <c r="D1022" s="2" t="s">
        <v>20</v>
      </c>
      <c r="E1022" s="2" t="s">
        <v>33</v>
      </c>
      <c r="F1022" s="5">
        <v>147412.0</v>
      </c>
      <c r="G1022" s="5">
        <v>3670.0</v>
      </c>
      <c r="H1022" s="5">
        <v>0.0249</v>
      </c>
      <c r="I1022" s="5">
        <v>1.17</v>
      </c>
      <c r="J1022" s="5">
        <v>4293.9</v>
      </c>
      <c r="K1022" s="5">
        <v>162.0</v>
      </c>
      <c r="L1022" s="5">
        <v>26.51</v>
      </c>
      <c r="M1022" s="5">
        <v>38717.46</v>
      </c>
      <c r="N1022" s="5">
        <v>9.02</v>
      </c>
      <c r="O1022" s="6">
        <f t="shared" si="1"/>
        <v>26.50555556</v>
      </c>
      <c r="P1022" s="6" t="str">
        <f t="shared" si="2"/>
        <v>Post-Shift</v>
      </c>
      <c r="Q1022" s="3">
        <f t="shared" si="3"/>
        <v>26</v>
      </c>
    </row>
    <row r="1023">
      <c r="A1023" s="4">
        <v>45445.0</v>
      </c>
      <c r="B1023" s="2" t="s">
        <v>18</v>
      </c>
      <c r="C1023" s="2" t="s">
        <v>41</v>
      </c>
      <c r="D1023" s="2" t="s">
        <v>45</v>
      </c>
      <c r="E1023" s="2" t="s">
        <v>21</v>
      </c>
      <c r="F1023" s="5">
        <v>79525.0</v>
      </c>
      <c r="G1023" s="5">
        <v>2298.0</v>
      </c>
      <c r="H1023" s="5">
        <v>0.0289</v>
      </c>
      <c r="I1023" s="5">
        <v>1.58</v>
      </c>
      <c r="J1023" s="5">
        <v>3630.84</v>
      </c>
      <c r="K1023" s="5">
        <v>119.0</v>
      </c>
      <c r="L1023" s="5">
        <v>30.51</v>
      </c>
      <c r="M1023" s="5">
        <v>21777.03</v>
      </c>
      <c r="N1023" s="5">
        <v>6.0</v>
      </c>
      <c r="O1023" s="6">
        <f t="shared" si="1"/>
        <v>30.5112605</v>
      </c>
      <c r="P1023" s="6" t="str">
        <f t="shared" si="2"/>
        <v>Baseline</v>
      </c>
      <c r="Q1023" s="3">
        <f t="shared" si="3"/>
        <v>6</v>
      </c>
    </row>
    <row r="1024">
      <c r="A1024" s="4" t="s">
        <v>139</v>
      </c>
      <c r="B1024" s="2" t="s">
        <v>38</v>
      </c>
      <c r="C1024" s="2" t="s">
        <v>31</v>
      </c>
      <c r="D1024" s="2" t="s">
        <v>45</v>
      </c>
      <c r="E1024" s="2" t="s">
        <v>25</v>
      </c>
      <c r="F1024" s="5">
        <v>78480.0</v>
      </c>
      <c r="G1024" s="5">
        <v>1389.0</v>
      </c>
      <c r="H1024" s="5">
        <v>0.0177</v>
      </c>
      <c r="I1024" s="5">
        <v>1.69</v>
      </c>
      <c r="J1024" s="5">
        <v>2347.41</v>
      </c>
      <c r="K1024" s="5">
        <v>19.0</v>
      </c>
      <c r="L1024" s="5">
        <v>123.55</v>
      </c>
      <c r="M1024" s="5">
        <v>2972.32</v>
      </c>
      <c r="N1024" s="5">
        <v>1.27</v>
      </c>
      <c r="O1024" s="6">
        <f t="shared" si="1"/>
        <v>123.5478947</v>
      </c>
      <c r="P1024" s="6" t="str">
        <f t="shared" si="2"/>
        <v>Post-Shift</v>
      </c>
      <c r="Q1024" s="3">
        <f t="shared" si="3"/>
        <v>16</v>
      </c>
    </row>
    <row r="1025">
      <c r="A1025" s="4">
        <v>45599.0</v>
      </c>
      <c r="B1025" s="2" t="s">
        <v>23</v>
      </c>
      <c r="C1025" s="2" t="s">
        <v>41</v>
      </c>
      <c r="D1025" s="2" t="s">
        <v>32</v>
      </c>
      <c r="E1025" s="2" t="s">
        <v>25</v>
      </c>
      <c r="F1025" s="5">
        <v>165232.0</v>
      </c>
      <c r="G1025" s="5">
        <v>7617.0</v>
      </c>
      <c r="H1025" s="5">
        <v>0.0461</v>
      </c>
      <c r="I1025" s="5">
        <v>0.77</v>
      </c>
      <c r="J1025" s="5">
        <v>5865.09</v>
      </c>
      <c r="K1025" s="5">
        <v>601.0</v>
      </c>
      <c r="L1025" s="5">
        <v>9.76</v>
      </c>
      <c r="M1025" s="5">
        <v>102707.9</v>
      </c>
      <c r="N1025" s="5">
        <v>17.51</v>
      </c>
      <c r="O1025" s="6">
        <f t="shared" si="1"/>
        <v>9.758885191</v>
      </c>
      <c r="P1025" s="6" t="str">
        <f t="shared" si="2"/>
        <v>Post-Shift</v>
      </c>
      <c r="Q1025" s="3">
        <f t="shared" si="3"/>
        <v>11</v>
      </c>
    </row>
    <row r="1026">
      <c r="A1026" s="4" t="s">
        <v>213</v>
      </c>
      <c r="B1026" s="2" t="s">
        <v>18</v>
      </c>
      <c r="C1026" s="2" t="s">
        <v>41</v>
      </c>
      <c r="D1026" s="2" t="s">
        <v>32</v>
      </c>
      <c r="E1026" s="2" t="s">
        <v>21</v>
      </c>
      <c r="F1026" s="5">
        <v>13294.0</v>
      </c>
      <c r="G1026" s="5">
        <v>583.0</v>
      </c>
      <c r="H1026" s="5">
        <v>0.0439</v>
      </c>
      <c r="I1026" s="5">
        <v>1.38</v>
      </c>
      <c r="J1026" s="5">
        <v>804.54</v>
      </c>
      <c r="K1026" s="5">
        <v>46.0</v>
      </c>
      <c r="L1026" s="5">
        <v>17.49</v>
      </c>
      <c r="M1026" s="5">
        <v>11553.7</v>
      </c>
      <c r="N1026" s="5">
        <v>14.36</v>
      </c>
      <c r="O1026" s="6">
        <f t="shared" si="1"/>
        <v>17.49</v>
      </c>
      <c r="P1026" s="6" t="str">
        <f t="shared" si="2"/>
        <v>Post-Shift</v>
      </c>
      <c r="Q1026" s="3">
        <f t="shared" si="3"/>
        <v>20</v>
      </c>
    </row>
    <row r="1027">
      <c r="A1027" s="4" t="s">
        <v>63</v>
      </c>
      <c r="B1027" s="2" t="s">
        <v>38</v>
      </c>
      <c r="C1027" s="2" t="s">
        <v>27</v>
      </c>
      <c r="D1027" s="2" t="s">
        <v>24</v>
      </c>
      <c r="E1027" s="2" t="s">
        <v>25</v>
      </c>
      <c r="F1027" s="5">
        <v>55333.0</v>
      </c>
      <c r="G1027" s="5">
        <v>852.0</v>
      </c>
      <c r="H1027" s="5">
        <v>0.0154</v>
      </c>
      <c r="I1027" s="5">
        <v>1.05</v>
      </c>
      <c r="J1027" s="5">
        <v>894.6</v>
      </c>
      <c r="K1027" s="5">
        <v>66.0</v>
      </c>
      <c r="L1027" s="5">
        <v>13.55</v>
      </c>
      <c r="M1027" s="5">
        <v>12295.52</v>
      </c>
      <c r="N1027" s="5">
        <v>13.74</v>
      </c>
      <c r="O1027" s="6">
        <f t="shared" si="1"/>
        <v>13.55454545</v>
      </c>
      <c r="P1027" s="6" t="str">
        <f t="shared" si="2"/>
        <v>Post-Shift</v>
      </c>
      <c r="Q1027" s="3">
        <f t="shared" si="3"/>
        <v>46</v>
      </c>
    </row>
    <row r="1028">
      <c r="A1028" s="4" t="s">
        <v>189</v>
      </c>
      <c r="B1028" s="2" t="s">
        <v>38</v>
      </c>
      <c r="C1028" s="2" t="s">
        <v>41</v>
      </c>
      <c r="D1028" s="2" t="s">
        <v>20</v>
      </c>
      <c r="E1028" s="2" t="s">
        <v>25</v>
      </c>
      <c r="F1028" s="5">
        <v>177027.0</v>
      </c>
      <c r="G1028" s="5">
        <v>6160.0</v>
      </c>
      <c r="H1028" s="5">
        <v>0.0348</v>
      </c>
      <c r="I1028" s="5">
        <v>1.23</v>
      </c>
      <c r="J1028" s="5">
        <v>7576.8</v>
      </c>
      <c r="K1028" s="5">
        <v>220.0</v>
      </c>
      <c r="L1028" s="5">
        <v>34.44</v>
      </c>
      <c r="M1028" s="5">
        <v>59390.91</v>
      </c>
      <c r="N1028" s="5">
        <v>7.84</v>
      </c>
      <c r="O1028" s="6">
        <f t="shared" si="1"/>
        <v>34.44</v>
      </c>
      <c r="P1028" s="6" t="str">
        <f t="shared" si="2"/>
        <v>Post-Shift</v>
      </c>
      <c r="Q1028" s="3">
        <f t="shared" si="3"/>
        <v>39</v>
      </c>
    </row>
    <row r="1029">
      <c r="A1029" s="4">
        <v>45576.0</v>
      </c>
      <c r="B1029" s="2" t="s">
        <v>38</v>
      </c>
      <c r="C1029" s="2" t="s">
        <v>19</v>
      </c>
      <c r="D1029" s="2" t="s">
        <v>45</v>
      </c>
      <c r="E1029" s="2" t="s">
        <v>30</v>
      </c>
      <c r="F1029" s="5">
        <v>21679.0</v>
      </c>
      <c r="G1029" s="5">
        <v>448.0</v>
      </c>
      <c r="H1029" s="5">
        <v>0.0207</v>
      </c>
      <c r="I1029" s="5">
        <v>0.89</v>
      </c>
      <c r="J1029" s="5">
        <v>398.72</v>
      </c>
      <c r="K1029" s="5">
        <v>31.0</v>
      </c>
      <c r="L1029" s="5">
        <v>12.86</v>
      </c>
      <c r="M1029" s="5">
        <v>3556.66</v>
      </c>
      <c r="N1029" s="5">
        <v>8.92</v>
      </c>
      <c r="O1029" s="6">
        <f t="shared" si="1"/>
        <v>12.86193548</v>
      </c>
      <c r="P1029" s="6" t="str">
        <f t="shared" si="2"/>
        <v>Post-Shift</v>
      </c>
      <c r="Q1029" s="3">
        <f t="shared" si="3"/>
        <v>46</v>
      </c>
    </row>
    <row r="1030">
      <c r="A1030" s="4">
        <v>45542.0</v>
      </c>
      <c r="B1030" s="2" t="s">
        <v>18</v>
      </c>
      <c r="C1030" s="2" t="s">
        <v>19</v>
      </c>
      <c r="D1030" s="2" t="s">
        <v>29</v>
      </c>
      <c r="E1030" s="2" t="s">
        <v>25</v>
      </c>
      <c r="F1030" s="5">
        <v>18601.0</v>
      </c>
      <c r="G1030" s="5">
        <v>706.0</v>
      </c>
      <c r="H1030" s="5">
        <v>0.038</v>
      </c>
      <c r="I1030" s="5">
        <v>2.0</v>
      </c>
      <c r="J1030" s="5">
        <v>1412.0</v>
      </c>
      <c r="K1030" s="5">
        <v>54.0</v>
      </c>
      <c r="L1030" s="5">
        <v>26.15</v>
      </c>
      <c r="M1030" s="5">
        <v>3302.39</v>
      </c>
      <c r="N1030" s="5">
        <v>2.34</v>
      </c>
      <c r="O1030" s="6">
        <f t="shared" si="1"/>
        <v>26.14814815</v>
      </c>
      <c r="P1030" s="6" t="str">
        <f t="shared" si="2"/>
        <v>Post-Shift</v>
      </c>
      <c r="Q1030" s="3">
        <f t="shared" si="3"/>
        <v>28</v>
      </c>
    </row>
    <row r="1031">
      <c r="A1031" s="4" t="s">
        <v>72</v>
      </c>
      <c r="B1031" s="2" t="s">
        <v>18</v>
      </c>
      <c r="C1031" s="2" t="s">
        <v>31</v>
      </c>
      <c r="D1031" s="2" t="s">
        <v>29</v>
      </c>
      <c r="E1031" s="2" t="s">
        <v>21</v>
      </c>
      <c r="F1031" s="5">
        <v>146583.0</v>
      </c>
      <c r="G1031" s="5">
        <v>2990.0</v>
      </c>
      <c r="H1031" s="5">
        <v>0.0204</v>
      </c>
      <c r="I1031" s="5">
        <v>1.61</v>
      </c>
      <c r="J1031" s="5">
        <v>4813.9</v>
      </c>
      <c r="K1031" s="5">
        <v>114.0</v>
      </c>
      <c r="L1031" s="5">
        <v>42.23</v>
      </c>
      <c r="M1031" s="5">
        <v>8660.28</v>
      </c>
      <c r="N1031" s="5">
        <v>1.8</v>
      </c>
      <c r="O1031" s="6">
        <f t="shared" si="1"/>
        <v>42.22719298</v>
      </c>
      <c r="P1031" s="6" t="str">
        <f t="shared" si="2"/>
        <v>Post-Shift</v>
      </c>
      <c r="Q1031" s="3">
        <f t="shared" si="3"/>
        <v>48</v>
      </c>
    </row>
    <row r="1032">
      <c r="A1032" s="4" t="s">
        <v>252</v>
      </c>
      <c r="B1032" s="2" t="s">
        <v>18</v>
      </c>
      <c r="C1032" s="2" t="s">
        <v>31</v>
      </c>
      <c r="D1032" s="2" t="s">
        <v>20</v>
      </c>
      <c r="E1032" s="2" t="s">
        <v>58</v>
      </c>
      <c r="F1032" s="5">
        <v>46745.0</v>
      </c>
      <c r="G1032" s="5">
        <v>2140.0</v>
      </c>
      <c r="H1032" s="5">
        <v>0.0458</v>
      </c>
      <c r="I1032" s="5">
        <v>3.44</v>
      </c>
      <c r="J1032" s="5">
        <v>7361.6</v>
      </c>
      <c r="K1032" s="5">
        <v>38.0</v>
      </c>
      <c r="L1032" s="5">
        <v>193.73</v>
      </c>
      <c r="M1032" s="5">
        <v>5289.97</v>
      </c>
      <c r="N1032" s="5">
        <v>0.72</v>
      </c>
      <c r="O1032" s="6">
        <f t="shared" si="1"/>
        <v>193.7263158</v>
      </c>
      <c r="P1032" s="6" t="str">
        <f t="shared" si="2"/>
        <v>Post-Shift</v>
      </c>
      <c r="Q1032" s="3">
        <f t="shared" si="3"/>
        <v>47</v>
      </c>
    </row>
    <row r="1033">
      <c r="A1033" s="4">
        <v>45547.0</v>
      </c>
      <c r="B1033" s="2" t="s">
        <v>18</v>
      </c>
      <c r="C1033" s="2" t="s">
        <v>41</v>
      </c>
      <c r="D1033" s="2" t="s">
        <v>45</v>
      </c>
      <c r="E1033" s="2" t="s">
        <v>36</v>
      </c>
      <c r="F1033" s="5">
        <v>39505.0</v>
      </c>
      <c r="G1033" s="5">
        <v>2251.0</v>
      </c>
      <c r="H1033" s="5">
        <v>0.057</v>
      </c>
      <c r="I1033" s="5">
        <v>3.06</v>
      </c>
      <c r="J1033" s="5">
        <v>6888.06</v>
      </c>
      <c r="K1033" s="5">
        <v>149.0</v>
      </c>
      <c r="L1033" s="5">
        <v>46.23</v>
      </c>
      <c r="M1033" s="5">
        <v>30920.99</v>
      </c>
      <c r="N1033" s="5">
        <v>4.49</v>
      </c>
      <c r="O1033" s="6">
        <f t="shared" si="1"/>
        <v>46.2285906</v>
      </c>
      <c r="P1033" s="6" t="str">
        <f t="shared" si="2"/>
        <v>Post-Shift</v>
      </c>
      <c r="Q1033" s="3">
        <f t="shared" si="3"/>
        <v>50</v>
      </c>
    </row>
    <row r="1034">
      <c r="A1034" s="4">
        <v>45599.0</v>
      </c>
      <c r="B1034" s="2" t="s">
        <v>18</v>
      </c>
      <c r="C1034" s="2" t="s">
        <v>31</v>
      </c>
      <c r="D1034" s="2" t="s">
        <v>29</v>
      </c>
      <c r="E1034" s="2" t="s">
        <v>33</v>
      </c>
      <c r="F1034" s="5">
        <v>179342.0</v>
      </c>
      <c r="G1034" s="5">
        <v>4071.0</v>
      </c>
      <c r="H1034" s="5">
        <v>0.0227</v>
      </c>
      <c r="I1034" s="5">
        <v>2.26</v>
      </c>
      <c r="J1034" s="5">
        <v>9200.46</v>
      </c>
      <c r="K1034" s="5">
        <v>195.0</v>
      </c>
      <c r="L1034" s="5">
        <v>47.18</v>
      </c>
      <c r="M1034" s="5">
        <v>30682.52</v>
      </c>
      <c r="N1034" s="5">
        <v>3.33</v>
      </c>
      <c r="O1034" s="6">
        <f t="shared" si="1"/>
        <v>47.18184615</v>
      </c>
      <c r="P1034" s="6" t="str">
        <f t="shared" si="2"/>
        <v>Post-Shift</v>
      </c>
      <c r="Q1034" s="3">
        <f t="shared" si="3"/>
        <v>11</v>
      </c>
    </row>
    <row r="1035">
      <c r="A1035" s="4" t="s">
        <v>140</v>
      </c>
      <c r="B1035" s="2" t="s">
        <v>18</v>
      </c>
      <c r="C1035" s="2" t="s">
        <v>27</v>
      </c>
      <c r="D1035" s="2" t="s">
        <v>20</v>
      </c>
      <c r="E1035" s="2" t="s">
        <v>21</v>
      </c>
      <c r="F1035" s="5">
        <v>75410.0</v>
      </c>
      <c r="G1035" s="5">
        <v>3039.0</v>
      </c>
      <c r="H1035" s="5">
        <v>0.0403</v>
      </c>
      <c r="I1035" s="5">
        <v>0.95</v>
      </c>
      <c r="J1035" s="5">
        <v>2887.05</v>
      </c>
      <c r="K1035" s="5">
        <v>239.0</v>
      </c>
      <c r="L1035" s="5">
        <v>12.08</v>
      </c>
      <c r="M1035" s="5">
        <v>29467.42</v>
      </c>
      <c r="N1035" s="5">
        <v>10.21</v>
      </c>
      <c r="O1035" s="6">
        <f t="shared" si="1"/>
        <v>12.07970711</v>
      </c>
      <c r="P1035" s="6" t="str">
        <f t="shared" si="2"/>
        <v>Post-Shift</v>
      </c>
      <c r="Q1035" s="3">
        <f t="shared" si="3"/>
        <v>44</v>
      </c>
    </row>
    <row r="1036">
      <c r="A1036" s="4" t="s">
        <v>169</v>
      </c>
      <c r="B1036" s="2" t="s">
        <v>18</v>
      </c>
      <c r="C1036" s="2" t="s">
        <v>19</v>
      </c>
      <c r="D1036" s="2" t="s">
        <v>29</v>
      </c>
      <c r="E1036" s="2" t="s">
        <v>21</v>
      </c>
      <c r="F1036" s="5">
        <v>83488.0</v>
      </c>
      <c r="G1036" s="5">
        <v>4049.0</v>
      </c>
      <c r="H1036" s="5">
        <v>0.0485</v>
      </c>
      <c r="I1036" s="5">
        <v>1.15</v>
      </c>
      <c r="J1036" s="5">
        <v>4656.35</v>
      </c>
      <c r="K1036" s="5">
        <v>45.0</v>
      </c>
      <c r="L1036" s="5">
        <v>103.47</v>
      </c>
      <c r="M1036" s="5">
        <v>2103.0</v>
      </c>
      <c r="N1036" s="5">
        <v>0.45</v>
      </c>
      <c r="O1036" s="6">
        <f t="shared" si="1"/>
        <v>103.4744444</v>
      </c>
      <c r="P1036" s="6" t="str">
        <f t="shared" si="2"/>
        <v>Post-Shift</v>
      </c>
      <c r="Q1036" s="3">
        <f t="shared" si="3"/>
        <v>26</v>
      </c>
    </row>
    <row r="1037">
      <c r="A1037" s="4" t="s">
        <v>60</v>
      </c>
      <c r="B1037" s="2" t="s">
        <v>23</v>
      </c>
      <c r="C1037" s="2" t="s">
        <v>41</v>
      </c>
      <c r="D1037" s="2" t="s">
        <v>32</v>
      </c>
      <c r="E1037" s="2" t="s">
        <v>30</v>
      </c>
      <c r="F1037" s="5">
        <v>149143.0</v>
      </c>
      <c r="G1037" s="5">
        <v>5175.0</v>
      </c>
      <c r="H1037" s="5">
        <v>0.0347</v>
      </c>
      <c r="I1037" s="5">
        <v>0.53</v>
      </c>
      <c r="J1037" s="5">
        <v>2742.75</v>
      </c>
      <c r="K1037" s="5">
        <v>140.0</v>
      </c>
      <c r="L1037" s="5">
        <v>19.59</v>
      </c>
      <c r="M1037" s="5">
        <v>11705.28</v>
      </c>
      <c r="N1037" s="5">
        <v>4.27</v>
      </c>
      <c r="O1037" s="6">
        <f t="shared" si="1"/>
        <v>19.59107143</v>
      </c>
      <c r="P1037" s="6" t="str">
        <f t="shared" si="2"/>
        <v>Post-Shift</v>
      </c>
      <c r="Q1037" s="3">
        <f t="shared" si="3"/>
        <v>52</v>
      </c>
    </row>
    <row r="1038">
      <c r="A1038" s="4" t="s">
        <v>204</v>
      </c>
      <c r="B1038" s="2" t="s">
        <v>38</v>
      </c>
      <c r="C1038" s="2" t="s">
        <v>31</v>
      </c>
      <c r="D1038" s="2" t="s">
        <v>20</v>
      </c>
      <c r="E1038" s="2" t="s">
        <v>58</v>
      </c>
      <c r="F1038" s="5">
        <v>52743.0</v>
      </c>
      <c r="G1038" s="5">
        <v>1207.0</v>
      </c>
      <c r="H1038" s="5">
        <v>0.0229</v>
      </c>
      <c r="I1038" s="5">
        <v>1.93</v>
      </c>
      <c r="J1038" s="5">
        <v>2329.51</v>
      </c>
      <c r="K1038" s="5">
        <v>90.0</v>
      </c>
      <c r="L1038" s="5">
        <v>25.88</v>
      </c>
      <c r="M1038" s="5">
        <v>11281.65</v>
      </c>
      <c r="N1038" s="5">
        <v>4.84</v>
      </c>
      <c r="O1038" s="6">
        <f t="shared" si="1"/>
        <v>25.88344444</v>
      </c>
      <c r="P1038" s="6" t="str">
        <f t="shared" si="2"/>
        <v>Post-Shift</v>
      </c>
      <c r="Q1038" s="3">
        <f t="shared" si="3"/>
        <v>47</v>
      </c>
    </row>
    <row r="1039">
      <c r="A1039" s="4" t="s">
        <v>126</v>
      </c>
      <c r="B1039" s="2" t="s">
        <v>38</v>
      </c>
      <c r="C1039" s="2" t="s">
        <v>31</v>
      </c>
      <c r="D1039" s="2" t="s">
        <v>29</v>
      </c>
      <c r="E1039" s="2" t="s">
        <v>25</v>
      </c>
      <c r="F1039" s="5">
        <v>92091.0</v>
      </c>
      <c r="G1039" s="5">
        <v>3342.0</v>
      </c>
      <c r="H1039" s="5">
        <v>0.0363</v>
      </c>
      <c r="I1039" s="5">
        <v>1.48</v>
      </c>
      <c r="J1039" s="5">
        <v>4946.16</v>
      </c>
      <c r="K1039" s="5">
        <v>145.0</v>
      </c>
      <c r="L1039" s="5">
        <v>34.11</v>
      </c>
      <c r="M1039" s="5">
        <v>37976.42</v>
      </c>
      <c r="N1039" s="5">
        <v>7.68</v>
      </c>
      <c r="O1039" s="6">
        <f t="shared" si="1"/>
        <v>34.11144828</v>
      </c>
      <c r="P1039" s="6" t="str">
        <f t="shared" si="2"/>
        <v>Post-Shift</v>
      </c>
      <c r="Q1039" s="3">
        <f t="shared" si="3"/>
        <v>16</v>
      </c>
    </row>
    <row r="1040">
      <c r="A1040" s="4" t="s">
        <v>184</v>
      </c>
      <c r="B1040" s="2" t="s">
        <v>23</v>
      </c>
      <c r="C1040" s="2" t="s">
        <v>27</v>
      </c>
      <c r="D1040" s="2" t="s">
        <v>29</v>
      </c>
      <c r="E1040" s="2" t="s">
        <v>30</v>
      </c>
      <c r="F1040" s="5">
        <v>118687.0</v>
      </c>
      <c r="G1040" s="5">
        <v>10586.0</v>
      </c>
      <c r="H1040" s="5">
        <v>0.0892</v>
      </c>
      <c r="I1040" s="5">
        <v>0.75</v>
      </c>
      <c r="J1040" s="5">
        <v>7939.5</v>
      </c>
      <c r="K1040" s="5">
        <v>635.0</v>
      </c>
      <c r="L1040" s="5">
        <v>12.5</v>
      </c>
      <c r="M1040" s="5">
        <v>88046.75</v>
      </c>
      <c r="N1040" s="5">
        <v>11.09</v>
      </c>
      <c r="O1040" s="6">
        <f t="shared" si="1"/>
        <v>12.50314961</v>
      </c>
      <c r="P1040" s="6" t="str">
        <f t="shared" si="2"/>
        <v>Post-Shift</v>
      </c>
      <c r="Q1040" s="3">
        <f t="shared" si="3"/>
        <v>16</v>
      </c>
    </row>
    <row r="1041">
      <c r="A1041" s="4" t="s">
        <v>141</v>
      </c>
      <c r="B1041" s="2" t="s">
        <v>18</v>
      </c>
      <c r="C1041" s="2" t="s">
        <v>27</v>
      </c>
      <c r="D1041" s="2" t="s">
        <v>24</v>
      </c>
      <c r="E1041" s="2" t="s">
        <v>21</v>
      </c>
      <c r="F1041" s="5">
        <v>195664.0</v>
      </c>
      <c r="G1041" s="5">
        <v>6378.0</v>
      </c>
      <c r="H1041" s="5">
        <v>0.0326</v>
      </c>
      <c r="I1041" s="5">
        <v>2.6</v>
      </c>
      <c r="J1041" s="5">
        <v>16582.8</v>
      </c>
      <c r="K1041" s="5">
        <v>312.0</v>
      </c>
      <c r="L1041" s="5">
        <v>53.15</v>
      </c>
      <c r="M1041" s="5">
        <v>33814.66</v>
      </c>
      <c r="N1041" s="5">
        <v>2.04</v>
      </c>
      <c r="O1041" s="6">
        <f t="shared" si="1"/>
        <v>53.15</v>
      </c>
      <c r="P1041" s="6" t="str">
        <f t="shared" si="2"/>
        <v>Post-Shift</v>
      </c>
      <c r="Q1041" s="3">
        <f t="shared" si="3"/>
        <v>43</v>
      </c>
    </row>
    <row r="1042">
      <c r="A1042" s="4" t="s">
        <v>217</v>
      </c>
      <c r="B1042" s="2" t="s">
        <v>23</v>
      </c>
      <c r="C1042" s="2" t="s">
        <v>19</v>
      </c>
      <c r="D1042" s="2" t="s">
        <v>24</v>
      </c>
      <c r="E1042" s="2" t="s">
        <v>56</v>
      </c>
      <c r="F1042" s="5">
        <v>89946.0</v>
      </c>
      <c r="G1042" s="5">
        <v>5162.0</v>
      </c>
      <c r="H1042" s="5">
        <v>0.0574</v>
      </c>
      <c r="I1042" s="5">
        <v>0.63</v>
      </c>
      <c r="J1042" s="5">
        <v>3252.06</v>
      </c>
      <c r="K1042" s="5">
        <v>349.0</v>
      </c>
      <c r="L1042" s="5">
        <v>9.32</v>
      </c>
      <c r="M1042" s="5">
        <v>87393.19</v>
      </c>
      <c r="N1042" s="5">
        <v>26.87</v>
      </c>
      <c r="O1042" s="6">
        <f t="shared" si="1"/>
        <v>9.318223496</v>
      </c>
      <c r="P1042" s="6" t="str">
        <f t="shared" si="2"/>
        <v>Post-Shift</v>
      </c>
      <c r="Q1042" s="3">
        <f t="shared" si="3"/>
        <v>39</v>
      </c>
    </row>
    <row r="1043">
      <c r="A1043" s="4">
        <v>45424.0</v>
      </c>
      <c r="B1043" s="2" t="s">
        <v>23</v>
      </c>
      <c r="C1043" s="2" t="s">
        <v>19</v>
      </c>
      <c r="D1043" s="2" t="s">
        <v>24</v>
      </c>
      <c r="E1043" s="2" t="s">
        <v>56</v>
      </c>
      <c r="F1043" s="5">
        <v>170529.0</v>
      </c>
      <c r="G1043" s="5">
        <v>11766.0</v>
      </c>
      <c r="H1043" s="5">
        <v>0.069</v>
      </c>
      <c r="I1043" s="5">
        <v>1.48</v>
      </c>
      <c r="J1043" s="5">
        <v>17413.68</v>
      </c>
      <c r="K1043" s="5">
        <v>695.0</v>
      </c>
      <c r="L1043" s="5">
        <v>25.06</v>
      </c>
      <c r="M1043" s="5">
        <v>102403.1</v>
      </c>
      <c r="N1043" s="5">
        <v>5.88</v>
      </c>
      <c r="O1043" s="6">
        <f t="shared" si="1"/>
        <v>25.05565468</v>
      </c>
      <c r="P1043" s="6" t="str">
        <f t="shared" si="2"/>
        <v>Baseline</v>
      </c>
      <c r="Q1043" s="3">
        <f t="shared" si="3"/>
        <v>49</v>
      </c>
    </row>
    <row r="1044">
      <c r="A1044" s="4">
        <v>45352.0</v>
      </c>
      <c r="B1044" s="2" t="s">
        <v>38</v>
      </c>
      <c r="C1044" s="2" t="s">
        <v>41</v>
      </c>
      <c r="D1044" s="2" t="s">
        <v>20</v>
      </c>
      <c r="E1044" s="2" t="s">
        <v>36</v>
      </c>
      <c r="F1044" s="5">
        <v>129750.0</v>
      </c>
      <c r="G1044" s="5">
        <v>2452.0</v>
      </c>
      <c r="H1044" s="5">
        <v>0.0189</v>
      </c>
      <c r="I1044" s="5">
        <v>1.09</v>
      </c>
      <c r="J1044" s="5">
        <v>2672.68</v>
      </c>
      <c r="K1044" s="5">
        <v>93.0</v>
      </c>
      <c r="L1044" s="5">
        <v>28.74</v>
      </c>
      <c r="M1044" s="5">
        <v>23770.39</v>
      </c>
      <c r="N1044" s="5">
        <v>8.89</v>
      </c>
      <c r="O1044" s="6">
        <f t="shared" si="1"/>
        <v>28.73849462</v>
      </c>
      <c r="P1044" s="6" t="str">
        <f t="shared" si="2"/>
        <v>Baseline</v>
      </c>
      <c r="Q1044" s="3">
        <f t="shared" si="3"/>
        <v>1</v>
      </c>
    </row>
    <row r="1045">
      <c r="A1045" s="4" t="s">
        <v>22</v>
      </c>
      <c r="B1045" s="2" t="s">
        <v>38</v>
      </c>
      <c r="C1045" s="2" t="s">
        <v>41</v>
      </c>
      <c r="D1045" s="2" t="s">
        <v>29</v>
      </c>
      <c r="E1045" s="2" t="s">
        <v>30</v>
      </c>
      <c r="F1045" s="5">
        <v>197882.0</v>
      </c>
      <c r="G1045" s="5">
        <v>5144.0</v>
      </c>
      <c r="H1045" s="5">
        <v>0.026</v>
      </c>
      <c r="I1045" s="5">
        <v>0.81</v>
      </c>
      <c r="J1045" s="5">
        <v>4166.64</v>
      </c>
      <c r="K1045" s="5">
        <v>299.0</v>
      </c>
      <c r="L1045" s="5">
        <v>13.94</v>
      </c>
      <c r="M1045" s="5">
        <v>68061.76</v>
      </c>
      <c r="N1045" s="5">
        <v>16.33</v>
      </c>
      <c r="O1045" s="6">
        <f t="shared" si="1"/>
        <v>13.93525084</v>
      </c>
      <c r="P1045" s="6" t="str">
        <f t="shared" si="2"/>
        <v>Post-Shift</v>
      </c>
      <c r="Q1045" s="3">
        <f t="shared" si="3"/>
        <v>4</v>
      </c>
    </row>
    <row r="1046">
      <c r="A1046" s="4">
        <v>45449.0</v>
      </c>
      <c r="B1046" s="2" t="s">
        <v>18</v>
      </c>
      <c r="C1046" s="2" t="s">
        <v>41</v>
      </c>
      <c r="D1046" s="2" t="s">
        <v>45</v>
      </c>
      <c r="E1046" s="2" t="s">
        <v>58</v>
      </c>
      <c r="F1046" s="5">
        <v>58266.0</v>
      </c>
      <c r="G1046" s="5">
        <v>2651.0</v>
      </c>
      <c r="H1046" s="5">
        <v>0.0455</v>
      </c>
      <c r="I1046" s="5">
        <v>1.22</v>
      </c>
      <c r="J1046" s="5">
        <v>3234.22</v>
      </c>
      <c r="K1046" s="5">
        <v>103.0</v>
      </c>
      <c r="L1046" s="5">
        <v>31.4</v>
      </c>
      <c r="M1046" s="5">
        <v>3487.43</v>
      </c>
      <c r="N1046" s="5">
        <v>1.08</v>
      </c>
      <c r="O1046" s="6">
        <f t="shared" si="1"/>
        <v>31.40019417</v>
      </c>
      <c r="P1046" s="6" t="str">
        <f t="shared" si="2"/>
        <v>Baseline</v>
      </c>
      <c r="Q1046" s="3">
        <f t="shared" si="3"/>
        <v>23</v>
      </c>
    </row>
    <row r="1047">
      <c r="A1047" s="4">
        <v>45300.0</v>
      </c>
      <c r="B1047" s="2" t="s">
        <v>38</v>
      </c>
      <c r="C1047" s="2" t="s">
        <v>19</v>
      </c>
      <c r="D1047" s="2" t="s">
        <v>45</v>
      </c>
      <c r="E1047" s="2" t="s">
        <v>30</v>
      </c>
      <c r="F1047" s="5">
        <v>98699.0</v>
      </c>
      <c r="G1047" s="5">
        <v>2171.0</v>
      </c>
      <c r="H1047" s="5">
        <v>0.022</v>
      </c>
      <c r="I1047" s="5">
        <v>2.22</v>
      </c>
      <c r="J1047" s="5">
        <v>4819.62</v>
      </c>
      <c r="K1047" s="5">
        <v>92.0</v>
      </c>
      <c r="L1047" s="5">
        <v>52.39</v>
      </c>
      <c r="M1047" s="5">
        <v>5066.63</v>
      </c>
      <c r="N1047" s="5">
        <v>1.05</v>
      </c>
      <c r="O1047" s="6">
        <f t="shared" si="1"/>
        <v>52.38717391</v>
      </c>
      <c r="P1047" s="6" t="str">
        <f t="shared" si="2"/>
        <v>Baseline</v>
      </c>
      <c r="Q1047" s="3">
        <f t="shared" si="3"/>
        <v>36</v>
      </c>
    </row>
    <row r="1048">
      <c r="A1048" s="4" t="s">
        <v>185</v>
      </c>
      <c r="B1048" s="2" t="s">
        <v>23</v>
      </c>
      <c r="C1048" s="2" t="s">
        <v>27</v>
      </c>
      <c r="D1048" s="2" t="s">
        <v>24</v>
      </c>
      <c r="E1048" s="2" t="s">
        <v>25</v>
      </c>
      <c r="F1048" s="5">
        <v>172820.0</v>
      </c>
      <c r="G1048" s="5">
        <v>5512.0</v>
      </c>
      <c r="H1048" s="5">
        <v>0.0319</v>
      </c>
      <c r="I1048" s="5">
        <v>1.5</v>
      </c>
      <c r="J1048" s="5">
        <v>8268.0</v>
      </c>
      <c r="K1048" s="5">
        <v>229.0</v>
      </c>
      <c r="L1048" s="5">
        <v>36.1</v>
      </c>
      <c r="M1048" s="5">
        <v>38190.22</v>
      </c>
      <c r="N1048" s="5">
        <v>4.62</v>
      </c>
      <c r="O1048" s="6">
        <f t="shared" si="1"/>
        <v>36.10480349</v>
      </c>
      <c r="P1048" s="6" t="str">
        <f t="shared" si="2"/>
        <v>Post-Shift</v>
      </c>
      <c r="Q1048" s="3">
        <f t="shared" si="3"/>
        <v>3</v>
      </c>
    </row>
    <row r="1049">
      <c r="A1049" s="4" t="s">
        <v>167</v>
      </c>
      <c r="B1049" s="2" t="s">
        <v>18</v>
      </c>
      <c r="C1049" s="2" t="s">
        <v>31</v>
      </c>
      <c r="D1049" s="2" t="s">
        <v>24</v>
      </c>
      <c r="E1049" s="2" t="s">
        <v>25</v>
      </c>
      <c r="F1049" s="5">
        <v>61902.0</v>
      </c>
      <c r="G1049" s="5">
        <v>2599.0</v>
      </c>
      <c r="H1049" s="5">
        <v>0.042</v>
      </c>
      <c r="I1049" s="5">
        <v>2.92</v>
      </c>
      <c r="J1049" s="5">
        <v>7589.08</v>
      </c>
      <c r="K1049" s="5">
        <v>160.0</v>
      </c>
      <c r="L1049" s="5">
        <v>47.43</v>
      </c>
      <c r="M1049" s="5">
        <v>43994.91</v>
      </c>
      <c r="N1049" s="5">
        <v>5.8</v>
      </c>
      <c r="O1049" s="6">
        <f t="shared" si="1"/>
        <v>47.43175</v>
      </c>
      <c r="P1049" s="6" t="str">
        <f t="shared" si="2"/>
        <v>Post-Shift</v>
      </c>
      <c r="Q1049" s="3">
        <f t="shared" si="3"/>
        <v>48</v>
      </c>
    </row>
    <row r="1050">
      <c r="A1050" s="4" t="s">
        <v>254</v>
      </c>
      <c r="B1050" s="2" t="s">
        <v>23</v>
      </c>
      <c r="C1050" s="2" t="s">
        <v>31</v>
      </c>
      <c r="D1050" s="2" t="s">
        <v>24</v>
      </c>
      <c r="E1050" s="2" t="s">
        <v>21</v>
      </c>
      <c r="F1050" s="5">
        <v>148573.0</v>
      </c>
      <c r="G1050" s="5">
        <v>8706.0</v>
      </c>
      <c r="H1050" s="5">
        <v>0.0586</v>
      </c>
      <c r="I1050" s="5">
        <v>1.77</v>
      </c>
      <c r="J1050" s="5">
        <v>15409.62</v>
      </c>
      <c r="K1050" s="5">
        <v>643.0</v>
      </c>
      <c r="L1050" s="5">
        <v>23.97</v>
      </c>
      <c r="M1050" s="5">
        <v>163989.1</v>
      </c>
      <c r="N1050" s="5">
        <v>10.64</v>
      </c>
      <c r="O1050" s="6">
        <f t="shared" si="1"/>
        <v>23.9651944</v>
      </c>
      <c r="P1050" s="6" t="str">
        <f t="shared" si="2"/>
        <v>Post-Shift</v>
      </c>
      <c r="Q1050" s="3">
        <f t="shared" si="3"/>
        <v>29</v>
      </c>
    </row>
    <row r="1051">
      <c r="A1051" s="4">
        <v>45454.0</v>
      </c>
      <c r="B1051" s="2" t="s">
        <v>38</v>
      </c>
      <c r="C1051" s="2" t="s">
        <v>31</v>
      </c>
      <c r="D1051" s="2" t="s">
        <v>24</v>
      </c>
      <c r="E1051" s="2" t="s">
        <v>33</v>
      </c>
      <c r="F1051" s="5">
        <v>149654.0</v>
      </c>
      <c r="G1051" s="5">
        <v>6689.0</v>
      </c>
      <c r="H1051" s="5">
        <v>0.0447</v>
      </c>
      <c r="I1051" s="5">
        <v>1.29</v>
      </c>
      <c r="J1051" s="5">
        <v>8628.81</v>
      </c>
      <c r="K1051" s="5">
        <v>262.0</v>
      </c>
      <c r="L1051" s="5">
        <v>32.93</v>
      </c>
      <c r="M1051" s="5">
        <v>10578.46</v>
      </c>
      <c r="N1051" s="5">
        <v>1.23</v>
      </c>
      <c r="O1051" s="6">
        <f t="shared" si="1"/>
        <v>32.93438931</v>
      </c>
      <c r="P1051" s="6" t="str">
        <f t="shared" si="2"/>
        <v>Baseline</v>
      </c>
      <c r="Q1051" s="3">
        <f t="shared" si="3"/>
        <v>45</v>
      </c>
    </row>
    <row r="1052">
      <c r="A1052" s="4" t="s">
        <v>234</v>
      </c>
      <c r="B1052" s="2" t="s">
        <v>38</v>
      </c>
      <c r="C1052" s="2" t="s">
        <v>19</v>
      </c>
      <c r="D1052" s="2" t="s">
        <v>29</v>
      </c>
      <c r="E1052" s="2" t="s">
        <v>56</v>
      </c>
      <c r="F1052" s="5">
        <v>191478.0</v>
      </c>
      <c r="G1052" s="5">
        <v>6414.0</v>
      </c>
      <c r="H1052" s="5">
        <v>0.0335</v>
      </c>
      <c r="I1052" s="5">
        <v>1.57</v>
      </c>
      <c r="J1052" s="5">
        <v>10069.98</v>
      </c>
      <c r="K1052" s="5">
        <v>236.0</v>
      </c>
      <c r="L1052" s="5">
        <v>42.67</v>
      </c>
      <c r="M1052" s="5">
        <v>56534.15</v>
      </c>
      <c r="N1052" s="5">
        <v>5.61</v>
      </c>
      <c r="O1052" s="6">
        <f t="shared" si="1"/>
        <v>42.66940678</v>
      </c>
      <c r="P1052" s="6" t="str">
        <f t="shared" si="2"/>
        <v>Post-Shift</v>
      </c>
      <c r="Q1052" s="3">
        <f t="shared" si="3"/>
        <v>4</v>
      </c>
    </row>
    <row r="1053">
      <c r="A1053" s="4">
        <v>45296.0</v>
      </c>
      <c r="B1053" s="2" t="s">
        <v>38</v>
      </c>
      <c r="C1053" s="2" t="s">
        <v>19</v>
      </c>
      <c r="D1053" s="2" t="s">
        <v>45</v>
      </c>
      <c r="E1053" s="2" t="s">
        <v>36</v>
      </c>
      <c r="F1053" s="5">
        <v>7196.0</v>
      </c>
      <c r="G1053" s="5">
        <v>287.0</v>
      </c>
      <c r="H1053" s="5">
        <v>0.04</v>
      </c>
      <c r="I1053" s="5">
        <v>2.21</v>
      </c>
      <c r="J1053" s="5">
        <v>634.27</v>
      </c>
      <c r="K1053" s="5">
        <v>10.0</v>
      </c>
      <c r="L1053" s="5">
        <v>63.43</v>
      </c>
      <c r="M1053" s="5">
        <v>693.26</v>
      </c>
      <c r="N1053" s="5">
        <v>1.09</v>
      </c>
      <c r="O1053" s="6">
        <f t="shared" si="1"/>
        <v>63.427</v>
      </c>
      <c r="P1053" s="6" t="str">
        <f t="shared" si="2"/>
        <v>Baseline</v>
      </c>
      <c r="Q1053" s="3">
        <f t="shared" si="3"/>
        <v>18</v>
      </c>
    </row>
    <row r="1054">
      <c r="A1054" s="4" t="s">
        <v>212</v>
      </c>
      <c r="B1054" s="2" t="s">
        <v>18</v>
      </c>
      <c r="C1054" s="2" t="s">
        <v>41</v>
      </c>
      <c r="D1054" s="2" t="s">
        <v>29</v>
      </c>
      <c r="E1054" s="2" t="s">
        <v>56</v>
      </c>
      <c r="F1054" s="5">
        <v>30757.0</v>
      </c>
      <c r="G1054" s="5">
        <v>1202.0</v>
      </c>
      <c r="H1054" s="5">
        <v>0.0391</v>
      </c>
      <c r="I1054" s="5">
        <v>3.26</v>
      </c>
      <c r="J1054" s="5">
        <v>3918.52</v>
      </c>
      <c r="K1054" s="5">
        <v>60.0</v>
      </c>
      <c r="L1054" s="5">
        <v>65.31</v>
      </c>
      <c r="M1054" s="5">
        <v>5647.0</v>
      </c>
      <c r="N1054" s="5">
        <v>1.44</v>
      </c>
      <c r="O1054" s="6">
        <f t="shared" si="1"/>
        <v>65.30866667</v>
      </c>
      <c r="P1054" s="6" t="str">
        <f t="shared" si="2"/>
        <v>Post-Shift</v>
      </c>
      <c r="Q1054" s="3">
        <f t="shared" si="3"/>
        <v>46</v>
      </c>
    </row>
    <row r="1055">
      <c r="A1055" s="4">
        <v>45600.0</v>
      </c>
      <c r="B1055" s="2" t="s">
        <v>18</v>
      </c>
      <c r="C1055" s="2" t="s">
        <v>41</v>
      </c>
      <c r="D1055" s="2" t="s">
        <v>29</v>
      </c>
      <c r="E1055" s="2" t="s">
        <v>36</v>
      </c>
      <c r="F1055" s="5">
        <v>17578.0</v>
      </c>
      <c r="G1055" s="5">
        <v>330.0</v>
      </c>
      <c r="H1055" s="5">
        <v>0.0188</v>
      </c>
      <c r="I1055" s="5">
        <v>3.07</v>
      </c>
      <c r="J1055" s="5">
        <v>1013.1</v>
      </c>
      <c r="K1055" s="5">
        <v>20.0</v>
      </c>
      <c r="L1055" s="5">
        <v>50.66</v>
      </c>
      <c r="M1055" s="5">
        <v>3553.78</v>
      </c>
      <c r="N1055" s="5">
        <v>3.51</v>
      </c>
      <c r="O1055" s="6">
        <f t="shared" si="1"/>
        <v>50.655</v>
      </c>
      <c r="P1055" s="6" t="str">
        <f t="shared" si="2"/>
        <v>Post-Shift</v>
      </c>
      <c r="Q1055" s="3">
        <f t="shared" si="3"/>
        <v>15</v>
      </c>
    </row>
    <row r="1056">
      <c r="A1056" s="4">
        <v>45324.0</v>
      </c>
      <c r="B1056" s="2" t="s">
        <v>18</v>
      </c>
      <c r="C1056" s="2" t="s">
        <v>41</v>
      </c>
      <c r="D1056" s="2" t="s">
        <v>45</v>
      </c>
      <c r="E1056" s="2" t="s">
        <v>30</v>
      </c>
      <c r="F1056" s="5">
        <v>65530.0</v>
      </c>
      <c r="G1056" s="5">
        <v>2018.0</v>
      </c>
      <c r="H1056" s="5">
        <v>0.0308</v>
      </c>
      <c r="I1056" s="5">
        <v>2.81</v>
      </c>
      <c r="J1056" s="5">
        <v>5670.58</v>
      </c>
      <c r="K1056" s="5">
        <v>117.0</v>
      </c>
      <c r="L1056" s="5">
        <v>48.47</v>
      </c>
      <c r="M1056" s="5">
        <v>12114.63</v>
      </c>
      <c r="N1056" s="5">
        <v>2.14</v>
      </c>
      <c r="O1056" s="6">
        <f t="shared" si="1"/>
        <v>48.46649573</v>
      </c>
      <c r="P1056" s="6" t="str">
        <f t="shared" si="2"/>
        <v>Baseline</v>
      </c>
      <c r="Q1056" s="3">
        <f t="shared" si="3"/>
        <v>5</v>
      </c>
    </row>
    <row r="1057">
      <c r="A1057" s="4" t="s">
        <v>96</v>
      </c>
      <c r="B1057" s="2" t="s">
        <v>23</v>
      </c>
      <c r="C1057" s="2" t="s">
        <v>19</v>
      </c>
      <c r="D1057" s="2" t="s">
        <v>32</v>
      </c>
      <c r="E1057" s="2" t="s">
        <v>25</v>
      </c>
      <c r="F1057" s="5">
        <v>89403.0</v>
      </c>
      <c r="G1057" s="5">
        <v>5578.0</v>
      </c>
      <c r="H1057" s="5">
        <v>0.0624</v>
      </c>
      <c r="I1057" s="5">
        <v>1.48</v>
      </c>
      <c r="J1057" s="5">
        <v>8255.44</v>
      </c>
      <c r="K1057" s="5">
        <v>414.0</v>
      </c>
      <c r="L1057" s="5">
        <v>19.94</v>
      </c>
      <c r="M1057" s="5">
        <v>80503.15</v>
      </c>
      <c r="N1057" s="5">
        <v>9.75</v>
      </c>
      <c r="O1057" s="6">
        <f t="shared" si="1"/>
        <v>19.94067633</v>
      </c>
      <c r="P1057" s="6" t="str">
        <f t="shared" si="2"/>
        <v>Post-Shift</v>
      </c>
      <c r="Q1057" s="3">
        <f t="shared" si="3"/>
        <v>38</v>
      </c>
    </row>
    <row r="1058">
      <c r="A1058" s="4">
        <v>45541.0</v>
      </c>
      <c r="B1058" s="2" t="s">
        <v>23</v>
      </c>
      <c r="C1058" s="2" t="s">
        <v>31</v>
      </c>
      <c r="D1058" s="2" t="s">
        <v>45</v>
      </c>
      <c r="E1058" s="2" t="s">
        <v>58</v>
      </c>
      <c r="F1058" s="5">
        <v>161904.0</v>
      </c>
      <c r="G1058" s="5">
        <v>4339.0</v>
      </c>
      <c r="H1058" s="5">
        <v>0.0268</v>
      </c>
      <c r="I1058" s="5">
        <v>1.05</v>
      </c>
      <c r="J1058" s="5">
        <v>4555.95</v>
      </c>
      <c r="K1058" s="5">
        <v>178.0</v>
      </c>
      <c r="L1058" s="5">
        <v>25.6</v>
      </c>
      <c r="M1058" s="5">
        <v>22405.85</v>
      </c>
      <c r="N1058" s="5">
        <v>4.92</v>
      </c>
      <c r="O1058" s="6">
        <f t="shared" si="1"/>
        <v>25.59522472</v>
      </c>
      <c r="P1058" s="6" t="str">
        <f t="shared" si="2"/>
        <v>Post-Shift</v>
      </c>
      <c r="Q1058" s="3">
        <f t="shared" si="3"/>
        <v>24</v>
      </c>
    </row>
    <row r="1059">
      <c r="A1059" s="4">
        <v>45513.0</v>
      </c>
      <c r="B1059" s="2" t="s">
        <v>38</v>
      </c>
      <c r="C1059" s="2" t="s">
        <v>27</v>
      </c>
      <c r="D1059" s="2" t="s">
        <v>24</v>
      </c>
      <c r="E1059" s="2" t="s">
        <v>36</v>
      </c>
      <c r="F1059" s="5">
        <v>27036.0</v>
      </c>
      <c r="G1059" s="5">
        <v>708.0</v>
      </c>
      <c r="H1059" s="5">
        <v>0.0262</v>
      </c>
      <c r="I1059" s="5">
        <v>1.67</v>
      </c>
      <c r="J1059" s="5">
        <v>1182.36</v>
      </c>
      <c r="K1059" s="5">
        <v>12.0</v>
      </c>
      <c r="L1059" s="5">
        <v>98.53</v>
      </c>
      <c r="M1059" s="5">
        <v>1538.26</v>
      </c>
      <c r="N1059" s="5">
        <v>1.3</v>
      </c>
      <c r="O1059" s="6">
        <f t="shared" si="1"/>
        <v>98.53</v>
      </c>
      <c r="P1059" s="6" t="str">
        <f t="shared" si="2"/>
        <v>Post-Shift</v>
      </c>
      <c r="Q1059" s="3">
        <f t="shared" si="3"/>
        <v>37</v>
      </c>
    </row>
    <row r="1060">
      <c r="A1060" s="4">
        <v>45510.0</v>
      </c>
      <c r="B1060" s="2" t="s">
        <v>38</v>
      </c>
      <c r="C1060" s="2" t="s">
        <v>31</v>
      </c>
      <c r="D1060" s="2" t="s">
        <v>32</v>
      </c>
      <c r="E1060" s="2" t="s">
        <v>25</v>
      </c>
      <c r="F1060" s="5">
        <v>12712.0</v>
      </c>
      <c r="G1060" s="5">
        <v>212.0</v>
      </c>
      <c r="H1060" s="5">
        <v>0.0167</v>
      </c>
      <c r="I1060" s="5">
        <v>1.7</v>
      </c>
      <c r="J1060" s="5">
        <v>360.4</v>
      </c>
      <c r="K1060" s="5">
        <v>9.0</v>
      </c>
      <c r="L1060" s="5">
        <v>40.04</v>
      </c>
      <c r="M1060" s="5">
        <v>375.03</v>
      </c>
      <c r="N1060" s="5">
        <v>1.04</v>
      </c>
      <c r="O1060" s="6">
        <f t="shared" si="1"/>
        <v>40.04444444</v>
      </c>
      <c r="P1060" s="6" t="str">
        <f t="shared" si="2"/>
        <v>Post-Shift</v>
      </c>
      <c r="Q1060" s="3">
        <f t="shared" si="3"/>
        <v>23</v>
      </c>
    </row>
    <row r="1061">
      <c r="A1061" s="4">
        <v>45567.0</v>
      </c>
      <c r="B1061" s="2" t="s">
        <v>18</v>
      </c>
      <c r="C1061" s="2" t="s">
        <v>31</v>
      </c>
      <c r="D1061" s="2" t="s">
        <v>45</v>
      </c>
      <c r="E1061" s="2" t="s">
        <v>21</v>
      </c>
      <c r="F1061" s="5">
        <v>24198.0</v>
      </c>
      <c r="G1061" s="5">
        <v>1214.0</v>
      </c>
      <c r="H1061" s="5">
        <v>0.0502</v>
      </c>
      <c r="I1061" s="5">
        <v>1.35</v>
      </c>
      <c r="J1061" s="5">
        <v>1638.9</v>
      </c>
      <c r="K1061" s="5">
        <v>60.0</v>
      </c>
      <c r="L1061" s="5">
        <v>27.32</v>
      </c>
      <c r="M1061" s="5">
        <v>11611.94</v>
      </c>
      <c r="N1061" s="5">
        <v>7.09</v>
      </c>
      <c r="O1061" s="6">
        <f t="shared" si="1"/>
        <v>27.315</v>
      </c>
      <c r="P1061" s="6" t="str">
        <f t="shared" si="2"/>
        <v>Post-Shift</v>
      </c>
      <c r="Q1061" s="3">
        <f t="shared" si="3"/>
        <v>6</v>
      </c>
    </row>
    <row r="1062">
      <c r="A1062" s="4" t="s">
        <v>231</v>
      </c>
      <c r="B1062" s="2" t="s">
        <v>18</v>
      </c>
      <c r="C1062" s="2" t="s">
        <v>41</v>
      </c>
      <c r="D1062" s="2" t="s">
        <v>32</v>
      </c>
      <c r="E1062" s="2" t="s">
        <v>56</v>
      </c>
      <c r="F1062" s="5">
        <v>80324.0</v>
      </c>
      <c r="G1062" s="5">
        <v>2337.0</v>
      </c>
      <c r="H1062" s="5">
        <v>0.0291</v>
      </c>
      <c r="I1062" s="5">
        <v>2.99</v>
      </c>
      <c r="J1062" s="5">
        <v>6987.63</v>
      </c>
      <c r="K1062" s="5">
        <v>50.0</v>
      </c>
      <c r="L1062" s="5">
        <v>139.75</v>
      </c>
      <c r="M1062" s="5">
        <v>12463.37</v>
      </c>
      <c r="N1062" s="5">
        <v>1.78</v>
      </c>
      <c r="O1062" s="6">
        <f t="shared" si="1"/>
        <v>139.7526</v>
      </c>
      <c r="P1062" s="6" t="str">
        <f t="shared" si="2"/>
        <v>Post-Shift</v>
      </c>
      <c r="Q1062" s="3">
        <f t="shared" si="3"/>
        <v>31</v>
      </c>
    </row>
    <row r="1063">
      <c r="A1063" s="4" t="s">
        <v>44</v>
      </c>
      <c r="B1063" s="2" t="s">
        <v>18</v>
      </c>
      <c r="C1063" s="2" t="s">
        <v>19</v>
      </c>
      <c r="D1063" s="2" t="s">
        <v>32</v>
      </c>
      <c r="E1063" s="2" t="s">
        <v>33</v>
      </c>
      <c r="F1063" s="5">
        <v>160525.0</v>
      </c>
      <c r="G1063" s="5">
        <v>6003.0</v>
      </c>
      <c r="H1063" s="5">
        <v>0.0374</v>
      </c>
      <c r="I1063" s="5">
        <v>1.67</v>
      </c>
      <c r="J1063" s="5">
        <v>10025.01</v>
      </c>
      <c r="K1063" s="5">
        <v>106.0</v>
      </c>
      <c r="L1063" s="5">
        <v>94.58</v>
      </c>
      <c r="M1063" s="5">
        <v>12306.27</v>
      </c>
      <c r="N1063" s="5">
        <v>1.23</v>
      </c>
      <c r="O1063" s="6">
        <f t="shared" si="1"/>
        <v>94.57556604</v>
      </c>
      <c r="P1063" s="6" t="str">
        <f t="shared" si="2"/>
        <v>Post-Shift</v>
      </c>
      <c r="Q1063" s="3">
        <f t="shared" si="3"/>
        <v>17</v>
      </c>
    </row>
    <row r="1064">
      <c r="A1064" s="4" t="s">
        <v>64</v>
      </c>
      <c r="B1064" s="2" t="s">
        <v>18</v>
      </c>
      <c r="C1064" s="2" t="s">
        <v>41</v>
      </c>
      <c r="D1064" s="2" t="s">
        <v>20</v>
      </c>
      <c r="E1064" s="2" t="s">
        <v>33</v>
      </c>
      <c r="F1064" s="5">
        <v>104821.0</v>
      </c>
      <c r="G1064" s="5">
        <v>4224.0</v>
      </c>
      <c r="H1064" s="5">
        <v>0.0403</v>
      </c>
      <c r="I1064" s="5">
        <v>1.36</v>
      </c>
      <c r="J1064" s="5">
        <v>5744.64</v>
      </c>
      <c r="K1064" s="5">
        <v>307.0</v>
      </c>
      <c r="L1064" s="5">
        <v>18.71</v>
      </c>
      <c r="M1064" s="5">
        <v>89314.07</v>
      </c>
      <c r="N1064" s="5">
        <v>15.55</v>
      </c>
      <c r="O1064" s="6">
        <f t="shared" si="1"/>
        <v>18.71218241</v>
      </c>
      <c r="P1064" s="6" t="str">
        <f t="shared" si="2"/>
        <v>Post-Shift</v>
      </c>
      <c r="Q1064" s="3">
        <f t="shared" si="3"/>
        <v>9</v>
      </c>
    </row>
    <row r="1065">
      <c r="A1065" s="4">
        <v>45361.0</v>
      </c>
      <c r="B1065" s="2" t="s">
        <v>18</v>
      </c>
      <c r="C1065" s="2" t="s">
        <v>27</v>
      </c>
      <c r="D1065" s="2" t="s">
        <v>29</v>
      </c>
      <c r="E1065" s="2" t="s">
        <v>56</v>
      </c>
      <c r="F1065" s="5">
        <v>48118.0</v>
      </c>
      <c r="G1065" s="5">
        <v>1616.0</v>
      </c>
      <c r="H1065" s="5">
        <v>0.0336</v>
      </c>
      <c r="I1065" s="5">
        <v>3.66</v>
      </c>
      <c r="J1065" s="5">
        <v>5914.56</v>
      </c>
      <c r="K1065" s="5">
        <v>129.0</v>
      </c>
      <c r="L1065" s="5">
        <v>45.85</v>
      </c>
      <c r="M1065" s="5">
        <v>28604.24</v>
      </c>
      <c r="N1065" s="5">
        <v>4.84</v>
      </c>
      <c r="O1065" s="6">
        <f t="shared" si="1"/>
        <v>45.84930233</v>
      </c>
      <c r="P1065" s="6" t="str">
        <f t="shared" si="2"/>
        <v>Baseline</v>
      </c>
      <c r="Q1065" s="3">
        <f t="shared" si="3"/>
        <v>40</v>
      </c>
    </row>
    <row r="1066">
      <c r="A1066" s="4">
        <v>45445.0</v>
      </c>
      <c r="B1066" s="2" t="s">
        <v>23</v>
      </c>
      <c r="C1066" s="2" t="s">
        <v>41</v>
      </c>
      <c r="D1066" s="2" t="s">
        <v>32</v>
      </c>
      <c r="E1066" s="2" t="s">
        <v>58</v>
      </c>
      <c r="F1066" s="5">
        <v>53709.0</v>
      </c>
      <c r="G1066" s="5">
        <v>2868.0</v>
      </c>
      <c r="H1066" s="5">
        <v>0.0534</v>
      </c>
      <c r="I1066" s="5">
        <v>0.89</v>
      </c>
      <c r="J1066" s="5">
        <v>2552.52</v>
      </c>
      <c r="K1066" s="5">
        <v>222.0</v>
      </c>
      <c r="L1066" s="5">
        <v>11.5</v>
      </c>
      <c r="M1066" s="5">
        <v>47503.54</v>
      </c>
      <c r="N1066" s="5">
        <v>18.61</v>
      </c>
      <c r="O1066" s="6">
        <f t="shared" si="1"/>
        <v>11.49783784</v>
      </c>
      <c r="P1066" s="6" t="str">
        <f t="shared" si="2"/>
        <v>Baseline</v>
      </c>
      <c r="Q1066" s="3">
        <f t="shared" si="3"/>
        <v>6</v>
      </c>
    </row>
    <row r="1067">
      <c r="A1067" s="4" t="s">
        <v>93</v>
      </c>
      <c r="B1067" s="2" t="s">
        <v>18</v>
      </c>
      <c r="C1067" s="2" t="s">
        <v>41</v>
      </c>
      <c r="D1067" s="2" t="s">
        <v>29</v>
      </c>
      <c r="E1067" s="2" t="s">
        <v>25</v>
      </c>
      <c r="F1067" s="5">
        <v>25497.0</v>
      </c>
      <c r="G1067" s="5">
        <v>1142.0</v>
      </c>
      <c r="H1067" s="5">
        <v>0.0448</v>
      </c>
      <c r="I1067" s="5">
        <v>1.84</v>
      </c>
      <c r="J1067" s="5">
        <v>2101.28</v>
      </c>
      <c r="K1067" s="5">
        <v>75.0</v>
      </c>
      <c r="L1067" s="5">
        <v>28.02</v>
      </c>
      <c r="M1067" s="5">
        <v>18551.01</v>
      </c>
      <c r="N1067" s="5">
        <v>8.83</v>
      </c>
      <c r="O1067" s="6">
        <f t="shared" si="1"/>
        <v>28.01706667</v>
      </c>
      <c r="P1067" s="6" t="str">
        <f t="shared" si="2"/>
        <v>Post-Shift</v>
      </c>
      <c r="Q1067" s="3">
        <f t="shared" si="3"/>
        <v>7</v>
      </c>
    </row>
    <row r="1068">
      <c r="A1068" s="4" t="s">
        <v>145</v>
      </c>
      <c r="B1068" s="2" t="s">
        <v>23</v>
      </c>
      <c r="C1068" s="2" t="s">
        <v>41</v>
      </c>
      <c r="D1068" s="2" t="s">
        <v>20</v>
      </c>
      <c r="E1068" s="2" t="s">
        <v>21</v>
      </c>
      <c r="F1068" s="5">
        <v>178782.0</v>
      </c>
      <c r="G1068" s="5">
        <v>7705.0</v>
      </c>
      <c r="H1068" s="5">
        <v>0.0431</v>
      </c>
      <c r="I1068" s="5">
        <v>1.28</v>
      </c>
      <c r="J1068" s="5">
        <v>9862.4</v>
      </c>
      <c r="K1068" s="5">
        <v>352.0</v>
      </c>
      <c r="L1068" s="5">
        <v>28.02</v>
      </c>
      <c r="M1068" s="5">
        <v>30909.61</v>
      </c>
      <c r="N1068" s="5">
        <v>3.13</v>
      </c>
      <c r="O1068" s="6">
        <f t="shared" si="1"/>
        <v>28.01818182</v>
      </c>
      <c r="P1068" s="6" t="str">
        <f t="shared" si="2"/>
        <v>Post-Shift</v>
      </c>
      <c r="Q1068" s="3">
        <f t="shared" si="3"/>
        <v>35</v>
      </c>
    </row>
    <row r="1069">
      <c r="A1069" s="4">
        <v>45356.0</v>
      </c>
      <c r="B1069" s="2" t="s">
        <v>38</v>
      </c>
      <c r="C1069" s="2" t="s">
        <v>27</v>
      </c>
      <c r="D1069" s="2" t="s">
        <v>29</v>
      </c>
      <c r="E1069" s="2" t="s">
        <v>56</v>
      </c>
      <c r="F1069" s="5">
        <v>189221.0</v>
      </c>
      <c r="G1069" s="5">
        <v>7587.0</v>
      </c>
      <c r="H1069" s="5">
        <v>0.0401</v>
      </c>
      <c r="I1069" s="5">
        <v>0.91</v>
      </c>
      <c r="J1069" s="5">
        <v>6904.17</v>
      </c>
      <c r="K1069" s="5">
        <v>80.0</v>
      </c>
      <c r="L1069" s="5">
        <v>86.3</v>
      </c>
      <c r="M1069" s="5">
        <v>2769.22</v>
      </c>
      <c r="N1069" s="5">
        <v>0.4</v>
      </c>
      <c r="O1069" s="6">
        <f t="shared" si="1"/>
        <v>86.302125</v>
      </c>
      <c r="P1069" s="6" t="str">
        <f t="shared" si="2"/>
        <v>Baseline</v>
      </c>
      <c r="Q1069" s="3">
        <f t="shared" si="3"/>
        <v>18</v>
      </c>
    </row>
    <row r="1070">
      <c r="A1070" s="4" t="s">
        <v>60</v>
      </c>
      <c r="B1070" s="2" t="s">
        <v>38</v>
      </c>
      <c r="C1070" s="2" t="s">
        <v>19</v>
      </c>
      <c r="D1070" s="2" t="s">
        <v>20</v>
      </c>
      <c r="E1070" s="2" t="s">
        <v>33</v>
      </c>
      <c r="F1070" s="5">
        <v>138704.0</v>
      </c>
      <c r="G1070" s="5">
        <v>1803.0</v>
      </c>
      <c r="H1070" s="5">
        <v>0.013</v>
      </c>
      <c r="I1070" s="5">
        <v>0.86</v>
      </c>
      <c r="J1070" s="5">
        <v>1550.58</v>
      </c>
      <c r="K1070" s="5">
        <v>119.0</v>
      </c>
      <c r="L1070" s="5">
        <v>13.03</v>
      </c>
      <c r="M1070" s="5">
        <v>10297.42</v>
      </c>
      <c r="N1070" s="5">
        <v>6.64</v>
      </c>
      <c r="O1070" s="6">
        <f t="shared" si="1"/>
        <v>13.03008403</v>
      </c>
      <c r="P1070" s="6" t="str">
        <f t="shared" si="2"/>
        <v>Post-Shift</v>
      </c>
      <c r="Q1070" s="3">
        <f t="shared" si="3"/>
        <v>52</v>
      </c>
    </row>
    <row r="1071">
      <c r="A1071" s="4">
        <v>45514.0</v>
      </c>
      <c r="B1071" s="2" t="s">
        <v>18</v>
      </c>
      <c r="C1071" s="2" t="s">
        <v>27</v>
      </c>
      <c r="D1071" s="2" t="s">
        <v>24</v>
      </c>
      <c r="E1071" s="2" t="s">
        <v>25</v>
      </c>
      <c r="F1071" s="5">
        <v>120475.0</v>
      </c>
      <c r="G1071" s="5">
        <v>7794.0</v>
      </c>
      <c r="H1071" s="5">
        <v>0.0647</v>
      </c>
      <c r="I1071" s="5">
        <v>0.78</v>
      </c>
      <c r="J1071" s="5">
        <v>6079.32</v>
      </c>
      <c r="K1071" s="5">
        <v>530.0</v>
      </c>
      <c r="L1071" s="5">
        <v>11.47</v>
      </c>
      <c r="M1071" s="5">
        <v>143639.1</v>
      </c>
      <c r="N1071" s="5">
        <v>23.63</v>
      </c>
      <c r="O1071" s="6">
        <f t="shared" si="1"/>
        <v>11.47041509</v>
      </c>
      <c r="P1071" s="6" t="str">
        <f t="shared" si="2"/>
        <v>Post-Shift</v>
      </c>
      <c r="Q1071" s="3">
        <f t="shared" si="3"/>
        <v>41</v>
      </c>
    </row>
    <row r="1072">
      <c r="A1072" s="4" t="s">
        <v>162</v>
      </c>
      <c r="B1072" s="2" t="s">
        <v>18</v>
      </c>
      <c r="C1072" s="2" t="s">
        <v>31</v>
      </c>
      <c r="D1072" s="2" t="s">
        <v>29</v>
      </c>
      <c r="E1072" s="2" t="s">
        <v>33</v>
      </c>
      <c r="F1072" s="5">
        <v>125019.0</v>
      </c>
      <c r="G1072" s="5">
        <v>8251.0</v>
      </c>
      <c r="H1072" s="5">
        <v>0.066</v>
      </c>
      <c r="I1072" s="5">
        <v>3.77</v>
      </c>
      <c r="J1072" s="5">
        <v>31106.27</v>
      </c>
      <c r="K1072" s="5">
        <v>609.0</v>
      </c>
      <c r="L1072" s="5">
        <v>51.08</v>
      </c>
      <c r="M1072" s="5">
        <v>135443.8</v>
      </c>
      <c r="N1072" s="5">
        <v>4.35</v>
      </c>
      <c r="O1072" s="6">
        <f t="shared" si="1"/>
        <v>51.07761905</v>
      </c>
      <c r="P1072" s="6" t="str">
        <f t="shared" si="2"/>
        <v>Post-Shift</v>
      </c>
      <c r="Q1072" s="3">
        <f t="shared" si="3"/>
        <v>34</v>
      </c>
    </row>
    <row r="1073">
      <c r="A1073" s="4">
        <v>45608.0</v>
      </c>
      <c r="B1073" s="2" t="s">
        <v>38</v>
      </c>
      <c r="C1073" s="2" t="s">
        <v>19</v>
      </c>
      <c r="D1073" s="2" t="s">
        <v>24</v>
      </c>
      <c r="E1073" s="2" t="s">
        <v>30</v>
      </c>
      <c r="F1073" s="5">
        <v>198775.0</v>
      </c>
      <c r="G1073" s="5">
        <v>3637.0</v>
      </c>
      <c r="H1073" s="5">
        <v>0.0183</v>
      </c>
      <c r="I1073" s="5">
        <v>1.99</v>
      </c>
      <c r="J1073" s="5">
        <v>7237.63</v>
      </c>
      <c r="K1073" s="5">
        <v>235.0</v>
      </c>
      <c r="L1073" s="5">
        <v>30.8</v>
      </c>
      <c r="M1073" s="5">
        <v>18520.23</v>
      </c>
      <c r="N1073" s="5">
        <v>2.56</v>
      </c>
      <c r="O1073" s="6">
        <f t="shared" si="1"/>
        <v>30.79842553</v>
      </c>
      <c r="P1073" s="6" t="str">
        <f t="shared" si="2"/>
        <v>Post-Shift</v>
      </c>
      <c r="Q1073" s="3">
        <f t="shared" si="3"/>
        <v>50</v>
      </c>
    </row>
    <row r="1074">
      <c r="A1074" s="4">
        <v>45413.0</v>
      </c>
      <c r="B1074" s="2" t="s">
        <v>23</v>
      </c>
      <c r="C1074" s="2" t="s">
        <v>27</v>
      </c>
      <c r="D1074" s="2" t="s">
        <v>24</v>
      </c>
      <c r="E1074" s="2" t="s">
        <v>58</v>
      </c>
      <c r="F1074" s="5">
        <v>52059.0</v>
      </c>
      <c r="G1074" s="5">
        <v>2956.0</v>
      </c>
      <c r="H1074" s="5">
        <v>0.0568</v>
      </c>
      <c r="I1074" s="5">
        <v>0.57</v>
      </c>
      <c r="J1074" s="5">
        <v>1684.92</v>
      </c>
      <c r="K1074" s="5">
        <v>29.0</v>
      </c>
      <c r="L1074" s="5">
        <v>58.1</v>
      </c>
      <c r="M1074" s="5">
        <v>5633.14</v>
      </c>
      <c r="N1074" s="5">
        <v>3.34</v>
      </c>
      <c r="O1074" s="6">
        <f t="shared" si="1"/>
        <v>58.10068966</v>
      </c>
      <c r="P1074" s="6" t="str">
        <f t="shared" si="2"/>
        <v>Baseline</v>
      </c>
      <c r="Q1074" s="3">
        <f t="shared" si="3"/>
        <v>1</v>
      </c>
    </row>
    <row r="1075">
      <c r="A1075" s="4" t="s">
        <v>181</v>
      </c>
      <c r="B1075" s="2" t="s">
        <v>18</v>
      </c>
      <c r="C1075" s="2" t="s">
        <v>41</v>
      </c>
      <c r="D1075" s="2" t="s">
        <v>32</v>
      </c>
      <c r="E1075" s="2" t="s">
        <v>30</v>
      </c>
      <c r="F1075" s="5">
        <v>183373.0</v>
      </c>
      <c r="G1075" s="5">
        <v>7169.0</v>
      </c>
      <c r="H1075" s="5">
        <v>0.0391</v>
      </c>
      <c r="I1075" s="5">
        <v>1.55</v>
      </c>
      <c r="J1075" s="5">
        <v>11111.95</v>
      </c>
      <c r="K1075" s="5">
        <v>342.0</v>
      </c>
      <c r="L1075" s="5">
        <v>32.49</v>
      </c>
      <c r="M1075" s="5">
        <v>18314.28</v>
      </c>
      <c r="N1075" s="5">
        <v>1.65</v>
      </c>
      <c r="O1075" s="6">
        <f t="shared" si="1"/>
        <v>32.49108187</v>
      </c>
      <c r="P1075" s="6" t="str">
        <f t="shared" si="2"/>
        <v>Post-Shift</v>
      </c>
      <c r="Q1075" s="3">
        <f t="shared" si="3"/>
        <v>22</v>
      </c>
    </row>
    <row r="1076">
      <c r="A1076" s="4" t="s">
        <v>218</v>
      </c>
      <c r="B1076" s="2" t="s">
        <v>38</v>
      </c>
      <c r="C1076" s="2" t="s">
        <v>19</v>
      </c>
      <c r="D1076" s="2" t="s">
        <v>45</v>
      </c>
      <c r="E1076" s="2" t="s">
        <v>30</v>
      </c>
      <c r="F1076" s="5">
        <v>114844.0</v>
      </c>
      <c r="G1076" s="5">
        <v>3307.0</v>
      </c>
      <c r="H1076" s="5">
        <v>0.0288</v>
      </c>
      <c r="I1076" s="5">
        <v>2.1</v>
      </c>
      <c r="J1076" s="5">
        <v>6944.7</v>
      </c>
      <c r="K1076" s="5">
        <v>123.0</v>
      </c>
      <c r="L1076" s="5">
        <v>56.46</v>
      </c>
      <c r="M1076" s="5">
        <v>36552.89</v>
      </c>
      <c r="N1076" s="5">
        <v>5.26</v>
      </c>
      <c r="O1076" s="6">
        <f t="shared" si="1"/>
        <v>56.46097561</v>
      </c>
      <c r="P1076" s="6" t="str">
        <f t="shared" si="2"/>
        <v>Post-Shift</v>
      </c>
      <c r="Q1076" s="3">
        <f t="shared" si="3"/>
        <v>37</v>
      </c>
    </row>
    <row r="1077">
      <c r="A1077" s="4" t="s">
        <v>127</v>
      </c>
      <c r="B1077" s="2" t="s">
        <v>38</v>
      </c>
      <c r="C1077" s="2" t="s">
        <v>19</v>
      </c>
      <c r="D1077" s="2" t="s">
        <v>45</v>
      </c>
      <c r="E1077" s="2" t="s">
        <v>30</v>
      </c>
      <c r="F1077" s="5">
        <v>53865.0</v>
      </c>
      <c r="G1077" s="5">
        <v>1098.0</v>
      </c>
      <c r="H1077" s="5">
        <v>0.0204</v>
      </c>
      <c r="I1077" s="5">
        <v>1.28</v>
      </c>
      <c r="J1077" s="5">
        <v>1405.44</v>
      </c>
      <c r="K1077" s="5">
        <v>67.0</v>
      </c>
      <c r="L1077" s="5">
        <v>20.98</v>
      </c>
      <c r="M1077" s="5">
        <v>2545.35</v>
      </c>
      <c r="N1077" s="5">
        <v>1.81</v>
      </c>
      <c r="O1077" s="6">
        <f t="shared" si="1"/>
        <v>20.97671642</v>
      </c>
      <c r="P1077" s="6" t="str">
        <f t="shared" si="2"/>
        <v>Post-Shift</v>
      </c>
      <c r="Q1077" s="3">
        <f t="shared" si="3"/>
        <v>35</v>
      </c>
    </row>
    <row r="1078">
      <c r="A1078" s="4">
        <v>45474.0</v>
      </c>
      <c r="B1078" s="2" t="s">
        <v>18</v>
      </c>
      <c r="C1078" s="2" t="s">
        <v>27</v>
      </c>
      <c r="D1078" s="2" t="s">
        <v>45</v>
      </c>
      <c r="E1078" s="2" t="s">
        <v>33</v>
      </c>
      <c r="F1078" s="5">
        <v>25080.0</v>
      </c>
      <c r="G1078" s="5">
        <v>1113.0</v>
      </c>
      <c r="H1078" s="5">
        <v>0.0444</v>
      </c>
      <c r="I1078" s="5">
        <v>2.62</v>
      </c>
      <c r="J1078" s="5">
        <v>2916.06</v>
      </c>
      <c r="K1078" s="5">
        <v>49.0</v>
      </c>
      <c r="L1078" s="5">
        <v>59.51</v>
      </c>
      <c r="M1078" s="5">
        <v>2232.61</v>
      </c>
      <c r="N1078" s="5">
        <v>0.77</v>
      </c>
      <c r="O1078" s="6">
        <f t="shared" si="1"/>
        <v>59.51142857</v>
      </c>
      <c r="P1078" s="6" t="str">
        <f t="shared" si="2"/>
        <v>Post-Shift</v>
      </c>
      <c r="Q1078" s="3">
        <f t="shared" si="3"/>
        <v>2</v>
      </c>
    </row>
    <row r="1079">
      <c r="A1079" s="4">
        <v>45633.0</v>
      </c>
      <c r="B1079" s="2" t="s">
        <v>23</v>
      </c>
      <c r="C1079" s="2" t="s">
        <v>19</v>
      </c>
      <c r="D1079" s="2" t="s">
        <v>45</v>
      </c>
      <c r="E1079" s="2" t="s">
        <v>56</v>
      </c>
      <c r="F1079" s="5">
        <v>95853.0</v>
      </c>
      <c r="G1079" s="5">
        <v>4658.0</v>
      </c>
      <c r="H1079" s="5">
        <v>0.0486</v>
      </c>
      <c r="I1079" s="5">
        <v>0.31</v>
      </c>
      <c r="J1079" s="5">
        <v>1443.98</v>
      </c>
      <c r="K1079" s="5">
        <v>92.0</v>
      </c>
      <c r="L1079" s="5">
        <v>15.7</v>
      </c>
      <c r="M1079" s="5">
        <v>27317.08</v>
      </c>
      <c r="N1079" s="5">
        <v>18.92</v>
      </c>
      <c r="O1079" s="6">
        <f t="shared" si="1"/>
        <v>15.69543478</v>
      </c>
      <c r="P1079" s="6" t="str">
        <f t="shared" si="2"/>
        <v>Post-Shift</v>
      </c>
      <c r="Q1079" s="3">
        <f t="shared" si="3"/>
        <v>28</v>
      </c>
    </row>
    <row r="1080">
      <c r="A1080" s="4" t="s">
        <v>47</v>
      </c>
      <c r="B1080" s="2" t="s">
        <v>18</v>
      </c>
      <c r="C1080" s="2" t="s">
        <v>27</v>
      </c>
      <c r="D1080" s="2" t="s">
        <v>32</v>
      </c>
      <c r="E1080" s="2" t="s">
        <v>36</v>
      </c>
      <c r="F1080" s="5">
        <v>27593.0</v>
      </c>
      <c r="G1080" s="5">
        <v>896.0</v>
      </c>
      <c r="H1080" s="5">
        <v>0.0325</v>
      </c>
      <c r="I1080" s="5">
        <v>2.39</v>
      </c>
      <c r="J1080" s="5">
        <v>2141.44</v>
      </c>
      <c r="K1080" s="5">
        <v>48.0</v>
      </c>
      <c r="L1080" s="5">
        <v>44.61</v>
      </c>
      <c r="M1080" s="5">
        <v>8087.57</v>
      </c>
      <c r="N1080" s="5">
        <v>3.78</v>
      </c>
      <c r="O1080" s="6">
        <f t="shared" si="1"/>
        <v>44.61333333</v>
      </c>
      <c r="P1080" s="6" t="str">
        <f t="shared" si="2"/>
        <v>Post-Shift</v>
      </c>
      <c r="Q1080" s="3">
        <f t="shared" si="3"/>
        <v>22</v>
      </c>
    </row>
    <row r="1081">
      <c r="A1081" s="4">
        <v>45605.0</v>
      </c>
      <c r="B1081" s="2" t="s">
        <v>38</v>
      </c>
      <c r="C1081" s="2" t="s">
        <v>27</v>
      </c>
      <c r="D1081" s="2" t="s">
        <v>24</v>
      </c>
      <c r="E1081" s="2" t="s">
        <v>30</v>
      </c>
      <c r="F1081" s="5">
        <v>34949.0</v>
      </c>
      <c r="G1081" s="5">
        <v>1324.0</v>
      </c>
      <c r="H1081" s="5">
        <v>0.0379</v>
      </c>
      <c r="I1081" s="5">
        <v>1.79</v>
      </c>
      <c r="J1081" s="5">
        <v>2369.96</v>
      </c>
      <c r="K1081" s="5">
        <v>86.0</v>
      </c>
      <c r="L1081" s="5">
        <v>27.56</v>
      </c>
      <c r="M1081" s="5">
        <v>9084.22</v>
      </c>
      <c r="N1081" s="5">
        <v>3.83</v>
      </c>
      <c r="O1081" s="6">
        <f t="shared" si="1"/>
        <v>27.55767442</v>
      </c>
      <c r="P1081" s="6" t="str">
        <f t="shared" si="2"/>
        <v>Post-Shift</v>
      </c>
      <c r="Q1081" s="3">
        <f t="shared" si="3"/>
        <v>37</v>
      </c>
    </row>
    <row r="1082">
      <c r="A1082" s="4" t="s">
        <v>71</v>
      </c>
      <c r="B1082" s="2" t="s">
        <v>23</v>
      </c>
      <c r="C1082" s="2" t="s">
        <v>31</v>
      </c>
      <c r="D1082" s="2" t="s">
        <v>45</v>
      </c>
      <c r="E1082" s="2" t="s">
        <v>30</v>
      </c>
      <c r="F1082" s="5">
        <v>72986.0</v>
      </c>
      <c r="G1082" s="5">
        <v>3379.0</v>
      </c>
      <c r="H1082" s="5">
        <v>0.0463</v>
      </c>
      <c r="I1082" s="5">
        <v>1.77</v>
      </c>
      <c r="J1082" s="5">
        <v>5980.83</v>
      </c>
      <c r="K1082" s="5">
        <v>188.0</v>
      </c>
      <c r="L1082" s="5">
        <v>31.81</v>
      </c>
      <c r="M1082" s="5">
        <v>17387.72</v>
      </c>
      <c r="N1082" s="5">
        <v>2.91</v>
      </c>
      <c r="O1082" s="6">
        <f t="shared" si="1"/>
        <v>31.81292553</v>
      </c>
      <c r="P1082" s="6" t="str">
        <f t="shared" si="2"/>
        <v>Post-Shift</v>
      </c>
      <c r="Q1082" s="3">
        <f t="shared" si="3"/>
        <v>20</v>
      </c>
    </row>
    <row r="1083">
      <c r="A1083" s="4">
        <v>45324.0</v>
      </c>
      <c r="B1083" s="2" t="s">
        <v>18</v>
      </c>
      <c r="C1083" s="2" t="s">
        <v>31</v>
      </c>
      <c r="D1083" s="2" t="s">
        <v>29</v>
      </c>
      <c r="E1083" s="2" t="s">
        <v>21</v>
      </c>
      <c r="F1083" s="5">
        <v>149848.0</v>
      </c>
      <c r="G1083" s="5">
        <v>9290.0</v>
      </c>
      <c r="H1083" s="5">
        <v>0.062</v>
      </c>
      <c r="I1083" s="5">
        <v>1.97</v>
      </c>
      <c r="J1083" s="5">
        <v>18301.3</v>
      </c>
      <c r="K1083" s="5">
        <v>537.0</v>
      </c>
      <c r="L1083" s="5">
        <v>34.08</v>
      </c>
      <c r="M1083" s="5">
        <v>106414.0</v>
      </c>
      <c r="N1083" s="5">
        <v>5.81</v>
      </c>
      <c r="O1083" s="6">
        <f t="shared" si="1"/>
        <v>34.08063315</v>
      </c>
      <c r="P1083" s="6" t="str">
        <f t="shared" si="2"/>
        <v>Baseline</v>
      </c>
      <c r="Q1083" s="3">
        <f t="shared" si="3"/>
        <v>5</v>
      </c>
    </row>
    <row r="1084">
      <c r="A1084" s="4">
        <v>45360.0</v>
      </c>
      <c r="B1084" s="2" t="s">
        <v>18</v>
      </c>
      <c r="C1084" s="2" t="s">
        <v>27</v>
      </c>
      <c r="D1084" s="2" t="s">
        <v>32</v>
      </c>
      <c r="E1084" s="2" t="s">
        <v>58</v>
      </c>
      <c r="F1084" s="5">
        <v>143235.0</v>
      </c>
      <c r="G1084" s="5">
        <v>3981.0</v>
      </c>
      <c r="H1084" s="5">
        <v>0.0278</v>
      </c>
      <c r="I1084" s="5">
        <v>1.83</v>
      </c>
      <c r="J1084" s="5">
        <v>7285.23</v>
      </c>
      <c r="K1084" s="5">
        <v>125.0</v>
      </c>
      <c r="L1084" s="5">
        <v>58.28</v>
      </c>
      <c r="M1084" s="5">
        <v>27104.75</v>
      </c>
      <c r="N1084" s="5">
        <v>3.72</v>
      </c>
      <c r="O1084" s="6">
        <f t="shared" si="1"/>
        <v>58.28184</v>
      </c>
      <c r="P1084" s="6" t="str">
        <f t="shared" si="2"/>
        <v>Baseline</v>
      </c>
      <c r="Q1084" s="3">
        <f t="shared" si="3"/>
        <v>36</v>
      </c>
    </row>
    <row r="1085">
      <c r="A1085" s="4">
        <v>45598.0</v>
      </c>
      <c r="B1085" s="2" t="s">
        <v>23</v>
      </c>
      <c r="C1085" s="2" t="s">
        <v>27</v>
      </c>
      <c r="D1085" s="2" t="s">
        <v>24</v>
      </c>
      <c r="E1085" s="2" t="s">
        <v>56</v>
      </c>
      <c r="F1085" s="5">
        <v>157625.0</v>
      </c>
      <c r="G1085" s="5">
        <v>9457.0</v>
      </c>
      <c r="H1085" s="5">
        <v>0.06</v>
      </c>
      <c r="I1085" s="5">
        <v>0.48</v>
      </c>
      <c r="J1085" s="5">
        <v>4539.36</v>
      </c>
      <c r="K1085" s="5">
        <v>534.0</v>
      </c>
      <c r="L1085" s="5">
        <v>8.5</v>
      </c>
      <c r="M1085" s="5">
        <v>147520.8</v>
      </c>
      <c r="N1085" s="5">
        <v>32.5</v>
      </c>
      <c r="O1085" s="6">
        <f t="shared" si="1"/>
        <v>8.500674157</v>
      </c>
      <c r="P1085" s="6" t="str">
        <f t="shared" si="2"/>
        <v>Post-Shift</v>
      </c>
      <c r="Q1085" s="3">
        <f t="shared" si="3"/>
        <v>7</v>
      </c>
    </row>
    <row r="1086">
      <c r="A1086" s="4" t="s">
        <v>208</v>
      </c>
      <c r="B1086" s="2" t="s">
        <v>38</v>
      </c>
      <c r="C1086" s="2" t="s">
        <v>19</v>
      </c>
      <c r="D1086" s="2" t="s">
        <v>20</v>
      </c>
      <c r="E1086" s="2" t="s">
        <v>56</v>
      </c>
      <c r="F1086" s="5">
        <v>172816.0</v>
      </c>
      <c r="G1086" s="5">
        <v>3819.0</v>
      </c>
      <c r="H1086" s="5">
        <v>0.0221</v>
      </c>
      <c r="I1086" s="5">
        <v>2.14</v>
      </c>
      <c r="J1086" s="5">
        <v>8172.66</v>
      </c>
      <c r="K1086" s="5">
        <v>193.0</v>
      </c>
      <c r="L1086" s="5">
        <v>42.35</v>
      </c>
      <c r="M1086" s="5">
        <v>41926.28</v>
      </c>
      <c r="N1086" s="5">
        <v>5.13</v>
      </c>
      <c r="O1086" s="6">
        <f t="shared" si="1"/>
        <v>42.3453886</v>
      </c>
      <c r="P1086" s="6" t="str">
        <f t="shared" si="2"/>
        <v>Post-Shift</v>
      </c>
      <c r="Q1086" s="3">
        <f t="shared" si="3"/>
        <v>48</v>
      </c>
    </row>
    <row r="1087">
      <c r="A1087" s="4" t="s">
        <v>57</v>
      </c>
      <c r="B1087" s="2" t="s">
        <v>23</v>
      </c>
      <c r="C1087" s="2" t="s">
        <v>27</v>
      </c>
      <c r="D1087" s="2" t="s">
        <v>45</v>
      </c>
      <c r="E1087" s="2" t="s">
        <v>25</v>
      </c>
      <c r="F1087" s="5">
        <v>56529.0</v>
      </c>
      <c r="G1087" s="5">
        <v>4494.0</v>
      </c>
      <c r="H1087" s="5">
        <v>0.0795</v>
      </c>
      <c r="I1087" s="5">
        <v>1.51</v>
      </c>
      <c r="J1087" s="5">
        <v>6785.94</v>
      </c>
      <c r="K1087" s="5">
        <v>104.0</v>
      </c>
      <c r="L1087" s="5">
        <v>65.25</v>
      </c>
      <c r="M1087" s="5">
        <v>9525.68</v>
      </c>
      <c r="N1087" s="5">
        <v>1.4</v>
      </c>
      <c r="O1087" s="6">
        <f t="shared" si="1"/>
        <v>65.24942308</v>
      </c>
      <c r="P1087" s="6" t="str">
        <f t="shared" si="2"/>
        <v>Post-Shift</v>
      </c>
      <c r="Q1087" s="3">
        <f t="shared" si="3"/>
        <v>50</v>
      </c>
    </row>
    <row r="1088">
      <c r="A1088" s="4" t="s">
        <v>132</v>
      </c>
      <c r="B1088" s="2" t="s">
        <v>23</v>
      </c>
      <c r="C1088" s="2" t="s">
        <v>31</v>
      </c>
      <c r="D1088" s="2" t="s">
        <v>24</v>
      </c>
      <c r="E1088" s="2" t="s">
        <v>30</v>
      </c>
      <c r="F1088" s="5">
        <v>176030.0</v>
      </c>
      <c r="G1088" s="5">
        <v>13079.0</v>
      </c>
      <c r="H1088" s="5">
        <v>0.0743</v>
      </c>
      <c r="I1088" s="5">
        <v>1.51</v>
      </c>
      <c r="J1088" s="5">
        <v>19749.29</v>
      </c>
      <c r="K1088" s="5">
        <v>200.0</v>
      </c>
      <c r="L1088" s="5">
        <v>98.75</v>
      </c>
      <c r="M1088" s="5">
        <v>41247.07</v>
      </c>
      <c r="N1088" s="5">
        <v>2.09</v>
      </c>
      <c r="O1088" s="6">
        <f t="shared" si="1"/>
        <v>98.74645</v>
      </c>
      <c r="P1088" s="6" t="str">
        <f t="shared" si="2"/>
        <v>Post-Shift</v>
      </c>
      <c r="Q1088" s="3">
        <f t="shared" si="3"/>
        <v>15</v>
      </c>
    </row>
    <row r="1089">
      <c r="A1089" s="4">
        <v>45362.0</v>
      </c>
      <c r="B1089" s="2" t="s">
        <v>38</v>
      </c>
      <c r="C1089" s="2" t="s">
        <v>19</v>
      </c>
      <c r="D1089" s="2" t="s">
        <v>32</v>
      </c>
      <c r="E1089" s="2" t="s">
        <v>36</v>
      </c>
      <c r="F1089" s="5">
        <v>128355.0</v>
      </c>
      <c r="G1089" s="5">
        <v>1758.0</v>
      </c>
      <c r="H1089" s="5">
        <v>0.0137</v>
      </c>
      <c r="I1089" s="5">
        <v>1.86</v>
      </c>
      <c r="J1089" s="5">
        <v>3269.88</v>
      </c>
      <c r="K1089" s="5">
        <v>122.0</v>
      </c>
      <c r="L1089" s="5">
        <v>26.8</v>
      </c>
      <c r="M1089" s="5">
        <v>6205.33</v>
      </c>
      <c r="N1089" s="5">
        <v>1.9</v>
      </c>
      <c r="O1089" s="6">
        <f t="shared" si="1"/>
        <v>26.80229508</v>
      </c>
      <c r="P1089" s="6" t="str">
        <f t="shared" si="2"/>
        <v>Baseline</v>
      </c>
      <c r="Q1089" s="3">
        <f t="shared" si="3"/>
        <v>45</v>
      </c>
    </row>
    <row r="1090">
      <c r="A1090" s="4" t="s">
        <v>135</v>
      </c>
      <c r="B1090" s="2" t="s">
        <v>18</v>
      </c>
      <c r="C1090" s="2" t="s">
        <v>27</v>
      </c>
      <c r="D1090" s="2" t="s">
        <v>20</v>
      </c>
      <c r="E1090" s="2" t="s">
        <v>30</v>
      </c>
      <c r="F1090" s="5">
        <v>14096.0</v>
      </c>
      <c r="G1090" s="5">
        <v>476.0</v>
      </c>
      <c r="H1090" s="5">
        <v>0.0338</v>
      </c>
      <c r="I1090" s="5">
        <v>1.29</v>
      </c>
      <c r="J1090" s="5">
        <v>614.04</v>
      </c>
      <c r="K1090" s="5">
        <v>34.0</v>
      </c>
      <c r="L1090" s="5">
        <v>18.06</v>
      </c>
      <c r="M1090" s="5">
        <v>3175.83</v>
      </c>
      <c r="N1090" s="5">
        <v>5.17</v>
      </c>
      <c r="O1090" s="6">
        <f t="shared" si="1"/>
        <v>18.06</v>
      </c>
      <c r="P1090" s="6" t="str">
        <f t="shared" si="2"/>
        <v>Post-Shift</v>
      </c>
      <c r="Q1090" s="3">
        <f t="shared" si="3"/>
        <v>39</v>
      </c>
    </row>
    <row r="1091">
      <c r="A1091" s="4">
        <v>45326.0</v>
      </c>
      <c r="B1091" s="2" t="s">
        <v>18</v>
      </c>
      <c r="C1091" s="2" t="s">
        <v>27</v>
      </c>
      <c r="D1091" s="2" t="s">
        <v>32</v>
      </c>
      <c r="E1091" s="2" t="s">
        <v>30</v>
      </c>
      <c r="F1091" s="5">
        <v>31855.0</v>
      </c>
      <c r="G1091" s="5">
        <v>1411.0</v>
      </c>
      <c r="H1091" s="5">
        <v>0.0443</v>
      </c>
      <c r="I1091" s="5">
        <v>1.7</v>
      </c>
      <c r="J1091" s="5">
        <v>2398.7</v>
      </c>
      <c r="K1091" s="5">
        <v>60.0</v>
      </c>
      <c r="L1091" s="5">
        <v>39.98</v>
      </c>
      <c r="M1091" s="5">
        <v>3201.45</v>
      </c>
      <c r="N1091" s="5">
        <v>1.33</v>
      </c>
      <c r="O1091" s="6">
        <f t="shared" si="1"/>
        <v>39.97833333</v>
      </c>
      <c r="P1091" s="6" t="str">
        <f t="shared" si="2"/>
        <v>Baseline</v>
      </c>
      <c r="Q1091" s="3">
        <f t="shared" si="3"/>
        <v>14</v>
      </c>
    </row>
    <row r="1092">
      <c r="A1092" s="4" t="s">
        <v>158</v>
      </c>
      <c r="B1092" s="2" t="s">
        <v>18</v>
      </c>
      <c r="C1092" s="2" t="s">
        <v>19</v>
      </c>
      <c r="D1092" s="2" t="s">
        <v>24</v>
      </c>
      <c r="E1092" s="2" t="s">
        <v>21</v>
      </c>
      <c r="F1092" s="5">
        <v>95218.0</v>
      </c>
      <c r="G1092" s="5">
        <v>2199.0</v>
      </c>
      <c r="H1092" s="5">
        <v>0.0231</v>
      </c>
      <c r="I1092" s="5">
        <v>2.39</v>
      </c>
      <c r="J1092" s="5">
        <v>5255.61</v>
      </c>
      <c r="K1092" s="5">
        <v>103.0</v>
      </c>
      <c r="L1092" s="5">
        <v>51.03</v>
      </c>
      <c r="M1092" s="5">
        <v>17399.72</v>
      </c>
      <c r="N1092" s="5">
        <v>3.31</v>
      </c>
      <c r="O1092" s="6">
        <f t="shared" si="1"/>
        <v>51.02533981</v>
      </c>
      <c r="P1092" s="6" t="str">
        <f t="shared" si="2"/>
        <v>Post-Shift</v>
      </c>
      <c r="Q1092" s="3">
        <f t="shared" si="3"/>
        <v>8</v>
      </c>
    </row>
    <row r="1093">
      <c r="A1093" s="4">
        <v>45445.0</v>
      </c>
      <c r="B1093" s="2" t="s">
        <v>18</v>
      </c>
      <c r="C1093" s="2" t="s">
        <v>31</v>
      </c>
      <c r="D1093" s="2" t="s">
        <v>45</v>
      </c>
      <c r="E1093" s="2" t="s">
        <v>33</v>
      </c>
      <c r="F1093" s="5">
        <v>102409.0</v>
      </c>
      <c r="G1093" s="5">
        <v>3389.0</v>
      </c>
      <c r="H1093" s="5">
        <v>0.0331</v>
      </c>
      <c r="I1093" s="5">
        <v>3.58</v>
      </c>
      <c r="J1093" s="5">
        <v>12132.62</v>
      </c>
      <c r="K1093" s="5">
        <v>149.0</v>
      </c>
      <c r="L1093" s="5">
        <v>81.43</v>
      </c>
      <c r="M1093" s="5">
        <v>31253.87</v>
      </c>
      <c r="N1093" s="5">
        <v>2.58</v>
      </c>
      <c r="O1093" s="6">
        <f t="shared" si="1"/>
        <v>81.42697987</v>
      </c>
      <c r="P1093" s="6" t="str">
        <f t="shared" si="2"/>
        <v>Baseline</v>
      </c>
      <c r="Q1093" s="3">
        <f t="shared" si="3"/>
        <v>6</v>
      </c>
    </row>
    <row r="1094">
      <c r="A1094" s="4">
        <v>45635.0</v>
      </c>
      <c r="B1094" s="2" t="s">
        <v>18</v>
      </c>
      <c r="C1094" s="2" t="s">
        <v>19</v>
      </c>
      <c r="D1094" s="2" t="s">
        <v>45</v>
      </c>
      <c r="E1094" s="2" t="s">
        <v>56</v>
      </c>
      <c r="F1094" s="5">
        <v>31049.0</v>
      </c>
      <c r="G1094" s="5">
        <v>1021.0</v>
      </c>
      <c r="H1094" s="5">
        <v>0.0329</v>
      </c>
      <c r="I1094" s="5">
        <v>3.31</v>
      </c>
      <c r="J1094" s="5">
        <v>3379.51</v>
      </c>
      <c r="K1094" s="5">
        <v>31.0</v>
      </c>
      <c r="L1094" s="5">
        <v>109.02</v>
      </c>
      <c r="M1094" s="5">
        <v>7117.65</v>
      </c>
      <c r="N1094" s="5">
        <v>2.11</v>
      </c>
      <c r="O1094" s="6">
        <f t="shared" si="1"/>
        <v>109.0164516</v>
      </c>
      <c r="P1094" s="6" t="str">
        <f t="shared" si="2"/>
        <v>Post-Shift</v>
      </c>
      <c r="Q1094" s="3">
        <f t="shared" si="3"/>
        <v>37</v>
      </c>
    </row>
    <row r="1095">
      <c r="A1095" s="4" t="s">
        <v>255</v>
      </c>
      <c r="B1095" s="2" t="s">
        <v>23</v>
      </c>
      <c r="C1095" s="2" t="s">
        <v>19</v>
      </c>
      <c r="D1095" s="2" t="s">
        <v>29</v>
      </c>
      <c r="E1095" s="2" t="s">
        <v>33</v>
      </c>
      <c r="F1095" s="5">
        <v>129077.0</v>
      </c>
      <c r="G1095" s="5">
        <v>4065.0</v>
      </c>
      <c r="H1095" s="5">
        <v>0.0315</v>
      </c>
      <c r="I1095" s="5">
        <v>1.22</v>
      </c>
      <c r="J1095" s="5">
        <v>4959.3</v>
      </c>
      <c r="K1095" s="5">
        <v>295.0</v>
      </c>
      <c r="L1095" s="5">
        <v>16.81</v>
      </c>
      <c r="M1095" s="5">
        <v>44193.52</v>
      </c>
      <c r="N1095" s="5">
        <v>8.91</v>
      </c>
      <c r="O1095" s="6">
        <f t="shared" si="1"/>
        <v>16.81118644</v>
      </c>
      <c r="P1095" s="6" t="str">
        <f t="shared" si="2"/>
        <v>Post-Shift</v>
      </c>
      <c r="Q1095" s="3">
        <f t="shared" si="3"/>
        <v>38</v>
      </c>
    </row>
    <row r="1096">
      <c r="A1096" s="4" t="s">
        <v>206</v>
      </c>
      <c r="B1096" s="2" t="s">
        <v>38</v>
      </c>
      <c r="C1096" s="2" t="s">
        <v>31</v>
      </c>
      <c r="D1096" s="2" t="s">
        <v>45</v>
      </c>
      <c r="E1096" s="2" t="s">
        <v>33</v>
      </c>
      <c r="F1096" s="5">
        <v>166874.0</v>
      </c>
      <c r="G1096" s="5">
        <v>6641.0</v>
      </c>
      <c r="H1096" s="5">
        <v>0.0398</v>
      </c>
      <c r="I1096" s="5">
        <v>0.68</v>
      </c>
      <c r="J1096" s="5">
        <v>4515.88</v>
      </c>
      <c r="K1096" s="5">
        <v>200.0</v>
      </c>
      <c r="L1096" s="5">
        <v>22.58</v>
      </c>
      <c r="M1096" s="5">
        <v>17225.95</v>
      </c>
      <c r="N1096" s="5">
        <v>3.81</v>
      </c>
      <c r="O1096" s="6">
        <f t="shared" si="1"/>
        <v>22.5794</v>
      </c>
      <c r="P1096" s="6" t="str">
        <f t="shared" si="2"/>
        <v>Post-Shift</v>
      </c>
      <c r="Q1096" s="3">
        <f t="shared" si="3"/>
        <v>38</v>
      </c>
    </row>
    <row r="1097">
      <c r="A1097" s="4" t="s">
        <v>216</v>
      </c>
      <c r="B1097" s="2" t="s">
        <v>18</v>
      </c>
      <c r="C1097" s="2" t="s">
        <v>19</v>
      </c>
      <c r="D1097" s="2" t="s">
        <v>32</v>
      </c>
      <c r="E1097" s="2" t="s">
        <v>58</v>
      </c>
      <c r="F1097" s="5">
        <v>153865.0</v>
      </c>
      <c r="G1097" s="5">
        <v>5785.0</v>
      </c>
      <c r="H1097" s="5">
        <v>0.0376</v>
      </c>
      <c r="I1097" s="5">
        <v>1.7</v>
      </c>
      <c r="J1097" s="5">
        <v>9834.5</v>
      </c>
      <c r="K1097" s="5">
        <v>139.0</v>
      </c>
      <c r="L1097" s="5">
        <v>70.75</v>
      </c>
      <c r="M1097" s="5">
        <v>16979.34</v>
      </c>
      <c r="N1097" s="5">
        <v>1.73</v>
      </c>
      <c r="O1097" s="6">
        <f t="shared" si="1"/>
        <v>70.75179856</v>
      </c>
      <c r="P1097" s="6" t="str">
        <f t="shared" si="2"/>
        <v>Post-Shift</v>
      </c>
      <c r="Q1097" s="3">
        <f t="shared" si="3"/>
        <v>7</v>
      </c>
    </row>
    <row r="1098">
      <c r="A1098" s="4">
        <v>45484.0</v>
      </c>
      <c r="B1098" s="2" t="s">
        <v>23</v>
      </c>
      <c r="C1098" s="2" t="s">
        <v>41</v>
      </c>
      <c r="D1098" s="2" t="s">
        <v>29</v>
      </c>
      <c r="E1098" s="2" t="s">
        <v>25</v>
      </c>
      <c r="F1098" s="5">
        <v>187199.0</v>
      </c>
      <c r="G1098" s="5">
        <v>12036.0</v>
      </c>
      <c r="H1098" s="5">
        <v>0.0643</v>
      </c>
      <c r="I1098" s="5">
        <v>1.33</v>
      </c>
      <c r="J1098" s="5">
        <v>16007.88</v>
      </c>
      <c r="K1098" s="5">
        <v>946.0</v>
      </c>
      <c r="L1098" s="5">
        <v>16.92</v>
      </c>
      <c r="M1098" s="5">
        <v>165825.4</v>
      </c>
      <c r="N1098" s="5">
        <v>10.36</v>
      </c>
      <c r="O1098" s="6">
        <f t="shared" si="1"/>
        <v>16.92164905</v>
      </c>
      <c r="P1098" s="6" t="str">
        <f t="shared" si="2"/>
        <v>Post-Shift</v>
      </c>
      <c r="Q1098" s="3">
        <f t="shared" si="3"/>
        <v>45</v>
      </c>
    </row>
    <row r="1099">
      <c r="A1099" s="4" t="s">
        <v>186</v>
      </c>
      <c r="B1099" s="2" t="s">
        <v>38</v>
      </c>
      <c r="C1099" s="2" t="s">
        <v>27</v>
      </c>
      <c r="D1099" s="2" t="s">
        <v>32</v>
      </c>
      <c r="E1099" s="2" t="s">
        <v>25</v>
      </c>
      <c r="F1099" s="5">
        <v>117696.0</v>
      </c>
      <c r="G1099" s="5">
        <v>4531.0</v>
      </c>
      <c r="H1099" s="5">
        <v>0.0385</v>
      </c>
      <c r="I1099" s="5">
        <v>1.09</v>
      </c>
      <c r="J1099" s="5">
        <v>4938.79</v>
      </c>
      <c r="K1099" s="5">
        <v>325.0</v>
      </c>
      <c r="L1099" s="5">
        <v>15.2</v>
      </c>
      <c r="M1099" s="5">
        <v>19270.73</v>
      </c>
      <c r="N1099" s="5">
        <v>3.9</v>
      </c>
      <c r="O1099" s="6">
        <f t="shared" si="1"/>
        <v>15.19627692</v>
      </c>
      <c r="P1099" s="6" t="str">
        <f t="shared" si="2"/>
        <v>Post-Shift</v>
      </c>
      <c r="Q1099" s="3">
        <f t="shared" si="3"/>
        <v>26</v>
      </c>
    </row>
    <row r="1100">
      <c r="A1100" s="4" t="s">
        <v>229</v>
      </c>
      <c r="B1100" s="2" t="s">
        <v>38</v>
      </c>
      <c r="C1100" s="2" t="s">
        <v>19</v>
      </c>
      <c r="D1100" s="2" t="s">
        <v>29</v>
      </c>
      <c r="E1100" s="2" t="s">
        <v>36</v>
      </c>
      <c r="F1100" s="5">
        <v>147324.0</v>
      </c>
      <c r="G1100" s="5">
        <v>1325.0</v>
      </c>
      <c r="H1100" s="5">
        <v>0.009</v>
      </c>
      <c r="I1100" s="5">
        <v>1.72</v>
      </c>
      <c r="J1100" s="5">
        <v>2279.0</v>
      </c>
      <c r="K1100" s="5">
        <v>96.0</v>
      </c>
      <c r="L1100" s="5">
        <v>23.74</v>
      </c>
      <c r="M1100" s="5">
        <v>10356.84</v>
      </c>
      <c r="N1100" s="5">
        <v>4.54</v>
      </c>
      <c r="O1100" s="6">
        <f t="shared" si="1"/>
        <v>23.73958333</v>
      </c>
      <c r="P1100" s="6" t="str">
        <f t="shared" si="2"/>
        <v>Post-Shift</v>
      </c>
      <c r="Q1100" s="3">
        <f t="shared" si="3"/>
        <v>42</v>
      </c>
    </row>
    <row r="1101">
      <c r="A1101" s="4">
        <v>45390.0</v>
      </c>
      <c r="B1101" s="2" t="s">
        <v>18</v>
      </c>
      <c r="C1101" s="2" t="s">
        <v>27</v>
      </c>
      <c r="D1101" s="2" t="s">
        <v>20</v>
      </c>
      <c r="E1101" s="2" t="s">
        <v>58</v>
      </c>
      <c r="F1101" s="5">
        <v>39001.0</v>
      </c>
      <c r="G1101" s="5">
        <v>1450.0</v>
      </c>
      <c r="H1101" s="5">
        <v>0.0372</v>
      </c>
      <c r="I1101" s="5">
        <v>2.62</v>
      </c>
      <c r="J1101" s="5">
        <v>3799.0</v>
      </c>
      <c r="K1101" s="5">
        <v>18.0</v>
      </c>
      <c r="L1101" s="5">
        <v>211.06</v>
      </c>
      <c r="M1101" s="5">
        <v>5256.07</v>
      </c>
      <c r="N1101" s="5">
        <v>1.38</v>
      </c>
      <c r="O1101" s="6">
        <f t="shared" si="1"/>
        <v>211.0555556</v>
      </c>
      <c r="P1101" s="6" t="str">
        <f t="shared" si="2"/>
        <v>Baseline</v>
      </c>
      <c r="Q1101" s="3">
        <f t="shared" si="3"/>
        <v>32</v>
      </c>
    </row>
    <row r="1102">
      <c r="A1102" s="4">
        <v>45352.0</v>
      </c>
      <c r="B1102" s="2" t="s">
        <v>23</v>
      </c>
      <c r="C1102" s="2" t="s">
        <v>19</v>
      </c>
      <c r="D1102" s="2" t="s">
        <v>29</v>
      </c>
      <c r="E1102" s="2" t="s">
        <v>30</v>
      </c>
      <c r="F1102" s="5">
        <v>69277.0</v>
      </c>
      <c r="G1102" s="5">
        <v>5057.0</v>
      </c>
      <c r="H1102" s="5">
        <v>0.073</v>
      </c>
      <c r="I1102" s="5">
        <v>1.06</v>
      </c>
      <c r="J1102" s="5">
        <v>5360.42</v>
      </c>
      <c r="K1102" s="5">
        <v>268.0</v>
      </c>
      <c r="L1102" s="5">
        <v>20.0</v>
      </c>
      <c r="M1102" s="5">
        <v>57608.77</v>
      </c>
      <c r="N1102" s="5">
        <v>10.75</v>
      </c>
      <c r="O1102" s="6">
        <f t="shared" si="1"/>
        <v>20.00156716</v>
      </c>
      <c r="P1102" s="6" t="str">
        <f t="shared" si="2"/>
        <v>Baseline</v>
      </c>
      <c r="Q1102" s="3">
        <f t="shared" si="3"/>
        <v>1</v>
      </c>
    </row>
    <row r="1103">
      <c r="A1103" s="4">
        <v>45569.0</v>
      </c>
      <c r="B1103" s="2" t="s">
        <v>18</v>
      </c>
      <c r="C1103" s="2" t="s">
        <v>19</v>
      </c>
      <c r="D1103" s="2" t="s">
        <v>45</v>
      </c>
      <c r="E1103" s="2" t="s">
        <v>30</v>
      </c>
      <c r="F1103" s="5">
        <v>166687.0</v>
      </c>
      <c r="G1103" s="5">
        <v>11384.0</v>
      </c>
      <c r="H1103" s="5">
        <v>0.0683</v>
      </c>
      <c r="I1103" s="5">
        <v>0.73</v>
      </c>
      <c r="J1103" s="5">
        <v>8310.32</v>
      </c>
      <c r="K1103" s="5">
        <v>899.0</v>
      </c>
      <c r="L1103" s="5">
        <v>9.24</v>
      </c>
      <c r="M1103" s="5">
        <v>139644.2</v>
      </c>
      <c r="N1103" s="5">
        <v>16.8</v>
      </c>
      <c r="O1103" s="6">
        <f t="shared" si="1"/>
        <v>9.243959956</v>
      </c>
      <c r="P1103" s="6" t="str">
        <f t="shared" si="2"/>
        <v>Post-Shift</v>
      </c>
      <c r="Q1103" s="3">
        <f t="shared" si="3"/>
        <v>15</v>
      </c>
    </row>
    <row r="1104">
      <c r="A1104" s="4">
        <v>45334.0</v>
      </c>
      <c r="B1104" s="2" t="s">
        <v>38</v>
      </c>
      <c r="C1104" s="2" t="s">
        <v>27</v>
      </c>
      <c r="D1104" s="2" t="s">
        <v>45</v>
      </c>
      <c r="E1104" s="2" t="s">
        <v>36</v>
      </c>
      <c r="F1104" s="5">
        <v>173898.0</v>
      </c>
      <c r="G1104" s="5">
        <v>5321.0</v>
      </c>
      <c r="H1104" s="5">
        <v>0.0306</v>
      </c>
      <c r="I1104" s="5">
        <v>0.53</v>
      </c>
      <c r="J1104" s="5">
        <v>2820.13</v>
      </c>
      <c r="K1104" s="5">
        <v>239.0</v>
      </c>
      <c r="L1104" s="5">
        <v>11.8</v>
      </c>
      <c r="M1104" s="5">
        <v>52181.09</v>
      </c>
      <c r="N1104" s="5">
        <v>18.5</v>
      </c>
      <c r="O1104" s="6">
        <f t="shared" si="1"/>
        <v>11.79970711</v>
      </c>
      <c r="P1104" s="6" t="str">
        <f t="shared" si="2"/>
        <v>Baseline</v>
      </c>
      <c r="Q1104" s="3">
        <f t="shared" si="3"/>
        <v>49</v>
      </c>
    </row>
    <row r="1105">
      <c r="A1105" s="4" t="s">
        <v>181</v>
      </c>
      <c r="B1105" s="2" t="s">
        <v>18</v>
      </c>
      <c r="C1105" s="2" t="s">
        <v>41</v>
      </c>
      <c r="D1105" s="2" t="s">
        <v>32</v>
      </c>
      <c r="E1105" s="2" t="s">
        <v>36</v>
      </c>
      <c r="F1105" s="5">
        <v>117000.0</v>
      </c>
      <c r="G1105" s="5">
        <v>7979.0</v>
      </c>
      <c r="H1105" s="5">
        <v>0.0682</v>
      </c>
      <c r="I1105" s="5">
        <v>1.47</v>
      </c>
      <c r="J1105" s="5">
        <v>11729.13</v>
      </c>
      <c r="K1105" s="5">
        <v>366.0</v>
      </c>
      <c r="L1105" s="5">
        <v>32.05</v>
      </c>
      <c r="M1105" s="5">
        <v>14373.81</v>
      </c>
      <c r="N1105" s="5">
        <v>1.23</v>
      </c>
      <c r="O1105" s="6">
        <f t="shared" si="1"/>
        <v>32.04680328</v>
      </c>
      <c r="P1105" s="6" t="str">
        <f t="shared" si="2"/>
        <v>Post-Shift</v>
      </c>
      <c r="Q1105" s="3">
        <f t="shared" si="3"/>
        <v>22</v>
      </c>
    </row>
    <row r="1106">
      <c r="A1106" s="4" t="s">
        <v>141</v>
      </c>
      <c r="B1106" s="2" t="s">
        <v>38</v>
      </c>
      <c r="C1106" s="2" t="s">
        <v>31</v>
      </c>
      <c r="D1106" s="2" t="s">
        <v>32</v>
      </c>
      <c r="E1106" s="2" t="s">
        <v>25</v>
      </c>
      <c r="F1106" s="5">
        <v>55697.0</v>
      </c>
      <c r="G1106" s="5">
        <v>957.0</v>
      </c>
      <c r="H1106" s="5">
        <v>0.0172</v>
      </c>
      <c r="I1106" s="5">
        <v>0.91</v>
      </c>
      <c r="J1106" s="5">
        <v>870.87</v>
      </c>
      <c r="K1106" s="5">
        <v>12.0</v>
      </c>
      <c r="L1106" s="5">
        <v>72.57</v>
      </c>
      <c r="M1106" s="5">
        <v>1673.31</v>
      </c>
      <c r="N1106" s="5">
        <v>1.92</v>
      </c>
      <c r="O1106" s="6">
        <f t="shared" si="1"/>
        <v>72.5725</v>
      </c>
      <c r="P1106" s="6" t="str">
        <f t="shared" si="2"/>
        <v>Post-Shift</v>
      </c>
      <c r="Q1106" s="3">
        <f t="shared" si="3"/>
        <v>43</v>
      </c>
    </row>
    <row r="1107">
      <c r="A1107" s="4">
        <v>45358.0</v>
      </c>
      <c r="B1107" s="2" t="s">
        <v>18</v>
      </c>
      <c r="C1107" s="2" t="s">
        <v>41</v>
      </c>
      <c r="D1107" s="2" t="s">
        <v>20</v>
      </c>
      <c r="E1107" s="2" t="s">
        <v>25</v>
      </c>
      <c r="F1107" s="5">
        <v>46585.0</v>
      </c>
      <c r="G1107" s="5">
        <v>1504.0</v>
      </c>
      <c r="H1107" s="5">
        <v>0.0323</v>
      </c>
      <c r="I1107" s="5">
        <v>2.2</v>
      </c>
      <c r="J1107" s="5">
        <v>3308.8</v>
      </c>
      <c r="K1107" s="5">
        <v>85.0</v>
      </c>
      <c r="L1107" s="5">
        <v>38.93</v>
      </c>
      <c r="M1107" s="5">
        <v>13372.82</v>
      </c>
      <c r="N1107" s="5">
        <v>4.04</v>
      </c>
      <c r="O1107" s="6">
        <f t="shared" si="1"/>
        <v>38.92705882</v>
      </c>
      <c r="P1107" s="6" t="str">
        <f t="shared" si="2"/>
        <v>Baseline</v>
      </c>
      <c r="Q1107" s="3">
        <f t="shared" si="3"/>
        <v>27</v>
      </c>
    </row>
    <row r="1108">
      <c r="A1108" s="4" t="s">
        <v>37</v>
      </c>
      <c r="B1108" s="2" t="s">
        <v>23</v>
      </c>
      <c r="C1108" s="2" t="s">
        <v>19</v>
      </c>
      <c r="D1108" s="2" t="s">
        <v>45</v>
      </c>
      <c r="E1108" s="2" t="s">
        <v>33</v>
      </c>
      <c r="F1108" s="5">
        <v>97345.0</v>
      </c>
      <c r="G1108" s="5">
        <v>5178.0</v>
      </c>
      <c r="H1108" s="5">
        <v>0.0532</v>
      </c>
      <c r="I1108" s="5">
        <v>0.61</v>
      </c>
      <c r="J1108" s="5">
        <v>3158.58</v>
      </c>
      <c r="K1108" s="5">
        <v>289.0</v>
      </c>
      <c r="L1108" s="5">
        <v>10.93</v>
      </c>
      <c r="M1108" s="5">
        <v>44113.49</v>
      </c>
      <c r="N1108" s="5">
        <v>13.97</v>
      </c>
      <c r="O1108" s="6">
        <f t="shared" si="1"/>
        <v>10.92934256</v>
      </c>
      <c r="P1108" s="6" t="str">
        <f t="shared" si="2"/>
        <v>Post-Shift</v>
      </c>
      <c r="Q1108" s="3">
        <f t="shared" si="3"/>
        <v>33</v>
      </c>
    </row>
    <row r="1109">
      <c r="A1109" s="4" t="s">
        <v>230</v>
      </c>
      <c r="B1109" s="2" t="s">
        <v>23</v>
      </c>
      <c r="C1109" s="2" t="s">
        <v>27</v>
      </c>
      <c r="D1109" s="2" t="s">
        <v>45</v>
      </c>
      <c r="E1109" s="2" t="s">
        <v>56</v>
      </c>
      <c r="F1109" s="5">
        <v>143519.0</v>
      </c>
      <c r="G1109" s="5">
        <v>10519.0</v>
      </c>
      <c r="H1109" s="5">
        <v>0.0733</v>
      </c>
      <c r="I1109" s="5">
        <v>0.86</v>
      </c>
      <c r="J1109" s="5">
        <v>9046.34</v>
      </c>
      <c r="K1109" s="5">
        <v>673.0</v>
      </c>
      <c r="L1109" s="5">
        <v>13.44</v>
      </c>
      <c r="M1109" s="5">
        <v>28878.71</v>
      </c>
      <c r="N1109" s="5">
        <v>3.19</v>
      </c>
      <c r="O1109" s="6">
        <f t="shared" si="1"/>
        <v>13.44181278</v>
      </c>
      <c r="P1109" s="6" t="str">
        <f t="shared" si="2"/>
        <v>Post-Shift</v>
      </c>
      <c r="Q1109" s="3">
        <f t="shared" si="3"/>
        <v>25</v>
      </c>
    </row>
    <row r="1110">
      <c r="A1110" s="4">
        <v>45296.0</v>
      </c>
      <c r="B1110" s="2" t="s">
        <v>38</v>
      </c>
      <c r="C1110" s="2" t="s">
        <v>41</v>
      </c>
      <c r="D1110" s="2" t="s">
        <v>45</v>
      </c>
      <c r="E1110" s="2" t="s">
        <v>36</v>
      </c>
      <c r="F1110" s="5">
        <v>68843.0</v>
      </c>
      <c r="G1110" s="5">
        <v>633.0</v>
      </c>
      <c r="H1110" s="5">
        <v>0.0092</v>
      </c>
      <c r="I1110" s="5">
        <v>0.89</v>
      </c>
      <c r="J1110" s="5">
        <v>563.37</v>
      </c>
      <c r="K1110" s="5">
        <v>25.0</v>
      </c>
      <c r="L1110" s="5">
        <v>22.53</v>
      </c>
      <c r="M1110" s="5">
        <v>2441.19</v>
      </c>
      <c r="N1110" s="5">
        <v>4.33</v>
      </c>
      <c r="O1110" s="6">
        <f t="shared" si="1"/>
        <v>22.5348</v>
      </c>
      <c r="P1110" s="6" t="str">
        <f t="shared" si="2"/>
        <v>Baseline</v>
      </c>
      <c r="Q1110" s="3">
        <f t="shared" si="3"/>
        <v>18</v>
      </c>
    </row>
    <row r="1111">
      <c r="A1111" s="4" t="s">
        <v>112</v>
      </c>
      <c r="B1111" s="2" t="s">
        <v>18</v>
      </c>
      <c r="C1111" s="2" t="s">
        <v>41</v>
      </c>
      <c r="D1111" s="2" t="s">
        <v>20</v>
      </c>
      <c r="E1111" s="2" t="s">
        <v>30</v>
      </c>
      <c r="F1111" s="5">
        <v>129679.0</v>
      </c>
      <c r="G1111" s="5">
        <v>5848.0</v>
      </c>
      <c r="H1111" s="5">
        <v>0.0451</v>
      </c>
      <c r="I1111" s="5">
        <v>1.48</v>
      </c>
      <c r="J1111" s="5">
        <v>8655.04</v>
      </c>
      <c r="K1111" s="5">
        <v>158.0</v>
      </c>
      <c r="L1111" s="5">
        <v>54.78</v>
      </c>
      <c r="M1111" s="5">
        <v>32419.87</v>
      </c>
      <c r="N1111" s="5">
        <v>3.75</v>
      </c>
      <c r="O1111" s="6">
        <f t="shared" si="1"/>
        <v>54.77873418</v>
      </c>
      <c r="P1111" s="6" t="str">
        <f t="shared" si="2"/>
        <v>Post-Shift</v>
      </c>
      <c r="Q1111" s="3">
        <f t="shared" si="3"/>
        <v>13</v>
      </c>
    </row>
    <row r="1112">
      <c r="A1112" s="4" t="s">
        <v>240</v>
      </c>
      <c r="B1112" s="2" t="s">
        <v>38</v>
      </c>
      <c r="C1112" s="2" t="s">
        <v>19</v>
      </c>
      <c r="D1112" s="2" t="s">
        <v>20</v>
      </c>
      <c r="E1112" s="2" t="s">
        <v>25</v>
      </c>
      <c r="F1112" s="5">
        <v>153157.0</v>
      </c>
      <c r="G1112" s="5">
        <v>5498.0</v>
      </c>
      <c r="H1112" s="5">
        <v>0.0359</v>
      </c>
      <c r="I1112" s="5">
        <v>1.8</v>
      </c>
      <c r="J1112" s="5">
        <v>9896.4</v>
      </c>
      <c r="K1112" s="5">
        <v>401.0</v>
      </c>
      <c r="L1112" s="5">
        <v>24.68</v>
      </c>
      <c r="M1112" s="5">
        <v>90694.52</v>
      </c>
      <c r="N1112" s="5">
        <v>9.16</v>
      </c>
      <c r="O1112" s="6">
        <f t="shared" si="1"/>
        <v>24.67930175</v>
      </c>
      <c r="P1112" s="6" t="str">
        <f t="shared" si="2"/>
        <v>Post-Shift</v>
      </c>
      <c r="Q1112" s="3">
        <f t="shared" si="3"/>
        <v>5</v>
      </c>
    </row>
    <row r="1113">
      <c r="A1113" s="4" t="s">
        <v>219</v>
      </c>
      <c r="B1113" s="2" t="s">
        <v>38</v>
      </c>
      <c r="C1113" s="2" t="s">
        <v>41</v>
      </c>
      <c r="D1113" s="2" t="s">
        <v>45</v>
      </c>
      <c r="E1113" s="2" t="s">
        <v>36</v>
      </c>
      <c r="F1113" s="5">
        <v>138074.0</v>
      </c>
      <c r="G1113" s="5">
        <v>3313.0</v>
      </c>
      <c r="H1113" s="5">
        <v>0.024</v>
      </c>
      <c r="I1113" s="5">
        <v>1.91</v>
      </c>
      <c r="J1113" s="5">
        <v>6327.83</v>
      </c>
      <c r="K1113" s="5">
        <v>209.0</v>
      </c>
      <c r="L1113" s="5">
        <v>30.28</v>
      </c>
      <c r="M1113" s="5">
        <v>16533.53</v>
      </c>
      <c r="N1113" s="5">
        <v>2.61</v>
      </c>
      <c r="O1113" s="6">
        <f t="shared" si="1"/>
        <v>30.27669856</v>
      </c>
      <c r="P1113" s="6" t="str">
        <f t="shared" si="2"/>
        <v>Post-Shift</v>
      </c>
      <c r="Q1113" s="3">
        <f t="shared" si="3"/>
        <v>34</v>
      </c>
    </row>
    <row r="1114">
      <c r="A1114" s="4" t="s">
        <v>63</v>
      </c>
      <c r="B1114" s="2" t="s">
        <v>18</v>
      </c>
      <c r="C1114" s="2" t="s">
        <v>31</v>
      </c>
      <c r="D1114" s="2" t="s">
        <v>32</v>
      </c>
      <c r="E1114" s="2" t="s">
        <v>33</v>
      </c>
      <c r="F1114" s="5">
        <v>119132.0</v>
      </c>
      <c r="G1114" s="5">
        <v>3466.0</v>
      </c>
      <c r="H1114" s="5">
        <v>0.0291</v>
      </c>
      <c r="I1114" s="5">
        <v>2.19</v>
      </c>
      <c r="J1114" s="5">
        <v>7590.54</v>
      </c>
      <c r="K1114" s="5">
        <v>261.0</v>
      </c>
      <c r="L1114" s="5">
        <v>29.08</v>
      </c>
      <c r="M1114" s="5">
        <v>30598.06</v>
      </c>
      <c r="N1114" s="5">
        <v>4.03</v>
      </c>
      <c r="O1114" s="6">
        <f t="shared" si="1"/>
        <v>29.08252874</v>
      </c>
      <c r="P1114" s="6" t="str">
        <f t="shared" si="2"/>
        <v>Post-Shift</v>
      </c>
      <c r="Q1114" s="3">
        <f t="shared" si="3"/>
        <v>46</v>
      </c>
    </row>
    <row r="1115">
      <c r="A1115" s="4">
        <v>45417.0</v>
      </c>
      <c r="B1115" s="2" t="s">
        <v>18</v>
      </c>
      <c r="C1115" s="2" t="s">
        <v>27</v>
      </c>
      <c r="D1115" s="2" t="s">
        <v>45</v>
      </c>
      <c r="E1115" s="2" t="s">
        <v>36</v>
      </c>
      <c r="F1115" s="5">
        <v>43634.0</v>
      </c>
      <c r="G1115" s="5">
        <v>1937.0</v>
      </c>
      <c r="H1115" s="5">
        <v>0.0444</v>
      </c>
      <c r="I1115" s="5">
        <v>2.38</v>
      </c>
      <c r="J1115" s="5">
        <v>4610.06</v>
      </c>
      <c r="K1115" s="5">
        <v>58.0</v>
      </c>
      <c r="L1115" s="5">
        <v>79.48</v>
      </c>
      <c r="M1115" s="5">
        <v>15065.19</v>
      </c>
      <c r="N1115" s="5">
        <v>3.27</v>
      </c>
      <c r="O1115" s="6">
        <f t="shared" si="1"/>
        <v>79.4837931</v>
      </c>
      <c r="P1115" s="6" t="str">
        <f t="shared" si="2"/>
        <v>Baseline</v>
      </c>
      <c r="Q1115" s="3">
        <f t="shared" si="3"/>
        <v>19</v>
      </c>
    </row>
    <row r="1116">
      <c r="A1116" s="4" t="s">
        <v>186</v>
      </c>
      <c r="B1116" s="2" t="s">
        <v>38</v>
      </c>
      <c r="C1116" s="2" t="s">
        <v>31</v>
      </c>
      <c r="D1116" s="2" t="s">
        <v>20</v>
      </c>
      <c r="E1116" s="2" t="s">
        <v>30</v>
      </c>
      <c r="F1116" s="5">
        <v>198899.0</v>
      </c>
      <c r="G1116" s="5">
        <v>2923.0</v>
      </c>
      <c r="H1116" s="5">
        <v>0.0147</v>
      </c>
      <c r="I1116" s="5">
        <v>1.97</v>
      </c>
      <c r="J1116" s="5">
        <v>5758.31</v>
      </c>
      <c r="K1116" s="5">
        <v>95.0</v>
      </c>
      <c r="L1116" s="5">
        <v>60.61</v>
      </c>
      <c r="M1116" s="5">
        <v>3750.0</v>
      </c>
      <c r="N1116" s="5">
        <v>0.65</v>
      </c>
      <c r="O1116" s="6">
        <f t="shared" si="1"/>
        <v>60.61378947</v>
      </c>
      <c r="P1116" s="6" t="str">
        <f t="shared" si="2"/>
        <v>Post-Shift</v>
      </c>
      <c r="Q1116" s="3">
        <f t="shared" si="3"/>
        <v>26</v>
      </c>
    </row>
    <row r="1117">
      <c r="A1117" s="4" t="s">
        <v>225</v>
      </c>
      <c r="B1117" s="2" t="s">
        <v>38</v>
      </c>
      <c r="C1117" s="2" t="s">
        <v>27</v>
      </c>
      <c r="D1117" s="2" t="s">
        <v>32</v>
      </c>
      <c r="E1117" s="2" t="s">
        <v>33</v>
      </c>
      <c r="F1117" s="5">
        <v>143383.0</v>
      </c>
      <c r="G1117" s="5">
        <v>3412.0</v>
      </c>
      <c r="H1117" s="5">
        <v>0.0238</v>
      </c>
      <c r="I1117" s="5">
        <v>1.02</v>
      </c>
      <c r="J1117" s="5">
        <v>3480.24</v>
      </c>
      <c r="K1117" s="5">
        <v>117.0</v>
      </c>
      <c r="L1117" s="5">
        <v>29.75</v>
      </c>
      <c r="M1117" s="5">
        <v>19100.2</v>
      </c>
      <c r="N1117" s="5">
        <v>5.49</v>
      </c>
      <c r="O1117" s="6">
        <f t="shared" si="1"/>
        <v>29.74564103</v>
      </c>
      <c r="P1117" s="6" t="str">
        <f t="shared" si="2"/>
        <v>Post-Shift</v>
      </c>
      <c r="Q1117" s="3">
        <f t="shared" si="3"/>
        <v>20</v>
      </c>
    </row>
    <row r="1118">
      <c r="A1118" s="4">
        <v>45445.0</v>
      </c>
      <c r="B1118" s="2" t="s">
        <v>38</v>
      </c>
      <c r="C1118" s="2" t="s">
        <v>27</v>
      </c>
      <c r="D1118" s="2" t="s">
        <v>45</v>
      </c>
      <c r="E1118" s="2" t="s">
        <v>21</v>
      </c>
      <c r="F1118" s="5">
        <v>92469.0</v>
      </c>
      <c r="G1118" s="5">
        <v>2487.0</v>
      </c>
      <c r="H1118" s="5">
        <v>0.0269</v>
      </c>
      <c r="I1118" s="5">
        <v>0.6</v>
      </c>
      <c r="J1118" s="5">
        <v>1492.2</v>
      </c>
      <c r="K1118" s="5">
        <v>48.0</v>
      </c>
      <c r="L1118" s="5">
        <v>31.09</v>
      </c>
      <c r="M1118" s="5">
        <v>14164.35</v>
      </c>
      <c r="N1118" s="5">
        <v>9.49</v>
      </c>
      <c r="O1118" s="6">
        <f t="shared" si="1"/>
        <v>31.0875</v>
      </c>
      <c r="P1118" s="6" t="str">
        <f t="shared" si="2"/>
        <v>Baseline</v>
      </c>
      <c r="Q1118" s="3">
        <f t="shared" si="3"/>
        <v>6</v>
      </c>
    </row>
    <row r="1119">
      <c r="A1119" s="4">
        <v>45546.0</v>
      </c>
      <c r="B1119" s="2" t="s">
        <v>18</v>
      </c>
      <c r="C1119" s="2" t="s">
        <v>31</v>
      </c>
      <c r="D1119" s="2" t="s">
        <v>32</v>
      </c>
      <c r="E1119" s="2" t="s">
        <v>33</v>
      </c>
      <c r="F1119" s="5">
        <v>30852.0</v>
      </c>
      <c r="G1119" s="5">
        <v>684.0</v>
      </c>
      <c r="H1119" s="5">
        <v>0.0222</v>
      </c>
      <c r="I1119" s="5">
        <v>1.59</v>
      </c>
      <c r="J1119" s="5">
        <v>1087.56</v>
      </c>
      <c r="K1119" s="5">
        <v>11.0</v>
      </c>
      <c r="L1119" s="5">
        <v>98.87</v>
      </c>
      <c r="M1119" s="5">
        <v>2813.84</v>
      </c>
      <c r="N1119" s="5">
        <v>2.59</v>
      </c>
      <c r="O1119" s="6">
        <f t="shared" si="1"/>
        <v>98.86909091</v>
      </c>
      <c r="P1119" s="6" t="str">
        <f t="shared" si="2"/>
        <v>Post-Shift</v>
      </c>
      <c r="Q1119" s="3">
        <f t="shared" si="3"/>
        <v>45</v>
      </c>
    </row>
    <row r="1120">
      <c r="A1120" s="4" t="s">
        <v>63</v>
      </c>
      <c r="B1120" s="2" t="s">
        <v>38</v>
      </c>
      <c r="C1120" s="2" t="s">
        <v>19</v>
      </c>
      <c r="D1120" s="2" t="s">
        <v>29</v>
      </c>
      <c r="E1120" s="2" t="s">
        <v>33</v>
      </c>
      <c r="F1120" s="5">
        <v>87565.0</v>
      </c>
      <c r="G1120" s="5">
        <v>3213.0</v>
      </c>
      <c r="H1120" s="5">
        <v>0.0367</v>
      </c>
      <c r="I1120" s="5">
        <v>2.2</v>
      </c>
      <c r="J1120" s="5">
        <v>7068.6</v>
      </c>
      <c r="K1120" s="5">
        <v>106.0</v>
      </c>
      <c r="L1120" s="5">
        <v>66.68</v>
      </c>
      <c r="M1120" s="5">
        <v>13715.98</v>
      </c>
      <c r="N1120" s="5">
        <v>1.94</v>
      </c>
      <c r="O1120" s="6">
        <f t="shared" si="1"/>
        <v>66.68490566</v>
      </c>
      <c r="P1120" s="6" t="str">
        <f t="shared" si="2"/>
        <v>Post-Shift</v>
      </c>
      <c r="Q1120" s="3">
        <f t="shared" si="3"/>
        <v>46</v>
      </c>
    </row>
    <row r="1121">
      <c r="A1121" s="4">
        <v>45608.0</v>
      </c>
      <c r="B1121" s="2" t="s">
        <v>18</v>
      </c>
      <c r="C1121" s="2" t="s">
        <v>31</v>
      </c>
      <c r="D1121" s="2" t="s">
        <v>24</v>
      </c>
      <c r="E1121" s="2" t="s">
        <v>25</v>
      </c>
      <c r="F1121" s="5">
        <v>154058.0</v>
      </c>
      <c r="G1121" s="5">
        <v>3728.0</v>
      </c>
      <c r="H1121" s="5">
        <v>0.0242</v>
      </c>
      <c r="I1121" s="5">
        <v>2.46</v>
      </c>
      <c r="J1121" s="5">
        <v>9170.88</v>
      </c>
      <c r="K1121" s="5">
        <v>125.0</v>
      </c>
      <c r="L1121" s="5">
        <v>73.37</v>
      </c>
      <c r="M1121" s="5">
        <v>7520.81</v>
      </c>
      <c r="N1121" s="5">
        <v>0.82</v>
      </c>
      <c r="O1121" s="6">
        <f t="shared" si="1"/>
        <v>73.36704</v>
      </c>
      <c r="P1121" s="6" t="str">
        <f t="shared" si="2"/>
        <v>Post-Shift</v>
      </c>
      <c r="Q1121" s="3">
        <f t="shared" si="3"/>
        <v>50</v>
      </c>
    </row>
    <row r="1122">
      <c r="A1122" s="4" t="s">
        <v>237</v>
      </c>
      <c r="B1122" s="2" t="s">
        <v>18</v>
      </c>
      <c r="C1122" s="2" t="s">
        <v>41</v>
      </c>
      <c r="D1122" s="2" t="s">
        <v>32</v>
      </c>
      <c r="E1122" s="2" t="s">
        <v>56</v>
      </c>
      <c r="F1122" s="5">
        <v>160579.0</v>
      </c>
      <c r="G1122" s="5">
        <v>7804.0</v>
      </c>
      <c r="H1122" s="5">
        <v>0.0486</v>
      </c>
      <c r="I1122" s="5">
        <v>1.36</v>
      </c>
      <c r="J1122" s="5">
        <v>10613.44</v>
      </c>
      <c r="K1122" s="5">
        <v>193.0</v>
      </c>
      <c r="L1122" s="5">
        <v>54.99</v>
      </c>
      <c r="M1122" s="5">
        <v>9996.49</v>
      </c>
      <c r="N1122" s="5">
        <v>0.94</v>
      </c>
      <c r="O1122" s="6">
        <f t="shared" si="1"/>
        <v>54.9919171</v>
      </c>
      <c r="P1122" s="6" t="str">
        <f t="shared" si="2"/>
        <v>Post-Shift</v>
      </c>
      <c r="Q1122" s="3">
        <f t="shared" si="3"/>
        <v>24</v>
      </c>
    </row>
    <row r="1123">
      <c r="A1123" s="4" t="s">
        <v>256</v>
      </c>
      <c r="B1123" s="2" t="s">
        <v>23</v>
      </c>
      <c r="C1123" s="2" t="s">
        <v>19</v>
      </c>
      <c r="D1123" s="2" t="s">
        <v>32</v>
      </c>
      <c r="E1123" s="2" t="s">
        <v>21</v>
      </c>
      <c r="F1123" s="5">
        <v>34076.0</v>
      </c>
      <c r="G1123" s="5">
        <v>1363.0</v>
      </c>
      <c r="H1123" s="5">
        <v>0.04</v>
      </c>
      <c r="I1123" s="5">
        <v>1.14</v>
      </c>
      <c r="J1123" s="5">
        <v>1553.82</v>
      </c>
      <c r="K1123" s="5">
        <v>16.0</v>
      </c>
      <c r="L1123" s="5">
        <v>97.11</v>
      </c>
      <c r="M1123" s="5">
        <v>2219.67</v>
      </c>
      <c r="N1123" s="5">
        <v>1.43</v>
      </c>
      <c r="O1123" s="6">
        <f t="shared" si="1"/>
        <v>97.11375</v>
      </c>
      <c r="P1123" s="6" t="str">
        <f t="shared" si="2"/>
        <v>Post-Shift</v>
      </c>
      <c r="Q1123" s="3">
        <f t="shared" si="3"/>
        <v>43</v>
      </c>
    </row>
    <row r="1124">
      <c r="A1124" s="4" t="s">
        <v>257</v>
      </c>
      <c r="B1124" s="2" t="s">
        <v>23</v>
      </c>
      <c r="C1124" s="2" t="s">
        <v>31</v>
      </c>
      <c r="D1124" s="2" t="s">
        <v>29</v>
      </c>
      <c r="E1124" s="2" t="s">
        <v>33</v>
      </c>
      <c r="F1124" s="5">
        <v>37261.0</v>
      </c>
      <c r="G1124" s="5">
        <v>1591.0</v>
      </c>
      <c r="H1124" s="5">
        <v>0.0427</v>
      </c>
      <c r="I1124" s="5">
        <v>1.08</v>
      </c>
      <c r="J1124" s="5">
        <v>1718.28</v>
      </c>
      <c r="K1124" s="5">
        <v>40.0</v>
      </c>
      <c r="L1124" s="5">
        <v>42.96</v>
      </c>
      <c r="M1124" s="5">
        <v>8930.04</v>
      </c>
      <c r="N1124" s="5">
        <v>5.2</v>
      </c>
      <c r="O1124" s="6">
        <f t="shared" si="1"/>
        <v>42.957</v>
      </c>
      <c r="P1124" s="6" t="str">
        <f t="shared" si="2"/>
        <v>Post-Shift</v>
      </c>
      <c r="Q1124" s="3">
        <f t="shared" si="3"/>
        <v>22</v>
      </c>
    </row>
    <row r="1125">
      <c r="A1125" s="4" t="s">
        <v>241</v>
      </c>
      <c r="B1125" s="2" t="s">
        <v>38</v>
      </c>
      <c r="C1125" s="2" t="s">
        <v>31</v>
      </c>
      <c r="D1125" s="2" t="s">
        <v>20</v>
      </c>
      <c r="E1125" s="2" t="s">
        <v>30</v>
      </c>
      <c r="F1125" s="5">
        <v>178553.0</v>
      </c>
      <c r="G1125" s="5">
        <v>7213.0</v>
      </c>
      <c r="H1125" s="5">
        <v>0.0404</v>
      </c>
      <c r="I1125" s="5">
        <v>2.28</v>
      </c>
      <c r="J1125" s="5">
        <v>16445.64</v>
      </c>
      <c r="K1125" s="5">
        <v>556.0</v>
      </c>
      <c r="L1125" s="5">
        <v>29.58</v>
      </c>
      <c r="M1125" s="5">
        <v>50559.85</v>
      </c>
      <c r="N1125" s="5">
        <v>3.07</v>
      </c>
      <c r="O1125" s="6">
        <f t="shared" si="1"/>
        <v>29.57848921</v>
      </c>
      <c r="P1125" s="6" t="str">
        <f t="shared" si="2"/>
        <v>Post-Shift</v>
      </c>
      <c r="Q1125" s="3">
        <f t="shared" si="3"/>
        <v>7</v>
      </c>
    </row>
    <row r="1126">
      <c r="A1126" s="4">
        <v>45446.0</v>
      </c>
      <c r="B1126" s="2" t="s">
        <v>38</v>
      </c>
      <c r="C1126" s="2" t="s">
        <v>19</v>
      </c>
      <c r="D1126" s="2" t="s">
        <v>29</v>
      </c>
      <c r="E1126" s="2" t="s">
        <v>58</v>
      </c>
      <c r="F1126" s="5">
        <v>132390.0</v>
      </c>
      <c r="G1126" s="5">
        <v>2780.0</v>
      </c>
      <c r="H1126" s="5">
        <v>0.021</v>
      </c>
      <c r="I1126" s="5">
        <v>1.01</v>
      </c>
      <c r="J1126" s="5">
        <v>2807.8</v>
      </c>
      <c r="K1126" s="5">
        <v>133.0</v>
      </c>
      <c r="L1126" s="5">
        <v>21.11</v>
      </c>
      <c r="M1126" s="5">
        <v>39444.5</v>
      </c>
      <c r="N1126" s="5">
        <v>14.05</v>
      </c>
      <c r="O1126" s="6">
        <f t="shared" si="1"/>
        <v>21.1112782</v>
      </c>
      <c r="P1126" s="6" t="str">
        <f t="shared" si="2"/>
        <v>Baseline</v>
      </c>
      <c r="Q1126" s="3">
        <f t="shared" si="3"/>
        <v>10</v>
      </c>
    </row>
    <row r="1127">
      <c r="A1127" s="4" t="s">
        <v>168</v>
      </c>
      <c r="B1127" s="2" t="s">
        <v>23</v>
      </c>
      <c r="C1127" s="2" t="s">
        <v>19</v>
      </c>
      <c r="D1127" s="2" t="s">
        <v>29</v>
      </c>
      <c r="E1127" s="2" t="s">
        <v>58</v>
      </c>
      <c r="F1127" s="5">
        <v>166446.0</v>
      </c>
      <c r="G1127" s="5">
        <v>7822.0</v>
      </c>
      <c r="H1127" s="5">
        <v>0.047</v>
      </c>
      <c r="I1127" s="5">
        <v>1.15</v>
      </c>
      <c r="J1127" s="5">
        <v>8995.3</v>
      </c>
      <c r="K1127" s="5">
        <v>218.0</v>
      </c>
      <c r="L1127" s="5">
        <v>41.26</v>
      </c>
      <c r="M1127" s="5">
        <v>21100.54</v>
      </c>
      <c r="N1127" s="5">
        <v>2.35</v>
      </c>
      <c r="O1127" s="6">
        <f t="shared" si="1"/>
        <v>41.26284404</v>
      </c>
      <c r="P1127" s="6" t="str">
        <f t="shared" si="2"/>
        <v>Post-Shift</v>
      </c>
      <c r="Q1127" s="3">
        <f t="shared" si="3"/>
        <v>33</v>
      </c>
    </row>
    <row r="1128">
      <c r="A1128" s="4" t="s">
        <v>247</v>
      </c>
      <c r="B1128" s="2" t="s">
        <v>23</v>
      </c>
      <c r="C1128" s="2" t="s">
        <v>31</v>
      </c>
      <c r="D1128" s="2" t="s">
        <v>24</v>
      </c>
      <c r="E1128" s="2" t="s">
        <v>33</v>
      </c>
      <c r="F1128" s="5">
        <v>158807.0</v>
      </c>
      <c r="G1128" s="5">
        <v>5859.0</v>
      </c>
      <c r="H1128" s="5">
        <v>0.0369</v>
      </c>
      <c r="I1128" s="5">
        <v>0.57</v>
      </c>
      <c r="J1128" s="5">
        <v>3339.63</v>
      </c>
      <c r="K1128" s="5">
        <v>73.0</v>
      </c>
      <c r="L1128" s="5">
        <v>45.75</v>
      </c>
      <c r="M1128" s="5">
        <v>7304.51</v>
      </c>
      <c r="N1128" s="5">
        <v>2.19</v>
      </c>
      <c r="O1128" s="6">
        <f t="shared" si="1"/>
        <v>45.74835616</v>
      </c>
      <c r="P1128" s="6" t="str">
        <f t="shared" si="2"/>
        <v>Post-Shift</v>
      </c>
      <c r="Q1128" s="3">
        <f t="shared" si="3"/>
        <v>44</v>
      </c>
    </row>
    <row r="1129">
      <c r="A1129" s="4" t="s">
        <v>210</v>
      </c>
      <c r="B1129" s="2" t="s">
        <v>38</v>
      </c>
      <c r="C1129" s="2" t="s">
        <v>27</v>
      </c>
      <c r="D1129" s="2" t="s">
        <v>24</v>
      </c>
      <c r="E1129" s="2" t="s">
        <v>58</v>
      </c>
      <c r="F1129" s="5">
        <v>66265.0</v>
      </c>
      <c r="G1129" s="5">
        <v>1881.0</v>
      </c>
      <c r="H1129" s="5">
        <v>0.0284</v>
      </c>
      <c r="I1129" s="5">
        <v>2.04</v>
      </c>
      <c r="J1129" s="5">
        <v>3837.24</v>
      </c>
      <c r="K1129" s="5">
        <v>76.0</v>
      </c>
      <c r="L1129" s="5">
        <v>50.49</v>
      </c>
      <c r="M1129" s="5">
        <v>2782.02</v>
      </c>
      <c r="N1129" s="5">
        <v>0.73</v>
      </c>
      <c r="O1129" s="6">
        <f t="shared" si="1"/>
        <v>50.49</v>
      </c>
      <c r="P1129" s="6" t="str">
        <f t="shared" si="2"/>
        <v>Post-Shift</v>
      </c>
      <c r="Q1129" s="3">
        <f t="shared" si="3"/>
        <v>42</v>
      </c>
    </row>
    <row r="1130">
      <c r="A1130" s="4">
        <v>45598.0</v>
      </c>
      <c r="B1130" s="2" t="s">
        <v>18</v>
      </c>
      <c r="C1130" s="2" t="s">
        <v>19</v>
      </c>
      <c r="D1130" s="2" t="s">
        <v>32</v>
      </c>
      <c r="E1130" s="2" t="s">
        <v>25</v>
      </c>
      <c r="F1130" s="5">
        <v>137156.0</v>
      </c>
      <c r="G1130" s="5">
        <v>5253.0</v>
      </c>
      <c r="H1130" s="5">
        <v>0.0383</v>
      </c>
      <c r="I1130" s="5">
        <v>2.15</v>
      </c>
      <c r="J1130" s="5">
        <v>11293.95</v>
      </c>
      <c r="K1130" s="5">
        <v>280.0</v>
      </c>
      <c r="L1130" s="5">
        <v>40.34</v>
      </c>
      <c r="M1130" s="5">
        <v>75085.66</v>
      </c>
      <c r="N1130" s="5">
        <v>6.65</v>
      </c>
      <c r="O1130" s="6">
        <f t="shared" si="1"/>
        <v>40.33553571</v>
      </c>
      <c r="P1130" s="6" t="str">
        <f t="shared" si="2"/>
        <v>Post-Shift</v>
      </c>
      <c r="Q1130" s="3">
        <f t="shared" si="3"/>
        <v>7</v>
      </c>
    </row>
    <row r="1131">
      <c r="A1131" s="4" t="s">
        <v>73</v>
      </c>
      <c r="B1131" s="2" t="s">
        <v>18</v>
      </c>
      <c r="C1131" s="2" t="s">
        <v>31</v>
      </c>
      <c r="D1131" s="2" t="s">
        <v>20</v>
      </c>
      <c r="E1131" s="2" t="s">
        <v>56</v>
      </c>
      <c r="F1131" s="5">
        <v>123292.0</v>
      </c>
      <c r="G1131" s="5">
        <v>2527.0</v>
      </c>
      <c r="H1131" s="5">
        <v>0.0205</v>
      </c>
      <c r="I1131" s="5">
        <v>3.55</v>
      </c>
      <c r="J1131" s="5">
        <v>8970.85</v>
      </c>
      <c r="K1131" s="5">
        <v>179.0</v>
      </c>
      <c r="L1131" s="5">
        <v>50.12</v>
      </c>
      <c r="M1131" s="5">
        <v>36566.56</v>
      </c>
      <c r="N1131" s="5">
        <v>4.08</v>
      </c>
      <c r="O1131" s="6">
        <f t="shared" si="1"/>
        <v>50.11648045</v>
      </c>
      <c r="P1131" s="6" t="str">
        <f t="shared" si="2"/>
        <v>Post-Shift</v>
      </c>
      <c r="Q1131" s="3">
        <f t="shared" si="3"/>
        <v>52</v>
      </c>
    </row>
    <row r="1132">
      <c r="A1132" s="4">
        <v>45481.0</v>
      </c>
      <c r="B1132" s="2" t="s">
        <v>23</v>
      </c>
      <c r="C1132" s="2" t="s">
        <v>41</v>
      </c>
      <c r="D1132" s="2" t="s">
        <v>20</v>
      </c>
      <c r="E1132" s="2" t="s">
        <v>25</v>
      </c>
      <c r="F1132" s="5">
        <v>68642.0</v>
      </c>
      <c r="G1132" s="5">
        <v>3363.0</v>
      </c>
      <c r="H1132" s="5">
        <v>0.049</v>
      </c>
      <c r="I1132" s="5">
        <v>0.37</v>
      </c>
      <c r="J1132" s="5">
        <v>1244.31</v>
      </c>
      <c r="K1132" s="5">
        <v>37.0</v>
      </c>
      <c r="L1132" s="5">
        <v>33.63</v>
      </c>
      <c r="M1132" s="5">
        <v>8887.57</v>
      </c>
      <c r="N1132" s="5">
        <v>7.14</v>
      </c>
      <c r="O1132" s="6">
        <f t="shared" si="1"/>
        <v>33.63</v>
      </c>
      <c r="P1132" s="6" t="str">
        <f t="shared" si="2"/>
        <v>Post-Shift</v>
      </c>
      <c r="Q1132" s="3">
        <f t="shared" si="3"/>
        <v>32</v>
      </c>
    </row>
    <row r="1133">
      <c r="A1133" s="4" t="s">
        <v>74</v>
      </c>
      <c r="B1133" s="2" t="s">
        <v>18</v>
      </c>
      <c r="C1133" s="2" t="s">
        <v>31</v>
      </c>
      <c r="D1133" s="2" t="s">
        <v>32</v>
      </c>
      <c r="E1133" s="2" t="s">
        <v>36</v>
      </c>
      <c r="F1133" s="5">
        <v>147727.0</v>
      </c>
      <c r="G1133" s="5">
        <v>7534.0</v>
      </c>
      <c r="H1133" s="5">
        <v>0.051</v>
      </c>
      <c r="I1133" s="5">
        <v>2.33</v>
      </c>
      <c r="J1133" s="5">
        <v>17554.22</v>
      </c>
      <c r="K1133" s="5">
        <v>206.0</v>
      </c>
      <c r="L1133" s="5">
        <v>85.21</v>
      </c>
      <c r="M1133" s="5">
        <v>23788.98</v>
      </c>
      <c r="N1133" s="5">
        <v>1.36</v>
      </c>
      <c r="O1133" s="6">
        <f t="shared" si="1"/>
        <v>85.21466019</v>
      </c>
      <c r="P1133" s="6" t="str">
        <f t="shared" si="2"/>
        <v>Post-Shift</v>
      </c>
      <c r="Q1133" s="3">
        <f t="shared" si="3"/>
        <v>8</v>
      </c>
    </row>
    <row r="1134">
      <c r="A1134" s="4">
        <v>45568.0</v>
      </c>
      <c r="B1134" s="2" t="s">
        <v>23</v>
      </c>
      <c r="C1134" s="2" t="s">
        <v>19</v>
      </c>
      <c r="D1134" s="2" t="s">
        <v>45</v>
      </c>
      <c r="E1134" s="2" t="s">
        <v>58</v>
      </c>
      <c r="F1134" s="5">
        <v>179818.0</v>
      </c>
      <c r="G1134" s="5">
        <v>11724.0</v>
      </c>
      <c r="H1134" s="5">
        <v>0.0652</v>
      </c>
      <c r="I1134" s="5">
        <v>1.03</v>
      </c>
      <c r="J1134" s="5">
        <v>12075.72</v>
      </c>
      <c r="K1134" s="5">
        <v>880.0</v>
      </c>
      <c r="L1134" s="5">
        <v>13.72</v>
      </c>
      <c r="M1134" s="5">
        <v>242040.0</v>
      </c>
      <c r="N1134" s="5">
        <v>20.04</v>
      </c>
      <c r="O1134" s="6">
        <f t="shared" si="1"/>
        <v>13.72240909</v>
      </c>
      <c r="P1134" s="6" t="str">
        <f t="shared" si="2"/>
        <v>Post-Shift</v>
      </c>
      <c r="Q1134" s="3">
        <f t="shared" si="3"/>
        <v>11</v>
      </c>
    </row>
    <row r="1135">
      <c r="A1135" s="4" t="s">
        <v>141</v>
      </c>
      <c r="B1135" s="2" t="s">
        <v>18</v>
      </c>
      <c r="C1135" s="2" t="s">
        <v>41</v>
      </c>
      <c r="D1135" s="2" t="s">
        <v>20</v>
      </c>
      <c r="E1135" s="2" t="s">
        <v>58</v>
      </c>
      <c r="F1135" s="5">
        <v>158481.0</v>
      </c>
      <c r="G1135" s="5">
        <v>6053.0</v>
      </c>
      <c r="H1135" s="5">
        <v>0.0382</v>
      </c>
      <c r="I1135" s="5">
        <v>1.63</v>
      </c>
      <c r="J1135" s="5">
        <v>9866.39</v>
      </c>
      <c r="K1135" s="5">
        <v>116.0</v>
      </c>
      <c r="L1135" s="5">
        <v>85.06</v>
      </c>
      <c r="M1135" s="5">
        <v>30091.81</v>
      </c>
      <c r="N1135" s="5">
        <v>3.05</v>
      </c>
      <c r="O1135" s="6">
        <f t="shared" si="1"/>
        <v>85.05508621</v>
      </c>
      <c r="P1135" s="6" t="str">
        <f t="shared" si="2"/>
        <v>Post-Shift</v>
      </c>
      <c r="Q1135" s="3">
        <f t="shared" si="3"/>
        <v>43</v>
      </c>
    </row>
    <row r="1136">
      <c r="A1136" s="4">
        <v>45571.0</v>
      </c>
      <c r="B1136" s="2" t="s">
        <v>23</v>
      </c>
      <c r="C1136" s="2" t="s">
        <v>19</v>
      </c>
      <c r="D1136" s="2" t="s">
        <v>20</v>
      </c>
      <c r="E1136" s="2" t="s">
        <v>56</v>
      </c>
      <c r="F1136" s="5">
        <v>12784.0</v>
      </c>
      <c r="G1136" s="5">
        <v>1055.0</v>
      </c>
      <c r="H1136" s="5">
        <v>0.0826</v>
      </c>
      <c r="I1136" s="5">
        <v>0.38</v>
      </c>
      <c r="J1136" s="5">
        <v>400.9</v>
      </c>
      <c r="K1136" s="5">
        <v>67.0</v>
      </c>
      <c r="L1136" s="5">
        <v>5.98</v>
      </c>
      <c r="M1136" s="5">
        <v>12031.35</v>
      </c>
      <c r="N1136" s="5">
        <v>30.01</v>
      </c>
      <c r="O1136" s="6">
        <f t="shared" si="1"/>
        <v>5.98358209</v>
      </c>
      <c r="P1136" s="6" t="str">
        <f t="shared" si="2"/>
        <v>Post-Shift</v>
      </c>
      <c r="Q1136" s="3">
        <f t="shared" si="3"/>
        <v>24</v>
      </c>
    </row>
    <row r="1137">
      <c r="A1137" s="4">
        <v>45608.0</v>
      </c>
      <c r="B1137" s="2" t="s">
        <v>38</v>
      </c>
      <c r="C1137" s="2" t="s">
        <v>27</v>
      </c>
      <c r="D1137" s="2" t="s">
        <v>24</v>
      </c>
      <c r="E1137" s="2" t="s">
        <v>58</v>
      </c>
      <c r="F1137" s="5">
        <v>117169.0</v>
      </c>
      <c r="G1137" s="5">
        <v>3304.0</v>
      </c>
      <c r="H1137" s="5">
        <v>0.0282</v>
      </c>
      <c r="I1137" s="5">
        <v>1.27</v>
      </c>
      <c r="J1137" s="5">
        <v>4196.08</v>
      </c>
      <c r="K1137" s="5">
        <v>83.0</v>
      </c>
      <c r="L1137" s="5">
        <v>50.56</v>
      </c>
      <c r="M1137" s="5">
        <v>20949.79</v>
      </c>
      <c r="N1137" s="5">
        <v>4.99</v>
      </c>
      <c r="O1137" s="6">
        <f t="shared" si="1"/>
        <v>50.55518072</v>
      </c>
      <c r="P1137" s="6" t="str">
        <f t="shared" si="2"/>
        <v>Post-Shift</v>
      </c>
      <c r="Q1137" s="3">
        <f t="shared" si="3"/>
        <v>50</v>
      </c>
    </row>
    <row r="1138">
      <c r="A1138" s="4" t="s">
        <v>143</v>
      </c>
      <c r="B1138" s="2" t="s">
        <v>38</v>
      </c>
      <c r="C1138" s="2" t="s">
        <v>27</v>
      </c>
      <c r="D1138" s="2" t="s">
        <v>24</v>
      </c>
      <c r="E1138" s="2" t="s">
        <v>33</v>
      </c>
      <c r="F1138" s="5">
        <v>190928.0</v>
      </c>
      <c r="G1138" s="5">
        <v>5078.0</v>
      </c>
      <c r="H1138" s="5">
        <v>0.0266</v>
      </c>
      <c r="I1138" s="5">
        <v>1.45</v>
      </c>
      <c r="J1138" s="5">
        <v>7363.1</v>
      </c>
      <c r="K1138" s="5">
        <v>186.0</v>
      </c>
      <c r="L1138" s="5">
        <v>39.59</v>
      </c>
      <c r="M1138" s="5">
        <v>47430.11</v>
      </c>
      <c r="N1138" s="5">
        <v>6.44</v>
      </c>
      <c r="O1138" s="6">
        <f t="shared" si="1"/>
        <v>39.58655914</v>
      </c>
      <c r="P1138" s="6" t="str">
        <f t="shared" si="2"/>
        <v>Post-Shift</v>
      </c>
      <c r="Q1138" s="3">
        <f t="shared" si="3"/>
        <v>3</v>
      </c>
    </row>
    <row r="1139">
      <c r="A1139" s="4">
        <v>45638.0</v>
      </c>
      <c r="B1139" s="2" t="s">
        <v>18</v>
      </c>
      <c r="C1139" s="2" t="s">
        <v>19</v>
      </c>
      <c r="D1139" s="2" t="s">
        <v>45</v>
      </c>
      <c r="E1139" s="2" t="s">
        <v>56</v>
      </c>
      <c r="F1139" s="5">
        <v>38512.0</v>
      </c>
      <c r="G1139" s="5">
        <v>1840.0</v>
      </c>
      <c r="H1139" s="5">
        <v>0.0478</v>
      </c>
      <c r="I1139" s="5">
        <v>1.34</v>
      </c>
      <c r="J1139" s="5">
        <v>2465.6</v>
      </c>
      <c r="K1139" s="5">
        <v>53.0</v>
      </c>
      <c r="L1139" s="5">
        <v>46.52</v>
      </c>
      <c r="M1139" s="5">
        <v>3324.76</v>
      </c>
      <c r="N1139" s="5">
        <v>1.35</v>
      </c>
      <c r="O1139" s="6">
        <f t="shared" si="1"/>
        <v>46.52075472</v>
      </c>
      <c r="P1139" s="6" t="str">
        <f t="shared" si="2"/>
        <v>Post-Shift</v>
      </c>
      <c r="Q1139" s="3">
        <f t="shared" si="3"/>
        <v>50</v>
      </c>
    </row>
    <row r="1140">
      <c r="A1140" s="4">
        <v>45598.0</v>
      </c>
      <c r="B1140" s="2" t="s">
        <v>38</v>
      </c>
      <c r="C1140" s="2" t="s">
        <v>27</v>
      </c>
      <c r="D1140" s="2" t="s">
        <v>32</v>
      </c>
      <c r="E1140" s="2" t="s">
        <v>21</v>
      </c>
      <c r="F1140" s="5">
        <v>92986.0</v>
      </c>
      <c r="G1140" s="5">
        <v>2082.0</v>
      </c>
      <c r="H1140" s="5">
        <v>0.0224</v>
      </c>
      <c r="I1140" s="5">
        <v>1.73</v>
      </c>
      <c r="J1140" s="5">
        <v>3601.86</v>
      </c>
      <c r="K1140" s="5">
        <v>108.0</v>
      </c>
      <c r="L1140" s="5">
        <v>33.35</v>
      </c>
      <c r="M1140" s="5">
        <v>6838.55</v>
      </c>
      <c r="N1140" s="5">
        <v>1.9</v>
      </c>
      <c r="O1140" s="6">
        <f t="shared" si="1"/>
        <v>33.35055556</v>
      </c>
      <c r="P1140" s="6" t="str">
        <f t="shared" si="2"/>
        <v>Post-Shift</v>
      </c>
      <c r="Q1140" s="3">
        <f t="shared" si="3"/>
        <v>7</v>
      </c>
    </row>
    <row r="1141">
      <c r="A1141" s="4" t="s">
        <v>79</v>
      </c>
      <c r="B1141" s="2" t="s">
        <v>38</v>
      </c>
      <c r="C1141" s="2" t="s">
        <v>19</v>
      </c>
      <c r="D1141" s="2" t="s">
        <v>29</v>
      </c>
      <c r="E1141" s="2" t="s">
        <v>21</v>
      </c>
      <c r="F1141" s="5">
        <v>80589.0</v>
      </c>
      <c r="G1141" s="5">
        <v>1160.0</v>
      </c>
      <c r="H1141" s="5">
        <v>0.0144</v>
      </c>
      <c r="I1141" s="5">
        <v>0.95</v>
      </c>
      <c r="J1141" s="5">
        <v>1102.0</v>
      </c>
      <c r="K1141" s="5">
        <v>75.0</v>
      </c>
      <c r="L1141" s="5">
        <v>14.69</v>
      </c>
      <c r="M1141" s="5">
        <v>21781.43</v>
      </c>
      <c r="N1141" s="5">
        <v>19.77</v>
      </c>
      <c r="O1141" s="6">
        <f t="shared" si="1"/>
        <v>14.69333333</v>
      </c>
      <c r="P1141" s="6" t="str">
        <f t="shared" si="2"/>
        <v>Post-Shift</v>
      </c>
      <c r="Q1141" s="3">
        <f t="shared" si="3"/>
        <v>18</v>
      </c>
    </row>
    <row r="1142">
      <c r="A1142" s="4" t="s">
        <v>129</v>
      </c>
      <c r="B1142" s="2" t="s">
        <v>38</v>
      </c>
      <c r="C1142" s="2" t="s">
        <v>41</v>
      </c>
      <c r="D1142" s="2" t="s">
        <v>24</v>
      </c>
      <c r="E1142" s="2" t="s">
        <v>56</v>
      </c>
      <c r="F1142" s="5">
        <v>140475.0</v>
      </c>
      <c r="G1142" s="5">
        <v>5043.0</v>
      </c>
      <c r="H1142" s="5">
        <v>0.0359</v>
      </c>
      <c r="I1142" s="5">
        <v>2.04</v>
      </c>
      <c r="J1142" s="5">
        <v>10287.72</v>
      </c>
      <c r="K1142" s="5">
        <v>327.0</v>
      </c>
      <c r="L1142" s="5">
        <v>31.46</v>
      </c>
      <c r="M1142" s="5">
        <v>96504.49</v>
      </c>
      <c r="N1142" s="5">
        <v>9.38</v>
      </c>
      <c r="O1142" s="6">
        <f t="shared" si="1"/>
        <v>31.46091743</v>
      </c>
      <c r="P1142" s="6" t="str">
        <f t="shared" si="2"/>
        <v>Post-Shift</v>
      </c>
      <c r="Q1142" s="3">
        <f t="shared" si="3"/>
        <v>29</v>
      </c>
    </row>
    <row r="1143">
      <c r="A1143" s="4">
        <v>45544.0</v>
      </c>
      <c r="B1143" s="2" t="s">
        <v>18</v>
      </c>
      <c r="C1143" s="2" t="s">
        <v>27</v>
      </c>
      <c r="D1143" s="2" t="s">
        <v>45</v>
      </c>
      <c r="E1143" s="2" t="s">
        <v>36</v>
      </c>
      <c r="F1143" s="5">
        <v>103348.0</v>
      </c>
      <c r="G1143" s="5">
        <v>1891.0</v>
      </c>
      <c r="H1143" s="5">
        <v>0.0183</v>
      </c>
      <c r="I1143" s="5">
        <v>1.54</v>
      </c>
      <c r="J1143" s="5">
        <v>2912.14</v>
      </c>
      <c r="K1143" s="5">
        <v>30.0</v>
      </c>
      <c r="L1143" s="5">
        <v>97.07</v>
      </c>
      <c r="M1143" s="5">
        <v>1064.02</v>
      </c>
      <c r="N1143" s="5">
        <v>0.37</v>
      </c>
      <c r="O1143" s="6">
        <f t="shared" si="1"/>
        <v>97.07133333</v>
      </c>
      <c r="P1143" s="6" t="str">
        <f t="shared" si="2"/>
        <v>Post-Shift</v>
      </c>
      <c r="Q1143" s="3">
        <f t="shared" si="3"/>
        <v>37</v>
      </c>
    </row>
    <row r="1144">
      <c r="A1144" s="4" t="s">
        <v>143</v>
      </c>
      <c r="B1144" s="2" t="s">
        <v>38</v>
      </c>
      <c r="C1144" s="2" t="s">
        <v>19</v>
      </c>
      <c r="D1144" s="2" t="s">
        <v>24</v>
      </c>
      <c r="E1144" s="2" t="s">
        <v>58</v>
      </c>
      <c r="F1144" s="5">
        <v>100343.0</v>
      </c>
      <c r="G1144" s="5">
        <v>3461.0</v>
      </c>
      <c r="H1144" s="5">
        <v>0.0345</v>
      </c>
      <c r="I1144" s="5">
        <v>1.08</v>
      </c>
      <c r="J1144" s="5">
        <v>3737.88</v>
      </c>
      <c r="K1144" s="5">
        <v>259.0</v>
      </c>
      <c r="L1144" s="5">
        <v>14.43</v>
      </c>
      <c r="M1144" s="5">
        <v>51755.16</v>
      </c>
      <c r="N1144" s="5">
        <v>13.85</v>
      </c>
      <c r="O1144" s="6">
        <f t="shared" si="1"/>
        <v>14.43196911</v>
      </c>
      <c r="P1144" s="6" t="str">
        <f t="shared" si="2"/>
        <v>Post-Shift</v>
      </c>
      <c r="Q1144" s="3">
        <f t="shared" si="3"/>
        <v>3</v>
      </c>
    </row>
    <row r="1145">
      <c r="A1145" s="4" t="s">
        <v>209</v>
      </c>
      <c r="B1145" s="2" t="s">
        <v>23</v>
      </c>
      <c r="C1145" s="2" t="s">
        <v>41</v>
      </c>
      <c r="D1145" s="2" t="s">
        <v>32</v>
      </c>
      <c r="E1145" s="2" t="s">
        <v>21</v>
      </c>
      <c r="F1145" s="5">
        <v>179039.0</v>
      </c>
      <c r="G1145" s="5">
        <v>14663.0</v>
      </c>
      <c r="H1145" s="5">
        <v>0.0819</v>
      </c>
      <c r="I1145" s="5">
        <v>1.36</v>
      </c>
      <c r="J1145" s="5">
        <v>19941.68</v>
      </c>
      <c r="K1145" s="5">
        <v>1151.0</v>
      </c>
      <c r="L1145" s="5">
        <v>17.33</v>
      </c>
      <c r="M1145" s="5">
        <v>281693.3</v>
      </c>
      <c r="N1145" s="5">
        <v>14.13</v>
      </c>
      <c r="O1145" s="6">
        <f t="shared" si="1"/>
        <v>17.32552563</v>
      </c>
      <c r="P1145" s="6" t="str">
        <f t="shared" si="2"/>
        <v>Post-Shift</v>
      </c>
      <c r="Q1145" s="3">
        <f t="shared" si="3"/>
        <v>30</v>
      </c>
    </row>
    <row r="1146">
      <c r="A1146" s="4" t="s">
        <v>245</v>
      </c>
      <c r="B1146" s="2" t="s">
        <v>38</v>
      </c>
      <c r="C1146" s="2" t="s">
        <v>41</v>
      </c>
      <c r="D1146" s="2" t="s">
        <v>32</v>
      </c>
      <c r="E1146" s="2" t="s">
        <v>25</v>
      </c>
      <c r="F1146" s="5">
        <v>13100.0</v>
      </c>
      <c r="G1146" s="5">
        <v>186.0</v>
      </c>
      <c r="H1146" s="5">
        <v>0.0142</v>
      </c>
      <c r="I1146" s="5">
        <v>1.5</v>
      </c>
      <c r="J1146" s="5">
        <v>279.0</v>
      </c>
      <c r="K1146" s="5">
        <v>10.0</v>
      </c>
      <c r="L1146" s="5">
        <v>27.9</v>
      </c>
      <c r="M1146" s="5">
        <v>1347.41</v>
      </c>
      <c r="N1146" s="5">
        <v>4.83</v>
      </c>
      <c r="O1146" s="6">
        <f t="shared" si="1"/>
        <v>27.9</v>
      </c>
      <c r="P1146" s="6" t="str">
        <f t="shared" si="2"/>
        <v>Post-Shift</v>
      </c>
      <c r="Q1146" s="3">
        <f t="shared" si="3"/>
        <v>16</v>
      </c>
    </row>
    <row r="1147">
      <c r="A1147" s="4">
        <v>45384.0</v>
      </c>
      <c r="B1147" s="2" t="s">
        <v>18</v>
      </c>
      <c r="C1147" s="2" t="s">
        <v>19</v>
      </c>
      <c r="D1147" s="2" t="s">
        <v>24</v>
      </c>
      <c r="E1147" s="2" t="s">
        <v>21</v>
      </c>
      <c r="F1147" s="5">
        <v>167198.0</v>
      </c>
      <c r="G1147" s="5">
        <v>5132.0</v>
      </c>
      <c r="H1147" s="5">
        <v>0.0307</v>
      </c>
      <c r="I1147" s="5">
        <v>2.31</v>
      </c>
      <c r="J1147" s="5">
        <v>11854.92</v>
      </c>
      <c r="K1147" s="5">
        <v>120.0</v>
      </c>
      <c r="L1147" s="5">
        <v>98.79</v>
      </c>
      <c r="M1147" s="5">
        <v>19874.34</v>
      </c>
      <c r="N1147" s="5">
        <v>1.68</v>
      </c>
      <c r="O1147" s="6">
        <f t="shared" si="1"/>
        <v>98.791</v>
      </c>
      <c r="P1147" s="6" t="str">
        <f t="shared" si="2"/>
        <v>Baseline</v>
      </c>
      <c r="Q1147" s="3">
        <f t="shared" si="3"/>
        <v>6</v>
      </c>
    </row>
    <row r="1148">
      <c r="A1148" s="4">
        <v>45513.0</v>
      </c>
      <c r="B1148" s="2" t="s">
        <v>38</v>
      </c>
      <c r="C1148" s="2" t="s">
        <v>27</v>
      </c>
      <c r="D1148" s="2" t="s">
        <v>45</v>
      </c>
      <c r="E1148" s="2" t="s">
        <v>25</v>
      </c>
      <c r="F1148" s="5">
        <v>35755.0</v>
      </c>
      <c r="G1148" s="5">
        <v>672.0</v>
      </c>
      <c r="H1148" s="5">
        <v>0.0188</v>
      </c>
      <c r="I1148" s="5">
        <v>2.01</v>
      </c>
      <c r="J1148" s="5">
        <v>1350.72</v>
      </c>
      <c r="K1148" s="5">
        <v>39.0</v>
      </c>
      <c r="L1148" s="5">
        <v>34.63</v>
      </c>
      <c r="M1148" s="5">
        <v>1411.24</v>
      </c>
      <c r="N1148" s="5">
        <v>1.04</v>
      </c>
      <c r="O1148" s="6">
        <f t="shared" si="1"/>
        <v>34.63384615</v>
      </c>
      <c r="P1148" s="6" t="str">
        <f t="shared" si="2"/>
        <v>Post-Shift</v>
      </c>
      <c r="Q1148" s="3">
        <f t="shared" si="3"/>
        <v>37</v>
      </c>
    </row>
    <row r="1149">
      <c r="A1149" s="4" t="s">
        <v>40</v>
      </c>
      <c r="B1149" s="2" t="s">
        <v>18</v>
      </c>
      <c r="C1149" s="2" t="s">
        <v>41</v>
      </c>
      <c r="D1149" s="2" t="s">
        <v>45</v>
      </c>
      <c r="E1149" s="2" t="s">
        <v>33</v>
      </c>
      <c r="F1149" s="5">
        <v>177420.0</v>
      </c>
      <c r="G1149" s="5">
        <v>7646.0</v>
      </c>
      <c r="H1149" s="5">
        <v>0.0431</v>
      </c>
      <c r="I1149" s="5">
        <v>2.42</v>
      </c>
      <c r="J1149" s="5">
        <v>18503.32</v>
      </c>
      <c r="K1149" s="5">
        <v>478.0</v>
      </c>
      <c r="L1149" s="5">
        <v>38.71</v>
      </c>
      <c r="M1149" s="5">
        <v>110744.5</v>
      </c>
      <c r="N1149" s="5">
        <v>5.99</v>
      </c>
      <c r="O1149" s="6">
        <f t="shared" si="1"/>
        <v>38.70987448</v>
      </c>
      <c r="P1149" s="6" t="str">
        <f t="shared" si="2"/>
        <v>Post-Shift</v>
      </c>
      <c r="Q1149" s="3">
        <f t="shared" si="3"/>
        <v>16</v>
      </c>
    </row>
    <row r="1150">
      <c r="A1150" s="4" t="s">
        <v>249</v>
      </c>
      <c r="B1150" s="2" t="s">
        <v>18</v>
      </c>
      <c r="C1150" s="2" t="s">
        <v>19</v>
      </c>
      <c r="D1150" s="2" t="s">
        <v>32</v>
      </c>
      <c r="E1150" s="2" t="s">
        <v>21</v>
      </c>
      <c r="F1150" s="5">
        <v>195067.0</v>
      </c>
      <c r="G1150" s="5">
        <v>9129.0</v>
      </c>
      <c r="H1150" s="5">
        <v>0.0468</v>
      </c>
      <c r="I1150" s="5">
        <v>0.95</v>
      </c>
      <c r="J1150" s="5">
        <v>8672.55</v>
      </c>
      <c r="K1150" s="5">
        <v>128.0</v>
      </c>
      <c r="L1150" s="5">
        <v>67.75</v>
      </c>
      <c r="M1150" s="5">
        <v>24006.78</v>
      </c>
      <c r="N1150" s="5">
        <v>2.77</v>
      </c>
      <c r="O1150" s="6">
        <f t="shared" si="1"/>
        <v>67.75429688</v>
      </c>
      <c r="P1150" s="6" t="str">
        <f t="shared" si="2"/>
        <v>Post-Shift</v>
      </c>
      <c r="Q1150" s="3">
        <f t="shared" si="3"/>
        <v>8</v>
      </c>
    </row>
    <row r="1151">
      <c r="A1151" s="4" t="s">
        <v>236</v>
      </c>
      <c r="B1151" s="2" t="s">
        <v>18</v>
      </c>
      <c r="C1151" s="2" t="s">
        <v>41</v>
      </c>
      <c r="D1151" s="2" t="s">
        <v>24</v>
      </c>
      <c r="E1151" s="2" t="s">
        <v>30</v>
      </c>
      <c r="F1151" s="5">
        <v>44435.0</v>
      </c>
      <c r="G1151" s="5">
        <v>1453.0</v>
      </c>
      <c r="H1151" s="5">
        <v>0.0327</v>
      </c>
      <c r="I1151" s="5">
        <v>2.68</v>
      </c>
      <c r="J1151" s="5">
        <v>3894.04</v>
      </c>
      <c r="K1151" s="5">
        <v>48.0</v>
      </c>
      <c r="L1151" s="5">
        <v>81.13</v>
      </c>
      <c r="M1151" s="5">
        <v>6345.04</v>
      </c>
      <c r="N1151" s="5">
        <v>1.63</v>
      </c>
      <c r="O1151" s="6">
        <f t="shared" si="1"/>
        <v>81.12583333</v>
      </c>
      <c r="P1151" s="6" t="str">
        <f t="shared" si="2"/>
        <v>Post-Shift</v>
      </c>
      <c r="Q1151" s="3">
        <f t="shared" si="3"/>
        <v>5</v>
      </c>
    </row>
    <row r="1152">
      <c r="A1152" s="4">
        <v>45386.0</v>
      </c>
      <c r="B1152" s="2" t="s">
        <v>23</v>
      </c>
      <c r="C1152" s="2" t="s">
        <v>19</v>
      </c>
      <c r="D1152" s="2" t="s">
        <v>32</v>
      </c>
      <c r="E1152" s="2" t="s">
        <v>21</v>
      </c>
      <c r="F1152" s="5">
        <v>57448.0</v>
      </c>
      <c r="G1152" s="5">
        <v>2338.0</v>
      </c>
      <c r="H1152" s="5">
        <v>0.0407</v>
      </c>
      <c r="I1152" s="5">
        <v>0.5</v>
      </c>
      <c r="J1152" s="5">
        <v>1169.0</v>
      </c>
      <c r="K1152" s="5">
        <v>143.0</v>
      </c>
      <c r="L1152" s="5">
        <v>8.17</v>
      </c>
      <c r="M1152" s="5">
        <v>25654.56</v>
      </c>
      <c r="N1152" s="5">
        <v>21.95</v>
      </c>
      <c r="O1152" s="6">
        <f t="shared" si="1"/>
        <v>8.174825175</v>
      </c>
      <c r="P1152" s="6" t="str">
        <f t="shared" si="2"/>
        <v>Baseline</v>
      </c>
      <c r="Q1152" s="3">
        <f t="shared" si="3"/>
        <v>14</v>
      </c>
    </row>
    <row r="1153">
      <c r="A1153" s="4">
        <v>45444.0</v>
      </c>
      <c r="B1153" s="2" t="s">
        <v>18</v>
      </c>
      <c r="C1153" s="2" t="s">
        <v>27</v>
      </c>
      <c r="D1153" s="2" t="s">
        <v>45</v>
      </c>
      <c r="E1153" s="2" t="s">
        <v>25</v>
      </c>
      <c r="F1153" s="5">
        <v>139158.0</v>
      </c>
      <c r="G1153" s="5">
        <v>3061.0</v>
      </c>
      <c r="H1153" s="5">
        <v>0.022</v>
      </c>
      <c r="I1153" s="5">
        <v>1.27</v>
      </c>
      <c r="J1153" s="5">
        <v>3887.47</v>
      </c>
      <c r="K1153" s="5">
        <v>118.0</v>
      </c>
      <c r="L1153" s="5">
        <v>32.94</v>
      </c>
      <c r="M1153" s="5">
        <v>15835.46</v>
      </c>
      <c r="N1153" s="5">
        <v>4.07</v>
      </c>
      <c r="O1153" s="6">
        <f t="shared" si="1"/>
        <v>32.94466102</v>
      </c>
      <c r="P1153" s="6" t="str">
        <f t="shared" si="2"/>
        <v>Baseline</v>
      </c>
      <c r="Q1153" s="3">
        <f t="shared" si="3"/>
        <v>1</v>
      </c>
    </row>
    <row r="1154">
      <c r="A1154" s="4" t="s">
        <v>49</v>
      </c>
      <c r="B1154" s="2" t="s">
        <v>38</v>
      </c>
      <c r="C1154" s="2" t="s">
        <v>41</v>
      </c>
      <c r="D1154" s="2" t="s">
        <v>29</v>
      </c>
      <c r="E1154" s="2" t="s">
        <v>33</v>
      </c>
      <c r="F1154" s="5">
        <v>148463.0</v>
      </c>
      <c r="G1154" s="5">
        <v>4810.0</v>
      </c>
      <c r="H1154" s="5">
        <v>0.0324</v>
      </c>
      <c r="I1154" s="5">
        <v>2.11</v>
      </c>
      <c r="J1154" s="5">
        <v>10149.1</v>
      </c>
      <c r="K1154" s="5">
        <v>286.0</v>
      </c>
      <c r="L1154" s="5">
        <v>35.49</v>
      </c>
      <c r="M1154" s="5">
        <v>68709.26</v>
      </c>
      <c r="N1154" s="5">
        <v>6.77</v>
      </c>
      <c r="O1154" s="6">
        <f t="shared" si="1"/>
        <v>35.48636364</v>
      </c>
      <c r="P1154" s="6" t="str">
        <f t="shared" si="2"/>
        <v>Post-Shift</v>
      </c>
      <c r="Q1154" s="3">
        <f t="shared" si="3"/>
        <v>9</v>
      </c>
    </row>
    <row r="1155">
      <c r="A1155" s="4" t="s">
        <v>192</v>
      </c>
      <c r="B1155" s="2" t="s">
        <v>38</v>
      </c>
      <c r="C1155" s="2" t="s">
        <v>19</v>
      </c>
      <c r="D1155" s="2" t="s">
        <v>45</v>
      </c>
      <c r="E1155" s="2" t="s">
        <v>58</v>
      </c>
      <c r="F1155" s="5">
        <v>30123.0</v>
      </c>
      <c r="G1155" s="5">
        <v>554.0</v>
      </c>
      <c r="H1155" s="5">
        <v>0.0184</v>
      </c>
      <c r="I1155" s="5">
        <v>1.78</v>
      </c>
      <c r="J1155" s="5">
        <v>986.12</v>
      </c>
      <c r="K1155" s="5">
        <v>15.0</v>
      </c>
      <c r="L1155" s="5">
        <v>65.74</v>
      </c>
      <c r="M1155" s="5">
        <v>2874.83</v>
      </c>
      <c r="N1155" s="5">
        <v>2.92</v>
      </c>
      <c r="O1155" s="6">
        <f t="shared" si="1"/>
        <v>65.74133333</v>
      </c>
      <c r="P1155" s="6" t="str">
        <f t="shared" si="2"/>
        <v>Post-Shift</v>
      </c>
      <c r="Q1155" s="3">
        <f t="shared" si="3"/>
        <v>4</v>
      </c>
    </row>
    <row r="1156">
      <c r="A1156" s="4">
        <v>45413.0</v>
      </c>
      <c r="B1156" s="2" t="s">
        <v>38</v>
      </c>
      <c r="C1156" s="2" t="s">
        <v>31</v>
      </c>
      <c r="D1156" s="2" t="s">
        <v>45</v>
      </c>
      <c r="E1156" s="2" t="s">
        <v>30</v>
      </c>
      <c r="F1156" s="5">
        <v>139257.0</v>
      </c>
      <c r="G1156" s="5">
        <v>2631.0</v>
      </c>
      <c r="H1156" s="5">
        <v>0.0189</v>
      </c>
      <c r="I1156" s="5">
        <v>1.61</v>
      </c>
      <c r="J1156" s="5">
        <v>4235.91</v>
      </c>
      <c r="K1156" s="5">
        <v>99.0</v>
      </c>
      <c r="L1156" s="5">
        <v>42.79</v>
      </c>
      <c r="M1156" s="5">
        <v>9781.28</v>
      </c>
      <c r="N1156" s="5">
        <v>2.31</v>
      </c>
      <c r="O1156" s="6">
        <f t="shared" si="1"/>
        <v>42.7869697</v>
      </c>
      <c r="P1156" s="6" t="str">
        <f t="shared" si="2"/>
        <v>Baseline</v>
      </c>
      <c r="Q1156" s="3">
        <f t="shared" si="3"/>
        <v>1</v>
      </c>
    </row>
    <row r="1157">
      <c r="A1157" s="4">
        <v>45450.0</v>
      </c>
      <c r="B1157" s="2" t="s">
        <v>18</v>
      </c>
      <c r="C1157" s="2" t="s">
        <v>19</v>
      </c>
      <c r="D1157" s="2" t="s">
        <v>29</v>
      </c>
      <c r="E1157" s="2" t="s">
        <v>33</v>
      </c>
      <c r="F1157" s="5">
        <v>103053.0</v>
      </c>
      <c r="G1157" s="5">
        <v>2607.0</v>
      </c>
      <c r="H1157" s="5">
        <v>0.0253</v>
      </c>
      <c r="I1157" s="5">
        <v>2.19</v>
      </c>
      <c r="J1157" s="5">
        <v>5709.33</v>
      </c>
      <c r="K1157" s="5">
        <v>194.0</v>
      </c>
      <c r="L1157" s="5">
        <v>29.43</v>
      </c>
      <c r="M1157" s="5">
        <v>39533.49</v>
      </c>
      <c r="N1157" s="5">
        <v>6.92</v>
      </c>
      <c r="O1157" s="6">
        <f t="shared" si="1"/>
        <v>29.42953608</v>
      </c>
      <c r="P1157" s="6" t="str">
        <f t="shared" si="2"/>
        <v>Baseline</v>
      </c>
      <c r="Q1157" s="3">
        <f t="shared" si="3"/>
        <v>27</v>
      </c>
    </row>
    <row r="1158">
      <c r="A1158" s="4" t="s">
        <v>49</v>
      </c>
      <c r="B1158" s="2" t="s">
        <v>18</v>
      </c>
      <c r="C1158" s="2" t="s">
        <v>41</v>
      </c>
      <c r="D1158" s="2" t="s">
        <v>20</v>
      </c>
      <c r="E1158" s="2" t="s">
        <v>36</v>
      </c>
      <c r="F1158" s="5">
        <v>44140.0</v>
      </c>
      <c r="G1158" s="5">
        <v>2101.0</v>
      </c>
      <c r="H1158" s="5">
        <v>0.0476</v>
      </c>
      <c r="I1158" s="5">
        <v>1.05</v>
      </c>
      <c r="J1158" s="5">
        <v>2206.05</v>
      </c>
      <c r="K1158" s="5">
        <v>55.0</v>
      </c>
      <c r="L1158" s="5">
        <v>40.11</v>
      </c>
      <c r="M1158" s="5">
        <v>6735.72</v>
      </c>
      <c r="N1158" s="5">
        <v>3.05</v>
      </c>
      <c r="O1158" s="6">
        <f t="shared" si="1"/>
        <v>40.11</v>
      </c>
      <c r="P1158" s="6" t="str">
        <f t="shared" si="2"/>
        <v>Post-Shift</v>
      </c>
      <c r="Q1158" s="3">
        <f t="shared" si="3"/>
        <v>9</v>
      </c>
    </row>
    <row r="1159">
      <c r="A1159" s="4">
        <v>45389.0</v>
      </c>
      <c r="B1159" s="2" t="s">
        <v>38</v>
      </c>
      <c r="C1159" s="2" t="s">
        <v>41</v>
      </c>
      <c r="D1159" s="2" t="s">
        <v>32</v>
      </c>
      <c r="E1159" s="2" t="s">
        <v>56</v>
      </c>
      <c r="F1159" s="5">
        <v>88698.0</v>
      </c>
      <c r="G1159" s="5">
        <v>1073.0</v>
      </c>
      <c r="H1159" s="5">
        <v>0.0121</v>
      </c>
      <c r="I1159" s="5">
        <v>0.92</v>
      </c>
      <c r="J1159" s="5">
        <v>987.16</v>
      </c>
      <c r="K1159" s="5">
        <v>43.0</v>
      </c>
      <c r="L1159" s="5">
        <v>22.96</v>
      </c>
      <c r="M1159" s="5">
        <v>5727.99</v>
      </c>
      <c r="N1159" s="5">
        <v>5.8</v>
      </c>
      <c r="O1159" s="6">
        <f t="shared" si="1"/>
        <v>22.9572093</v>
      </c>
      <c r="P1159" s="6" t="str">
        <f t="shared" si="2"/>
        <v>Baseline</v>
      </c>
      <c r="Q1159" s="3">
        <f t="shared" si="3"/>
        <v>27</v>
      </c>
    </row>
    <row r="1160">
      <c r="A1160" s="4">
        <v>45627.0</v>
      </c>
      <c r="B1160" s="2" t="s">
        <v>38</v>
      </c>
      <c r="C1160" s="2" t="s">
        <v>41</v>
      </c>
      <c r="D1160" s="2" t="s">
        <v>24</v>
      </c>
      <c r="E1160" s="2" t="s">
        <v>36</v>
      </c>
      <c r="F1160" s="5">
        <v>182011.0</v>
      </c>
      <c r="G1160" s="5">
        <v>1911.0</v>
      </c>
      <c r="H1160" s="5">
        <v>0.0105</v>
      </c>
      <c r="I1160" s="5">
        <v>0.55</v>
      </c>
      <c r="J1160" s="5">
        <v>1051.05</v>
      </c>
      <c r="K1160" s="5">
        <v>35.0</v>
      </c>
      <c r="L1160" s="5">
        <v>30.03</v>
      </c>
      <c r="M1160" s="5">
        <v>3848.31</v>
      </c>
      <c r="N1160" s="5">
        <v>3.66</v>
      </c>
      <c r="O1160" s="6">
        <f t="shared" si="1"/>
        <v>30.03</v>
      </c>
      <c r="P1160" s="6" t="str">
        <f t="shared" si="2"/>
        <v>Post-Shift</v>
      </c>
      <c r="Q1160" s="3">
        <f t="shared" si="3"/>
        <v>2</v>
      </c>
    </row>
    <row r="1161">
      <c r="A1161" s="4" t="s">
        <v>115</v>
      </c>
      <c r="B1161" s="2" t="s">
        <v>23</v>
      </c>
      <c r="C1161" s="2" t="s">
        <v>41</v>
      </c>
      <c r="D1161" s="2" t="s">
        <v>20</v>
      </c>
      <c r="E1161" s="2" t="s">
        <v>56</v>
      </c>
      <c r="F1161" s="5">
        <v>29180.0</v>
      </c>
      <c r="G1161" s="5">
        <v>1464.0</v>
      </c>
      <c r="H1161" s="5">
        <v>0.0502</v>
      </c>
      <c r="I1161" s="5">
        <v>0.53</v>
      </c>
      <c r="J1161" s="5">
        <v>775.92</v>
      </c>
      <c r="K1161" s="5">
        <v>59.0</v>
      </c>
      <c r="L1161" s="5">
        <v>13.15</v>
      </c>
      <c r="M1161" s="5">
        <v>11729.57</v>
      </c>
      <c r="N1161" s="5">
        <v>15.12</v>
      </c>
      <c r="O1161" s="6">
        <f t="shared" si="1"/>
        <v>13.15118644</v>
      </c>
      <c r="P1161" s="6" t="str">
        <f t="shared" si="2"/>
        <v>Post-Shift</v>
      </c>
      <c r="Q1161" s="3">
        <f t="shared" si="3"/>
        <v>3</v>
      </c>
    </row>
    <row r="1162">
      <c r="A1162" s="4" t="s">
        <v>157</v>
      </c>
      <c r="B1162" s="2" t="s">
        <v>38</v>
      </c>
      <c r="C1162" s="2" t="s">
        <v>27</v>
      </c>
      <c r="D1162" s="2" t="s">
        <v>45</v>
      </c>
      <c r="E1162" s="2" t="s">
        <v>25</v>
      </c>
      <c r="F1162" s="5">
        <v>138686.0</v>
      </c>
      <c r="G1162" s="5">
        <v>2621.0</v>
      </c>
      <c r="H1162" s="5">
        <v>0.0189</v>
      </c>
      <c r="I1162" s="5">
        <v>1.52</v>
      </c>
      <c r="J1162" s="5">
        <v>3983.92</v>
      </c>
      <c r="K1162" s="5">
        <v>195.0</v>
      </c>
      <c r="L1162" s="5">
        <v>20.43</v>
      </c>
      <c r="M1162" s="5">
        <v>52398.49</v>
      </c>
      <c r="N1162" s="5">
        <v>13.15</v>
      </c>
      <c r="O1162" s="6">
        <f t="shared" si="1"/>
        <v>20.43035897</v>
      </c>
      <c r="P1162" s="6" t="str">
        <f t="shared" si="2"/>
        <v>Post-Shift</v>
      </c>
      <c r="Q1162" s="3">
        <f t="shared" si="3"/>
        <v>2</v>
      </c>
    </row>
    <row r="1163">
      <c r="A1163" s="4" t="s">
        <v>101</v>
      </c>
      <c r="B1163" s="2" t="s">
        <v>18</v>
      </c>
      <c r="C1163" s="2" t="s">
        <v>19</v>
      </c>
      <c r="D1163" s="2" t="s">
        <v>20</v>
      </c>
      <c r="E1163" s="2" t="s">
        <v>56</v>
      </c>
      <c r="F1163" s="5">
        <v>181976.0</v>
      </c>
      <c r="G1163" s="5">
        <v>7752.0</v>
      </c>
      <c r="H1163" s="5">
        <v>0.0426</v>
      </c>
      <c r="I1163" s="5">
        <v>1.72</v>
      </c>
      <c r="J1163" s="5">
        <v>13333.44</v>
      </c>
      <c r="K1163" s="5">
        <v>255.0</v>
      </c>
      <c r="L1163" s="5">
        <v>52.29</v>
      </c>
      <c r="M1163" s="5">
        <v>75491.87</v>
      </c>
      <c r="N1163" s="5">
        <v>5.66</v>
      </c>
      <c r="O1163" s="6">
        <f t="shared" si="1"/>
        <v>52.288</v>
      </c>
      <c r="P1163" s="6" t="str">
        <f t="shared" si="2"/>
        <v>Post-Shift</v>
      </c>
      <c r="Q1163" s="3">
        <f t="shared" si="3"/>
        <v>39</v>
      </c>
    </row>
    <row r="1164">
      <c r="A1164" s="4">
        <v>45577.0</v>
      </c>
      <c r="B1164" s="2" t="s">
        <v>18</v>
      </c>
      <c r="C1164" s="2" t="s">
        <v>31</v>
      </c>
      <c r="D1164" s="2" t="s">
        <v>29</v>
      </c>
      <c r="E1164" s="2" t="s">
        <v>25</v>
      </c>
      <c r="F1164" s="5">
        <v>103902.0</v>
      </c>
      <c r="G1164" s="5">
        <v>3927.0</v>
      </c>
      <c r="H1164" s="5">
        <v>0.0378</v>
      </c>
      <c r="I1164" s="5">
        <v>1.16</v>
      </c>
      <c r="J1164" s="5">
        <v>4555.32</v>
      </c>
      <c r="K1164" s="5">
        <v>215.0</v>
      </c>
      <c r="L1164" s="5">
        <v>21.19</v>
      </c>
      <c r="M1164" s="5">
        <v>37434.38</v>
      </c>
      <c r="N1164" s="5">
        <v>8.22</v>
      </c>
      <c r="O1164" s="6">
        <f t="shared" si="1"/>
        <v>21.18753488</v>
      </c>
      <c r="P1164" s="6" t="str">
        <f t="shared" si="2"/>
        <v>Post-Shift</v>
      </c>
      <c r="Q1164" s="3">
        <f t="shared" si="3"/>
        <v>50</v>
      </c>
    </row>
    <row r="1165">
      <c r="A1165" s="4">
        <v>45416.0</v>
      </c>
      <c r="B1165" s="2" t="s">
        <v>23</v>
      </c>
      <c r="C1165" s="2" t="s">
        <v>41</v>
      </c>
      <c r="D1165" s="2" t="s">
        <v>32</v>
      </c>
      <c r="E1165" s="2" t="s">
        <v>36</v>
      </c>
      <c r="F1165" s="5">
        <v>132081.0</v>
      </c>
      <c r="G1165" s="5">
        <v>10051.0</v>
      </c>
      <c r="H1165" s="5">
        <v>0.0761</v>
      </c>
      <c r="I1165" s="5">
        <v>0.71</v>
      </c>
      <c r="J1165" s="5">
        <v>7136.21</v>
      </c>
      <c r="K1165" s="5">
        <v>229.0</v>
      </c>
      <c r="L1165" s="5">
        <v>31.16</v>
      </c>
      <c r="M1165" s="5">
        <v>62261.45</v>
      </c>
      <c r="N1165" s="5">
        <v>8.72</v>
      </c>
      <c r="O1165" s="6">
        <f t="shared" si="1"/>
        <v>31.16248908</v>
      </c>
      <c r="P1165" s="6" t="str">
        <f t="shared" si="2"/>
        <v>Baseline</v>
      </c>
      <c r="Q1165" s="3">
        <f t="shared" si="3"/>
        <v>14</v>
      </c>
    </row>
    <row r="1166">
      <c r="A1166" s="4" t="s">
        <v>213</v>
      </c>
      <c r="B1166" s="2" t="s">
        <v>38</v>
      </c>
      <c r="C1166" s="2" t="s">
        <v>27</v>
      </c>
      <c r="D1166" s="2" t="s">
        <v>45</v>
      </c>
      <c r="E1166" s="2" t="s">
        <v>25</v>
      </c>
      <c r="F1166" s="5">
        <v>25077.0</v>
      </c>
      <c r="G1166" s="5">
        <v>341.0</v>
      </c>
      <c r="H1166" s="5">
        <v>0.0136</v>
      </c>
      <c r="I1166" s="5">
        <v>0.42</v>
      </c>
      <c r="J1166" s="5">
        <v>143.22</v>
      </c>
      <c r="K1166" s="5">
        <v>5.0</v>
      </c>
      <c r="L1166" s="5">
        <v>28.64</v>
      </c>
      <c r="M1166" s="5">
        <v>779.52</v>
      </c>
      <c r="N1166" s="5">
        <v>5.44</v>
      </c>
      <c r="O1166" s="6">
        <f t="shared" si="1"/>
        <v>28.644</v>
      </c>
      <c r="P1166" s="6" t="str">
        <f t="shared" si="2"/>
        <v>Post-Shift</v>
      </c>
      <c r="Q1166" s="3">
        <f t="shared" si="3"/>
        <v>20</v>
      </c>
    </row>
    <row r="1167">
      <c r="A1167" s="4" t="s">
        <v>171</v>
      </c>
      <c r="B1167" s="2" t="s">
        <v>38</v>
      </c>
      <c r="C1167" s="2" t="s">
        <v>27</v>
      </c>
      <c r="D1167" s="2" t="s">
        <v>45</v>
      </c>
      <c r="E1167" s="2" t="s">
        <v>21</v>
      </c>
      <c r="F1167" s="5">
        <v>113987.0</v>
      </c>
      <c r="G1167" s="5">
        <v>3579.0</v>
      </c>
      <c r="H1167" s="5">
        <v>0.0314</v>
      </c>
      <c r="I1167" s="5">
        <v>0.76</v>
      </c>
      <c r="J1167" s="5">
        <v>2720.04</v>
      </c>
      <c r="K1167" s="5">
        <v>229.0</v>
      </c>
      <c r="L1167" s="5">
        <v>11.88</v>
      </c>
      <c r="M1167" s="5">
        <v>31787.48</v>
      </c>
      <c r="N1167" s="5">
        <v>11.69</v>
      </c>
      <c r="O1167" s="6">
        <f t="shared" si="1"/>
        <v>11.87790393</v>
      </c>
      <c r="P1167" s="6" t="str">
        <f t="shared" si="2"/>
        <v>Post-Shift</v>
      </c>
      <c r="Q1167" s="3">
        <f t="shared" si="3"/>
        <v>16</v>
      </c>
    </row>
    <row r="1168">
      <c r="A1168" s="4" t="s">
        <v>258</v>
      </c>
      <c r="B1168" s="2" t="s">
        <v>38</v>
      </c>
      <c r="C1168" s="2" t="s">
        <v>31</v>
      </c>
      <c r="D1168" s="2" t="s">
        <v>20</v>
      </c>
      <c r="E1168" s="2" t="s">
        <v>36</v>
      </c>
      <c r="F1168" s="5">
        <v>14705.0</v>
      </c>
      <c r="G1168" s="5">
        <v>363.0</v>
      </c>
      <c r="H1168" s="5">
        <v>0.0247</v>
      </c>
      <c r="I1168" s="5">
        <v>0.94</v>
      </c>
      <c r="J1168" s="5">
        <v>341.22</v>
      </c>
      <c r="K1168" s="5">
        <v>4.0</v>
      </c>
      <c r="L1168" s="5">
        <v>85.31</v>
      </c>
      <c r="M1168" s="5">
        <v>738.37</v>
      </c>
      <c r="N1168" s="5">
        <v>2.16</v>
      </c>
      <c r="O1168" s="6">
        <f t="shared" si="1"/>
        <v>85.305</v>
      </c>
      <c r="P1168" s="6" t="str">
        <f t="shared" si="2"/>
        <v>Post-Shift</v>
      </c>
      <c r="Q1168" s="3">
        <f t="shared" si="3"/>
        <v>12</v>
      </c>
    </row>
    <row r="1169">
      <c r="A1169" s="4">
        <v>45328.0</v>
      </c>
      <c r="B1169" s="2" t="s">
        <v>18</v>
      </c>
      <c r="C1169" s="2" t="s">
        <v>19</v>
      </c>
      <c r="D1169" s="2" t="s">
        <v>24</v>
      </c>
      <c r="E1169" s="2" t="s">
        <v>30</v>
      </c>
      <c r="F1169" s="5">
        <v>16955.0</v>
      </c>
      <c r="G1169" s="5">
        <v>440.0</v>
      </c>
      <c r="H1169" s="5">
        <v>0.026</v>
      </c>
      <c r="I1169" s="5">
        <v>1.82</v>
      </c>
      <c r="J1169" s="5">
        <v>800.8</v>
      </c>
      <c r="K1169" s="5">
        <v>30.0</v>
      </c>
      <c r="L1169" s="5">
        <v>26.69</v>
      </c>
      <c r="M1169" s="5">
        <v>3274.44</v>
      </c>
      <c r="N1169" s="5">
        <v>4.09</v>
      </c>
      <c r="O1169" s="6">
        <f t="shared" si="1"/>
        <v>26.69333333</v>
      </c>
      <c r="P1169" s="6" t="str">
        <f t="shared" si="2"/>
        <v>Baseline</v>
      </c>
      <c r="Q1169" s="3">
        <f t="shared" si="3"/>
        <v>23</v>
      </c>
    </row>
    <row r="1170">
      <c r="A1170" s="4" t="s">
        <v>101</v>
      </c>
      <c r="B1170" s="2" t="s">
        <v>38</v>
      </c>
      <c r="C1170" s="2" t="s">
        <v>41</v>
      </c>
      <c r="D1170" s="2" t="s">
        <v>45</v>
      </c>
      <c r="E1170" s="2" t="s">
        <v>56</v>
      </c>
      <c r="F1170" s="5">
        <v>127082.0</v>
      </c>
      <c r="G1170" s="5">
        <v>2452.0</v>
      </c>
      <c r="H1170" s="5">
        <v>0.0193</v>
      </c>
      <c r="I1170" s="5">
        <v>2.18</v>
      </c>
      <c r="J1170" s="5">
        <v>5345.36</v>
      </c>
      <c r="K1170" s="5">
        <v>53.0</v>
      </c>
      <c r="L1170" s="5">
        <v>100.86</v>
      </c>
      <c r="M1170" s="5">
        <v>8408.45</v>
      </c>
      <c r="N1170" s="5">
        <v>1.57</v>
      </c>
      <c r="O1170" s="6">
        <f t="shared" si="1"/>
        <v>100.8558491</v>
      </c>
      <c r="P1170" s="6" t="str">
        <f t="shared" si="2"/>
        <v>Post-Shift</v>
      </c>
      <c r="Q1170" s="3">
        <f t="shared" si="3"/>
        <v>39</v>
      </c>
    </row>
    <row r="1171">
      <c r="A1171" s="4" t="s">
        <v>216</v>
      </c>
      <c r="B1171" s="2" t="s">
        <v>38</v>
      </c>
      <c r="C1171" s="2" t="s">
        <v>27</v>
      </c>
      <c r="D1171" s="2" t="s">
        <v>45</v>
      </c>
      <c r="E1171" s="2" t="s">
        <v>56</v>
      </c>
      <c r="F1171" s="5">
        <v>57299.0</v>
      </c>
      <c r="G1171" s="5">
        <v>1186.0</v>
      </c>
      <c r="H1171" s="5">
        <v>0.0207</v>
      </c>
      <c r="I1171" s="5">
        <v>1.35</v>
      </c>
      <c r="J1171" s="5">
        <v>1601.1</v>
      </c>
      <c r="K1171" s="5">
        <v>25.0</v>
      </c>
      <c r="L1171" s="5">
        <v>64.04</v>
      </c>
      <c r="M1171" s="5">
        <v>5383.27</v>
      </c>
      <c r="N1171" s="5">
        <v>3.36</v>
      </c>
      <c r="O1171" s="6">
        <f t="shared" si="1"/>
        <v>64.044</v>
      </c>
      <c r="P1171" s="6" t="str">
        <f t="shared" si="2"/>
        <v>Post-Shift</v>
      </c>
      <c r="Q1171" s="3">
        <f t="shared" si="3"/>
        <v>7</v>
      </c>
    </row>
    <row r="1172">
      <c r="A1172" s="4" t="s">
        <v>194</v>
      </c>
      <c r="B1172" s="2" t="s">
        <v>38</v>
      </c>
      <c r="C1172" s="2" t="s">
        <v>31</v>
      </c>
      <c r="D1172" s="2" t="s">
        <v>20</v>
      </c>
      <c r="E1172" s="2" t="s">
        <v>58</v>
      </c>
      <c r="F1172" s="5">
        <v>134986.0</v>
      </c>
      <c r="G1172" s="5">
        <v>4346.0</v>
      </c>
      <c r="H1172" s="5">
        <v>0.0322</v>
      </c>
      <c r="I1172" s="5">
        <v>1.63</v>
      </c>
      <c r="J1172" s="5">
        <v>7083.98</v>
      </c>
      <c r="K1172" s="5">
        <v>149.0</v>
      </c>
      <c r="L1172" s="5">
        <v>47.54</v>
      </c>
      <c r="M1172" s="5">
        <v>28100.44</v>
      </c>
      <c r="N1172" s="5">
        <v>3.97</v>
      </c>
      <c r="O1172" s="6">
        <f t="shared" si="1"/>
        <v>47.54348993</v>
      </c>
      <c r="P1172" s="6" t="str">
        <f t="shared" si="2"/>
        <v>Post-Shift</v>
      </c>
      <c r="Q1172" s="3">
        <f t="shared" si="3"/>
        <v>25</v>
      </c>
    </row>
    <row r="1173">
      <c r="A1173" s="4" t="s">
        <v>211</v>
      </c>
      <c r="B1173" s="2" t="s">
        <v>18</v>
      </c>
      <c r="C1173" s="2" t="s">
        <v>41</v>
      </c>
      <c r="D1173" s="2" t="s">
        <v>45</v>
      </c>
      <c r="E1173" s="2" t="s">
        <v>58</v>
      </c>
      <c r="F1173" s="5">
        <v>12546.0</v>
      </c>
      <c r="G1173" s="5">
        <v>725.0</v>
      </c>
      <c r="H1173" s="5">
        <v>0.0578</v>
      </c>
      <c r="I1173" s="5">
        <v>1.45</v>
      </c>
      <c r="J1173" s="5">
        <v>1051.25</v>
      </c>
      <c r="K1173" s="5">
        <v>43.0</v>
      </c>
      <c r="L1173" s="5">
        <v>24.45</v>
      </c>
      <c r="M1173" s="5">
        <v>2269.78</v>
      </c>
      <c r="N1173" s="5">
        <v>2.16</v>
      </c>
      <c r="O1173" s="6">
        <f t="shared" si="1"/>
        <v>24.44767442</v>
      </c>
      <c r="P1173" s="6" t="str">
        <f t="shared" si="2"/>
        <v>Post-Shift</v>
      </c>
      <c r="Q1173" s="3">
        <f t="shared" si="3"/>
        <v>30</v>
      </c>
    </row>
    <row r="1174">
      <c r="A1174" s="4" t="s">
        <v>147</v>
      </c>
      <c r="B1174" s="2" t="s">
        <v>18</v>
      </c>
      <c r="C1174" s="2" t="s">
        <v>19</v>
      </c>
      <c r="D1174" s="2" t="s">
        <v>20</v>
      </c>
      <c r="E1174" s="2" t="s">
        <v>36</v>
      </c>
      <c r="F1174" s="5">
        <v>161554.0</v>
      </c>
      <c r="G1174" s="5">
        <v>6252.0</v>
      </c>
      <c r="H1174" s="5">
        <v>0.0387</v>
      </c>
      <c r="I1174" s="5">
        <v>3.05</v>
      </c>
      <c r="J1174" s="5">
        <v>19068.6</v>
      </c>
      <c r="K1174" s="5">
        <v>361.0</v>
      </c>
      <c r="L1174" s="5">
        <v>52.82</v>
      </c>
      <c r="M1174" s="5">
        <v>57767.01</v>
      </c>
      <c r="N1174" s="5">
        <v>3.03</v>
      </c>
      <c r="O1174" s="6">
        <f t="shared" si="1"/>
        <v>52.82160665</v>
      </c>
      <c r="P1174" s="6" t="str">
        <f t="shared" si="2"/>
        <v>Post-Shift</v>
      </c>
      <c r="Q1174" s="3">
        <f t="shared" si="3"/>
        <v>22</v>
      </c>
    </row>
    <row r="1175">
      <c r="A1175" s="4" t="s">
        <v>110</v>
      </c>
      <c r="B1175" s="2" t="s">
        <v>38</v>
      </c>
      <c r="C1175" s="2" t="s">
        <v>19</v>
      </c>
      <c r="D1175" s="2" t="s">
        <v>29</v>
      </c>
      <c r="E1175" s="2" t="s">
        <v>56</v>
      </c>
      <c r="F1175" s="5">
        <v>27499.0</v>
      </c>
      <c r="G1175" s="5">
        <v>728.0</v>
      </c>
      <c r="H1175" s="5">
        <v>0.0265</v>
      </c>
      <c r="I1175" s="5">
        <v>1.07</v>
      </c>
      <c r="J1175" s="5">
        <v>778.96</v>
      </c>
      <c r="K1175" s="5">
        <v>17.0</v>
      </c>
      <c r="L1175" s="5">
        <v>45.82</v>
      </c>
      <c r="M1175" s="5">
        <v>3860.75</v>
      </c>
      <c r="N1175" s="5">
        <v>4.96</v>
      </c>
      <c r="O1175" s="6">
        <f t="shared" si="1"/>
        <v>45.82117647</v>
      </c>
      <c r="P1175" s="6" t="str">
        <f t="shared" si="2"/>
        <v>Post-Shift</v>
      </c>
      <c r="Q1175" s="3">
        <f t="shared" si="3"/>
        <v>4</v>
      </c>
    </row>
    <row r="1176">
      <c r="A1176" s="4" t="s">
        <v>138</v>
      </c>
      <c r="B1176" s="2" t="s">
        <v>23</v>
      </c>
      <c r="C1176" s="2" t="s">
        <v>41</v>
      </c>
      <c r="D1176" s="2" t="s">
        <v>24</v>
      </c>
      <c r="E1176" s="2" t="s">
        <v>56</v>
      </c>
      <c r="F1176" s="5">
        <v>153936.0</v>
      </c>
      <c r="G1176" s="5">
        <v>5895.0</v>
      </c>
      <c r="H1176" s="5">
        <v>0.0383</v>
      </c>
      <c r="I1176" s="5">
        <v>0.89</v>
      </c>
      <c r="J1176" s="5">
        <v>5246.55</v>
      </c>
      <c r="K1176" s="5">
        <v>373.0</v>
      </c>
      <c r="L1176" s="5">
        <v>14.07</v>
      </c>
      <c r="M1176" s="5">
        <v>85268.07</v>
      </c>
      <c r="N1176" s="5">
        <v>16.25</v>
      </c>
      <c r="O1176" s="6">
        <f t="shared" si="1"/>
        <v>14.06581769</v>
      </c>
      <c r="P1176" s="6" t="str">
        <f t="shared" si="2"/>
        <v>Post-Shift</v>
      </c>
      <c r="Q1176" s="3">
        <f t="shared" si="3"/>
        <v>51</v>
      </c>
    </row>
    <row r="1177">
      <c r="A1177" s="4">
        <v>45477.0</v>
      </c>
      <c r="B1177" s="2" t="s">
        <v>23</v>
      </c>
      <c r="C1177" s="2" t="s">
        <v>41</v>
      </c>
      <c r="D1177" s="2" t="s">
        <v>45</v>
      </c>
      <c r="E1177" s="2" t="s">
        <v>33</v>
      </c>
      <c r="F1177" s="5">
        <v>41232.0</v>
      </c>
      <c r="G1177" s="5">
        <v>1859.0</v>
      </c>
      <c r="H1177" s="5">
        <v>0.0451</v>
      </c>
      <c r="I1177" s="5">
        <v>1.06</v>
      </c>
      <c r="J1177" s="5">
        <v>1970.54</v>
      </c>
      <c r="K1177" s="5">
        <v>126.0</v>
      </c>
      <c r="L1177" s="5">
        <v>15.64</v>
      </c>
      <c r="M1177" s="5">
        <v>22069.99</v>
      </c>
      <c r="N1177" s="5">
        <v>11.2</v>
      </c>
      <c r="O1177" s="6">
        <f t="shared" si="1"/>
        <v>15.63920635</v>
      </c>
      <c r="P1177" s="6" t="str">
        <f t="shared" si="2"/>
        <v>Post-Shift</v>
      </c>
      <c r="Q1177" s="3">
        <f t="shared" si="3"/>
        <v>15</v>
      </c>
    </row>
    <row r="1178">
      <c r="A1178" s="4" t="s">
        <v>241</v>
      </c>
      <c r="B1178" s="2" t="s">
        <v>38</v>
      </c>
      <c r="C1178" s="2" t="s">
        <v>27</v>
      </c>
      <c r="D1178" s="2" t="s">
        <v>29</v>
      </c>
      <c r="E1178" s="2" t="s">
        <v>36</v>
      </c>
      <c r="F1178" s="5">
        <v>133088.0</v>
      </c>
      <c r="G1178" s="5">
        <v>5243.0</v>
      </c>
      <c r="H1178" s="5">
        <v>0.0394</v>
      </c>
      <c r="I1178" s="5">
        <v>1.68</v>
      </c>
      <c r="J1178" s="5">
        <v>8808.24</v>
      </c>
      <c r="K1178" s="5">
        <v>226.0</v>
      </c>
      <c r="L1178" s="5">
        <v>38.97</v>
      </c>
      <c r="M1178" s="5">
        <v>48389.85</v>
      </c>
      <c r="N1178" s="5">
        <v>5.49</v>
      </c>
      <c r="O1178" s="6">
        <f t="shared" si="1"/>
        <v>38.97451327</v>
      </c>
      <c r="P1178" s="6" t="str">
        <f t="shared" si="2"/>
        <v>Post-Shift</v>
      </c>
      <c r="Q1178" s="3">
        <f t="shared" si="3"/>
        <v>7</v>
      </c>
    </row>
    <row r="1179">
      <c r="A1179" s="4" t="s">
        <v>139</v>
      </c>
      <c r="B1179" s="2" t="s">
        <v>38</v>
      </c>
      <c r="C1179" s="2" t="s">
        <v>19</v>
      </c>
      <c r="D1179" s="2" t="s">
        <v>32</v>
      </c>
      <c r="E1179" s="2" t="s">
        <v>58</v>
      </c>
      <c r="F1179" s="5">
        <v>33082.0</v>
      </c>
      <c r="G1179" s="5">
        <v>340.0</v>
      </c>
      <c r="H1179" s="5">
        <v>0.0103</v>
      </c>
      <c r="I1179" s="5">
        <v>1.86</v>
      </c>
      <c r="J1179" s="5">
        <v>632.4</v>
      </c>
      <c r="K1179" s="5">
        <v>9.0</v>
      </c>
      <c r="L1179" s="5">
        <v>70.27</v>
      </c>
      <c r="M1179" s="5">
        <v>2116.06</v>
      </c>
      <c r="N1179" s="5">
        <v>3.35</v>
      </c>
      <c r="O1179" s="6">
        <f t="shared" si="1"/>
        <v>70.26666667</v>
      </c>
      <c r="P1179" s="6" t="str">
        <f t="shared" si="2"/>
        <v>Post-Shift</v>
      </c>
      <c r="Q1179" s="3">
        <f t="shared" si="3"/>
        <v>16</v>
      </c>
    </row>
    <row r="1180">
      <c r="A1180" s="4" t="s">
        <v>171</v>
      </c>
      <c r="B1180" s="2" t="s">
        <v>38</v>
      </c>
      <c r="C1180" s="2" t="s">
        <v>41</v>
      </c>
      <c r="D1180" s="2" t="s">
        <v>20</v>
      </c>
      <c r="E1180" s="2" t="s">
        <v>33</v>
      </c>
      <c r="F1180" s="5">
        <v>179504.0</v>
      </c>
      <c r="G1180" s="5">
        <v>5026.0</v>
      </c>
      <c r="H1180" s="5">
        <v>0.028</v>
      </c>
      <c r="I1180" s="5">
        <v>1.11</v>
      </c>
      <c r="J1180" s="5">
        <v>5578.86</v>
      </c>
      <c r="K1180" s="5">
        <v>203.0</v>
      </c>
      <c r="L1180" s="5">
        <v>27.48</v>
      </c>
      <c r="M1180" s="5">
        <v>10121.88</v>
      </c>
      <c r="N1180" s="5">
        <v>1.81</v>
      </c>
      <c r="O1180" s="6">
        <f t="shared" si="1"/>
        <v>27.48206897</v>
      </c>
      <c r="P1180" s="6" t="str">
        <f t="shared" si="2"/>
        <v>Post-Shift</v>
      </c>
      <c r="Q1180" s="3">
        <f t="shared" si="3"/>
        <v>16</v>
      </c>
    </row>
    <row r="1181">
      <c r="A1181" s="4">
        <v>45602.0</v>
      </c>
      <c r="B1181" s="2" t="s">
        <v>38</v>
      </c>
      <c r="C1181" s="2" t="s">
        <v>31</v>
      </c>
      <c r="D1181" s="2" t="s">
        <v>29</v>
      </c>
      <c r="E1181" s="2" t="s">
        <v>30</v>
      </c>
      <c r="F1181" s="5">
        <v>16344.0</v>
      </c>
      <c r="G1181" s="5">
        <v>534.0</v>
      </c>
      <c r="H1181" s="5">
        <v>0.0327</v>
      </c>
      <c r="I1181" s="5">
        <v>0.9</v>
      </c>
      <c r="J1181" s="5">
        <v>480.6</v>
      </c>
      <c r="K1181" s="5">
        <v>11.0</v>
      </c>
      <c r="L1181" s="5">
        <v>43.69</v>
      </c>
      <c r="M1181" s="5">
        <v>465.35</v>
      </c>
      <c r="N1181" s="5">
        <v>0.97</v>
      </c>
      <c r="O1181" s="6">
        <f t="shared" si="1"/>
        <v>43.69090909</v>
      </c>
      <c r="P1181" s="6" t="str">
        <f t="shared" si="2"/>
        <v>Post-Shift</v>
      </c>
      <c r="Q1181" s="3">
        <f t="shared" si="3"/>
        <v>24</v>
      </c>
    </row>
    <row r="1182">
      <c r="A1182" s="4">
        <v>45415.0</v>
      </c>
      <c r="B1182" s="2" t="s">
        <v>23</v>
      </c>
      <c r="C1182" s="2" t="s">
        <v>41</v>
      </c>
      <c r="D1182" s="2" t="s">
        <v>45</v>
      </c>
      <c r="E1182" s="2" t="s">
        <v>36</v>
      </c>
      <c r="F1182" s="5">
        <v>196312.0</v>
      </c>
      <c r="G1182" s="5">
        <v>12642.0</v>
      </c>
      <c r="H1182" s="5">
        <v>0.0644</v>
      </c>
      <c r="I1182" s="5">
        <v>1.28</v>
      </c>
      <c r="J1182" s="5">
        <v>16181.76</v>
      </c>
      <c r="K1182" s="5">
        <v>584.0</v>
      </c>
      <c r="L1182" s="5">
        <v>27.71</v>
      </c>
      <c r="M1182" s="5">
        <v>148695.9</v>
      </c>
      <c r="N1182" s="5">
        <v>9.19</v>
      </c>
      <c r="O1182" s="6">
        <f t="shared" si="1"/>
        <v>27.70849315</v>
      </c>
      <c r="P1182" s="6" t="str">
        <f t="shared" si="2"/>
        <v>Baseline</v>
      </c>
      <c r="Q1182" s="3">
        <f t="shared" si="3"/>
        <v>10</v>
      </c>
    </row>
    <row r="1183">
      <c r="A1183" s="4" t="s">
        <v>198</v>
      </c>
      <c r="B1183" s="2" t="s">
        <v>23</v>
      </c>
      <c r="C1183" s="2" t="s">
        <v>31</v>
      </c>
      <c r="D1183" s="2" t="s">
        <v>45</v>
      </c>
      <c r="E1183" s="2" t="s">
        <v>30</v>
      </c>
      <c r="F1183" s="5">
        <v>17626.0</v>
      </c>
      <c r="G1183" s="5">
        <v>1113.0</v>
      </c>
      <c r="H1183" s="5">
        <v>0.0632</v>
      </c>
      <c r="I1183" s="5">
        <v>0.54</v>
      </c>
      <c r="J1183" s="5">
        <v>601.02</v>
      </c>
      <c r="K1183" s="5">
        <v>50.0</v>
      </c>
      <c r="L1183" s="5">
        <v>12.02</v>
      </c>
      <c r="M1183" s="5">
        <v>2568.51</v>
      </c>
      <c r="N1183" s="5">
        <v>4.27</v>
      </c>
      <c r="O1183" s="6">
        <f t="shared" si="1"/>
        <v>12.0204</v>
      </c>
      <c r="P1183" s="6" t="str">
        <f t="shared" si="2"/>
        <v>Post-Shift</v>
      </c>
      <c r="Q1183" s="3">
        <f t="shared" si="3"/>
        <v>44</v>
      </c>
    </row>
    <row r="1184">
      <c r="A1184" s="4" t="s">
        <v>120</v>
      </c>
      <c r="B1184" s="2" t="s">
        <v>38</v>
      </c>
      <c r="C1184" s="2" t="s">
        <v>31</v>
      </c>
      <c r="D1184" s="2" t="s">
        <v>32</v>
      </c>
      <c r="E1184" s="2" t="s">
        <v>33</v>
      </c>
      <c r="F1184" s="5">
        <v>46603.0</v>
      </c>
      <c r="G1184" s="5">
        <v>955.0</v>
      </c>
      <c r="H1184" s="5">
        <v>0.0205</v>
      </c>
      <c r="I1184" s="5">
        <v>0.69</v>
      </c>
      <c r="J1184" s="5">
        <v>658.95</v>
      </c>
      <c r="K1184" s="5">
        <v>23.0</v>
      </c>
      <c r="L1184" s="5">
        <v>28.65</v>
      </c>
      <c r="M1184" s="5">
        <v>2614.49</v>
      </c>
      <c r="N1184" s="5">
        <v>3.97</v>
      </c>
      <c r="O1184" s="6">
        <f t="shared" si="1"/>
        <v>28.65</v>
      </c>
      <c r="P1184" s="6" t="str">
        <f t="shared" si="2"/>
        <v>Post-Shift</v>
      </c>
      <c r="Q1184" s="3">
        <f t="shared" si="3"/>
        <v>21</v>
      </c>
    </row>
    <row r="1185">
      <c r="A1185" s="4" t="s">
        <v>113</v>
      </c>
      <c r="B1185" s="2" t="s">
        <v>38</v>
      </c>
      <c r="C1185" s="2" t="s">
        <v>19</v>
      </c>
      <c r="D1185" s="2" t="s">
        <v>24</v>
      </c>
      <c r="E1185" s="2" t="s">
        <v>21</v>
      </c>
      <c r="F1185" s="5">
        <v>113878.0</v>
      </c>
      <c r="G1185" s="5">
        <v>3678.0</v>
      </c>
      <c r="H1185" s="5">
        <v>0.0323</v>
      </c>
      <c r="I1185" s="5">
        <v>0.92</v>
      </c>
      <c r="J1185" s="5">
        <v>3383.76</v>
      </c>
      <c r="K1185" s="5">
        <v>216.0</v>
      </c>
      <c r="L1185" s="5">
        <v>15.67</v>
      </c>
      <c r="M1185" s="5">
        <v>62162.63</v>
      </c>
      <c r="N1185" s="5">
        <v>18.37</v>
      </c>
      <c r="O1185" s="6">
        <f t="shared" si="1"/>
        <v>15.66555556</v>
      </c>
      <c r="P1185" s="6" t="str">
        <f t="shared" si="2"/>
        <v>Post-Shift</v>
      </c>
      <c r="Q1185" s="3">
        <f t="shared" si="3"/>
        <v>5</v>
      </c>
    </row>
    <row r="1186">
      <c r="A1186" s="4" t="s">
        <v>65</v>
      </c>
      <c r="B1186" s="2" t="s">
        <v>38</v>
      </c>
      <c r="C1186" s="2" t="s">
        <v>41</v>
      </c>
      <c r="D1186" s="2" t="s">
        <v>45</v>
      </c>
      <c r="E1186" s="2" t="s">
        <v>36</v>
      </c>
      <c r="F1186" s="5">
        <v>196354.0</v>
      </c>
      <c r="G1186" s="5">
        <v>2945.0</v>
      </c>
      <c r="H1186" s="5">
        <v>0.015</v>
      </c>
      <c r="I1186" s="5">
        <v>1.11</v>
      </c>
      <c r="J1186" s="5">
        <v>3268.95</v>
      </c>
      <c r="K1186" s="5">
        <v>177.0</v>
      </c>
      <c r="L1186" s="5">
        <v>18.47</v>
      </c>
      <c r="M1186" s="5">
        <v>7478.3</v>
      </c>
      <c r="N1186" s="5">
        <v>2.29</v>
      </c>
      <c r="O1186" s="6">
        <f t="shared" si="1"/>
        <v>18.46864407</v>
      </c>
      <c r="P1186" s="6" t="str">
        <f t="shared" si="2"/>
        <v>Post-Shift</v>
      </c>
      <c r="Q1186" s="3">
        <f t="shared" si="3"/>
        <v>21</v>
      </c>
    </row>
    <row r="1187">
      <c r="A1187" s="4" t="s">
        <v>102</v>
      </c>
      <c r="B1187" s="2" t="s">
        <v>38</v>
      </c>
      <c r="C1187" s="2" t="s">
        <v>27</v>
      </c>
      <c r="D1187" s="2" t="s">
        <v>24</v>
      </c>
      <c r="E1187" s="2" t="s">
        <v>58</v>
      </c>
      <c r="F1187" s="5">
        <v>62194.0</v>
      </c>
      <c r="G1187" s="5">
        <v>2039.0</v>
      </c>
      <c r="H1187" s="5">
        <v>0.0328</v>
      </c>
      <c r="I1187" s="5">
        <v>1.84</v>
      </c>
      <c r="J1187" s="5">
        <v>3751.76</v>
      </c>
      <c r="K1187" s="5">
        <v>129.0</v>
      </c>
      <c r="L1187" s="5">
        <v>29.08</v>
      </c>
      <c r="M1187" s="5">
        <v>23854.38</v>
      </c>
      <c r="N1187" s="5">
        <v>6.36</v>
      </c>
      <c r="O1187" s="6">
        <f t="shared" si="1"/>
        <v>29.08341085</v>
      </c>
      <c r="P1187" s="6" t="str">
        <f t="shared" si="2"/>
        <v>Post-Shift</v>
      </c>
      <c r="Q1187" s="3">
        <f t="shared" si="3"/>
        <v>30</v>
      </c>
    </row>
    <row r="1188">
      <c r="A1188" s="4" t="s">
        <v>252</v>
      </c>
      <c r="B1188" s="2" t="s">
        <v>23</v>
      </c>
      <c r="C1188" s="2" t="s">
        <v>31</v>
      </c>
      <c r="D1188" s="2" t="s">
        <v>29</v>
      </c>
      <c r="E1188" s="2" t="s">
        <v>33</v>
      </c>
      <c r="F1188" s="5">
        <v>56069.0</v>
      </c>
      <c r="G1188" s="5">
        <v>2949.0</v>
      </c>
      <c r="H1188" s="5">
        <v>0.0526</v>
      </c>
      <c r="I1188" s="5">
        <v>0.85</v>
      </c>
      <c r="J1188" s="5">
        <v>2506.65</v>
      </c>
      <c r="K1188" s="5">
        <v>150.0</v>
      </c>
      <c r="L1188" s="5">
        <v>16.71</v>
      </c>
      <c r="M1188" s="5">
        <v>29064.28</v>
      </c>
      <c r="N1188" s="5">
        <v>11.59</v>
      </c>
      <c r="O1188" s="6">
        <f t="shared" si="1"/>
        <v>16.711</v>
      </c>
      <c r="P1188" s="6" t="str">
        <f t="shared" si="2"/>
        <v>Post-Shift</v>
      </c>
      <c r="Q1188" s="3">
        <f t="shared" si="3"/>
        <v>47</v>
      </c>
    </row>
    <row r="1189">
      <c r="A1189" s="4" t="s">
        <v>163</v>
      </c>
      <c r="B1189" s="2" t="s">
        <v>38</v>
      </c>
      <c r="C1189" s="2" t="s">
        <v>19</v>
      </c>
      <c r="D1189" s="2" t="s">
        <v>24</v>
      </c>
      <c r="E1189" s="2" t="s">
        <v>21</v>
      </c>
      <c r="F1189" s="5">
        <v>18706.0</v>
      </c>
      <c r="G1189" s="5">
        <v>458.0</v>
      </c>
      <c r="H1189" s="5">
        <v>0.0245</v>
      </c>
      <c r="I1189" s="5">
        <v>0.44</v>
      </c>
      <c r="J1189" s="5">
        <v>201.52</v>
      </c>
      <c r="K1189" s="5">
        <v>35.0</v>
      </c>
      <c r="L1189" s="5">
        <v>5.76</v>
      </c>
      <c r="M1189" s="5">
        <v>7330.28</v>
      </c>
      <c r="N1189" s="5">
        <v>36.37</v>
      </c>
      <c r="O1189" s="6">
        <f t="shared" si="1"/>
        <v>5.757714286</v>
      </c>
      <c r="P1189" s="6" t="str">
        <f t="shared" si="2"/>
        <v>Post-Shift</v>
      </c>
      <c r="Q1189" s="3">
        <f t="shared" si="3"/>
        <v>29</v>
      </c>
    </row>
    <row r="1190">
      <c r="A1190" s="4" t="s">
        <v>128</v>
      </c>
      <c r="B1190" s="2" t="s">
        <v>23</v>
      </c>
      <c r="C1190" s="2" t="s">
        <v>27</v>
      </c>
      <c r="D1190" s="2" t="s">
        <v>32</v>
      </c>
      <c r="E1190" s="2" t="s">
        <v>36</v>
      </c>
      <c r="F1190" s="5">
        <v>49390.0</v>
      </c>
      <c r="G1190" s="5">
        <v>3368.0</v>
      </c>
      <c r="H1190" s="5">
        <v>0.0682</v>
      </c>
      <c r="I1190" s="5">
        <v>1.65</v>
      </c>
      <c r="J1190" s="5">
        <v>5557.2</v>
      </c>
      <c r="K1190" s="5">
        <v>195.0</v>
      </c>
      <c r="L1190" s="5">
        <v>28.5</v>
      </c>
      <c r="M1190" s="5">
        <v>57395.9</v>
      </c>
      <c r="N1190" s="5">
        <v>10.33</v>
      </c>
      <c r="O1190" s="6">
        <f t="shared" si="1"/>
        <v>28.49846154</v>
      </c>
      <c r="P1190" s="6" t="str">
        <f t="shared" si="2"/>
        <v>Post-Shift</v>
      </c>
      <c r="Q1190" s="3">
        <f t="shared" si="3"/>
        <v>12</v>
      </c>
    </row>
    <row r="1191">
      <c r="A1191" s="4" t="s">
        <v>129</v>
      </c>
      <c r="B1191" s="2" t="s">
        <v>18</v>
      </c>
      <c r="C1191" s="2" t="s">
        <v>31</v>
      </c>
      <c r="D1191" s="2" t="s">
        <v>20</v>
      </c>
      <c r="E1191" s="2" t="s">
        <v>56</v>
      </c>
      <c r="F1191" s="5">
        <v>23773.0</v>
      </c>
      <c r="G1191" s="5">
        <v>461.0</v>
      </c>
      <c r="H1191" s="5">
        <v>0.0194</v>
      </c>
      <c r="I1191" s="5">
        <v>1.6</v>
      </c>
      <c r="J1191" s="5">
        <v>737.6</v>
      </c>
      <c r="K1191" s="5">
        <v>5.0</v>
      </c>
      <c r="L1191" s="5">
        <v>147.52</v>
      </c>
      <c r="M1191" s="5">
        <v>642.97</v>
      </c>
      <c r="N1191" s="5">
        <v>0.87</v>
      </c>
      <c r="O1191" s="6">
        <f t="shared" si="1"/>
        <v>147.52</v>
      </c>
      <c r="P1191" s="6" t="str">
        <f t="shared" si="2"/>
        <v>Post-Shift</v>
      </c>
      <c r="Q1191" s="3">
        <f t="shared" si="3"/>
        <v>29</v>
      </c>
    </row>
    <row r="1192">
      <c r="A1192" s="4">
        <v>45360.0</v>
      </c>
      <c r="B1192" s="2" t="s">
        <v>38</v>
      </c>
      <c r="C1192" s="2" t="s">
        <v>19</v>
      </c>
      <c r="D1192" s="2" t="s">
        <v>45</v>
      </c>
      <c r="E1192" s="2" t="s">
        <v>36</v>
      </c>
      <c r="F1192" s="5">
        <v>19959.0</v>
      </c>
      <c r="G1192" s="5">
        <v>586.0</v>
      </c>
      <c r="H1192" s="5">
        <v>0.0294</v>
      </c>
      <c r="I1192" s="5">
        <v>1.99</v>
      </c>
      <c r="J1192" s="5">
        <v>1166.14</v>
      </c>
      <c r="K1192" s="5">
        <v>17.0</v>
      </c>
      <c r="L1192" s="5">
        <v>68.6</v>
      </c>
      <c r="M1192" s="5">
        <v>4432.12</v>
      </c>
      <c r="N1192" s="5">
        <v>3.8</v>
      </c>
      <c r="O1192" s="6">
        <f t="shared" si="1"/>
        <v>68.59647059</v>
      </c>
      <c r="P1192" s="6" t="str">
        <f t="shared" si="2"/>
        <v>Baseline</v>
      </c>
      <c r="Q1192" s="3">
        <f t="shared" si="3"/>
        <v>36</v>
      </c>
    </row>
    <row r="1193">
      <c r="A1193" s="4" t="s">
        <v>236</v>
      </c>
      <c r="B1193" s="2" t="s">
        <v>38</v>
      </c>
      <c r="C1193" s="2" t="s">
        <v>41</v>
      </c>
      <c r="D1193" s="2" t="s">
        <v>20</v>
      </c>
      <c r="E1193" s="2" t="s">
        <v>21</v>
      </c>
      <c r="F1193" s="5">
        <v>166155.0</v>
      </c>
      <c r="G1193" s="5">
        <v>6048.0</v>
      </c>
      <c r="H1193" s="5">
        <v>0.0364</v>
      </c>
      <c r="I1193" s="5">
        <v>1.46</v>
      </c>
      <c r="J1193" s="5">
        <v>8830.08</v>
      </c>
      <c r="K1193" s="5">
        <v>260.0</v>
      </c>
      <c r="L1193" s="5">
        <v>33.96</v>
      </c>
      <c r="M1193" s="5">
        <v>28494.38</v>
      </c>
      <c r="N1193" s="5">
        <v>3.23</v>
      </c>
      <c r="O1193" s="6">
        <f t="shared" si="1"/>
        <v>33.96184615</v>
      </c>
      <c r="P1193" s="6" t="str">
        <f t="shared" si="2"/>
        <v>Post-Shift</v>
      </c>
      <c r="Q1193" s="3">
        <f t="shared" si="3"/>
        <v>5</v>
      </c>
    </row>
    <row r="1194">
      <c r="A1194" s="4" t="s">
        <v>89</v>
      </c>
      <c r="B1194" s="2" t="s">
        <v>23</v>
      </c>
      <c r="C1194" s="2" t="s">
        <v>31</v>
      </c>
      <c r="D1194" s="2" t="s">
        <v>32</v>
      </c>
      <c r="E1194" s="2" t="s">
        <v>21</v>
      </c>
      <c r="F1194" s="5">
        <v>50819.0</v>
      </c>
      <c r="G1194" s="5">
        <v>3206.0</v>
      </c>
      <c r="H1194" s="5">
        <v>0.0631</v>
      </c>
      <c r="I1194" s="5">
        <v>0.95</v>
      </c>
      <c r="J1194" s="5">
        <v>3045.7</v>
      </c>
      <c r="K1194" s="5">
        <v>222.0</v>
      </c>
      <c r="L1194" s="5">
        <v>13.72</v>
      </c>
      <c r="M1194" s="5">
        <v>24319.42</v>
      </c>
      <c r="N1194" s="5">
        <v>7.98</v>
      </c>
      <c r="O1194" s="6">
        <f t="shared" si="1"/>
        <v>13.71936937</v>
      </c>
      <c r="P1194" s="6" t="str">
        <f t="shared" si="2"/>
        <v>Post-Shift</v>
      </c>
      <c r="Q1194" s="3">
        <f t="shared" si="3"/>
        <v>9</v>
      </c>
    </row>
    <row r="1195">
      <c r="A1195" s="4" t="s">
        <v>136</v>
      </c>
      <c r="B1195" s="2" t="s">
        <v>18</v>
      </c>
      <c r="C1195" s="2" t="s">
        <v>41</v>
      </c>
      <c r="D1195" s="2" t="s">
        <v>29</v>
      </c>
      <c r="E1195" s="2" t="s">
        <v>25</v>
      </c>
      <c r="F1195" s="5">
        <v>15796.0</v>
      </c>
      <c r="G1195" s="5">
        <v>301.0</v>
      </c>
      <c r="H1195" s="5">
        <v>0.0191</v>
      </c>
      <c r="I1195" s="5">
        <v>1.91</v>
      </c>
      <c r="J1195" s="5">
        <v>574.91</v>
      </c>
      <c r="K1195" s="5">
        <v>17.0</v>
      </c>
      <c r="L1195" s="5">
        <v>33.82</v>
      </c>
      <c r="M1195" s="5">
        <v>1137.71</v>
      </c>
      <c r="N1195" s="5">
        <v>1.98</v>
      </c>
      <c r="O1195" s="6">
        <f t="shared" si="1"/>
        <v>33.81823529</v>
      </c>
      <c r="P1195" s="6" t="str">
        <f t="shared" si="2"/>
        <v>Post-Shift</v>
      </c>
      <c r="Q1195" s="3">
        <f t="shared" si="3"/>
        <v>35</v>
      </c>
    </row>
    <row r="1196">
      <c r="A1196" s="4" t="s">
        <v>99</v>
      </c>
      <c r="B1196" s="2" t="s">
        <v>23</v>
      </c>
      <c r="C1196" s="2" t="s">
        <v>41</v>
      </c>
      <c r="D1196" s="2" t="s">
        <v>45</v>
      </c>
      <c r="E1196" s="2" t="s">
        <v>56</v>
      </c>
      <c r="F1196" s="5">
        <v>133422.0</v>
      </c>
      <c r="G1196" s="5">
        <v>8458.0</v>
      </c>
      <c r="H1196" s="5">
        <v>0.0634</v>
      </c>
      <c r="I1196" s="5">
        <v>0.82</v>
      </c>
      <c r="J1196" s="5">
        <v>6935.56</v>
      </c>
      <c r="K1196" s="5">
        <v>663.0</v>
      </c>
      <c r="L1196" s="5">
        <v>10.46</v>
      </c>
      <c r="M1196" s="5">
        <v>111531.7</v>
      </c>
      <c r="N1196" s="5">
        <v>16.08</v>
      </c>
      <c r="O1196" s="6">
        <f t="shared" si="1"/>
        <v>10.46087481</v>
      </c>
      <c r="P1196" s="6" t="str">
        <f t="shared" si="2"/>
        <v>Post-Shift</v>
      </c>
      <c r="Q1196" s="3">
        <f t="shared" si="3"/>
        <v>8</v>
      </c>
    </row>
    <row r="1197">
      <c r="A1197" s="4" t="s">
        <v>176</v>
      </c>
      <c r="B1197" s="2" t="s">
        <v>38</v>
      </c>
      <c r="C1197" s="2" t="s">
        <v>27</v>
      </c>
      <c r="D1197" s="2" t="s">
        <v>24</v>
      </c>
      <c r="E1197" s="2" t="s">
        <v>33</v>
      </c>
      <c r="F1197" s="5">
        <v>181026.0</v>
      </c>
      <c r="G1197" s="5">
        <v>2769.0</v>
      </c>
      <c r="H1197" s="5">
        <v>0.0153</v>
      </c>
      <c r="I1197" s="5">
        <v>1.06</v>
      </c>
      <c r="J1197" s="5">
        <v>2935.14</v>
      </c>
      <c r="K1197" s="5">
        <v>155.0</v>
      </c>
      <c r="L1197" s="5">
        <v>18.94</v>
      </c>
      <c r="M1197" s="5">
        <v>18246.01</v>
      </c>
      <c r="N1197" s="5">
        <v>6.22</v>
      </c>
      <c r="O1197" s="6">
        <f t="shared" si="1"/>
        <v>18.9363871</v>
      </c>
      <c r="P1197" s="6" t="str">
        <f t="shared" si="2"/>
        <v>Post-Shift</v>
      </c>
      <c r="Q1197" s="3">
        <f t="shared" si="3"/>
        <v>18</v>
      </c>
    </row>
    <row r="1198">
      <c r="A1198" s="4" t="s">
        <v>161</v>
      </c>
      <c r="B1198" s="2" t="s">
        <v>38</v>
      </c>
      <c r="C1198" s="2" t="s">
        <v>31</v>
      </c>
      <c r="D1198" s="2" t="s">
        <v>45</v>
      </c>
      <c r="E1198" s="2" t="s">
        <v>33</v>
      </c>
      <c r="F1198" s="5">
        <v>57784.0</v>
      </c>
      <c r="G1198" s="5">
        <v>907.0</v>
      </c>
      <c r="H1198" s="5">
        <v>0.0157</v>
      </c>
      <c r="I1198" s="5">
        <v>1.21</v>
      </c>
      <c r="J1198" s="5">
        <v>1097.47</v>
      </c>
      <c r="K1198" s="5">
        <v>54.0</v>
      </c>
      <c r="L1198" s="5">
        <v>20.32</v>
      </c>
      <c r="M1198" s="5">
        <v>2856.1</v>
      </c>
      <c r="N1198" s="5">
        <v>2.6</v>
      </c>
      <c r="O1198" s="6">
        <f t="shared" si="1"/>
        <v>20.32351852</v>
      </c>
      <c r="P1198" s="6" t="str">
        <f t="shared" si="2"/>
        <v>Post-Shift</v>
      </c>
      <c r="Q1198" s="3">
        <f t="shared" si="3"/>
        <v>12</v>
      </c>
    </row>
    <row r="1199">
      <c r="A1199" s="4" t="s">
        <v>259</v>
      </c>
      <c r="B1199" s="2" t="s">
        <v>38</v>
      </c>
      <c r="C1199" s="2" t="s">
        <v>19</v>
      </c>
      <c r="D1199" s="2" t="s">
        <v>45</v>
      </c>
      <c r="E1199" s="2" t="s">
        <v>56</v>
      </c>
      <c r="F1199" s="5">
        <v>81023.0</v>
      </c>
      <c r="G1199" s="5">
        <v>1944.0</v>
      </c>
      <c r="H1199" s="5">
        <v>0.024</v>
      </c>
      <c r="I1199" s="5">
        <v>1.31</v>
      </c>
      <c r="J1199" s="5">
        <v>2546.64</v>
      </c>
      <c r="K1199" s="5">
        <v>146.0</v>
      </c>
      <c r="L1199" s="5">
        <v>17.44</v>
      </c>
      <c r="M1199" s="5">
        <v>32752.99</v>
      </c>
      <c r="N1199" s="5">
        <v>12.86</v>
      </c>
      <c r="O1199" s="6">
        <f t="shared" si="1"/>
        <v>17.44273973</v>
      </c>
      <c r="P1199" s="6" t="str">
        <f t="shared" si="2"/>
        <v>Post-Shift</v>
      </c>
      <c r="Q1199" s="3">
        <f t="shared" si="3"/>
        <v>25</v>
      </c>
    </row>
    <row r="1200">
      <c r="A1200" s="4">
        <v>45511.0</v>
      </c>
      <c r="B1200" s="2" t="s">
        <v>18</v>
      </c>
      <c r="C1200" s="2" t="s">
        <v>31</v>
      </c>
      <c r="D1200" s="2" t="s">
        <v>24</v>
      </c>
      <c r="E1200" s="2" t="s">
        <v>30</v>
      </c>
      <c r="F1200" s="5">
        <v>93623.0</v>
      </c>
      <c r="G1200" s="5">
        <v>6319.0</v>
      </c>
      <c r="H1200" s="5">
        <v>0.0675</v>
      </c>
      <c r="I1200" s="5">
        <v>1.25</v>
      </c>
      <c r="J1200" s="5">
        <v>7898.75</v>
      </c>
      <c r="K1200" s="5">
        <v>83.0</v>
      </c>
      <c r="L1200" s="5">
        <v>95.17</v>
      </c>
      <c r="M1200" s="5">
        <v>20925.73</v>
      </c>
      <c r="N1200" s="5">
        <v>2.65</v>
      </c>
      <c r="O1200" s="6">
        <f t="shared" si="1"/>
        <v>95.16566265</v>
      </c>
      <c r="P1200" s="6" t="str">
        <f t="shared" si="2"/>
        <v>Post-Shift</v>
      </c>
      <c r="Q1200" s="3">
        <f t="shared" si="3"/>
        <v>28</v>
      </c>
    </row>
    <row r="1201">
      <c r="A1201" s="4">
        <v>45631.0</v>
      </c>
      <c r="B1201" s="2" t="s">
        <v>23</v>
      </c>
      <c r="C1201" s="2" t="s">
        <v>19</v>
      </c>
      <c r="D1201" s="2" t="s">
        <v>24</v>
      </c>
      <c r="E1201" s="2" t="s">
        <v>33</v>
      </c>
      <c r="F1201" s="5">
        <v>118483.0</v>
      </c>
      <c r="G1201" s="5">
        <v>8826.0</v>
      </c>
      <c r="H1201" s="5">
        <v>0.0745</v>
      </c>
      <c r="I1201" s="5">
        <v>1.69</v>
      </c>
      <c r="J1201" s="5">
        <v>14915.94</v>
      </c>
      <c r="K1201" s="5">
        <v>570.0</v>
      </c>
      <c r="L1201" s="5">
        <v>26.17</v>
      </c>
      <c r="M1201" s="5">
        <v>139364.5</v>
      </c>
      <c r="N1201" s="5">
        <v>9.34</v>
      </c>
      <c r="O1201" s="6">
        <f t="shared" si="1"/>
        <v>26.16831579</v>
      </c>
      <c r="P1201" s="6" t="str">
        <f t="shared" si="2"/>
        <v>Post-Shift</v>
      </c>
      <c r="Q1201" s="3">
        <f t="shared" si="3"/>
        <v>20</v>
      </c>
    </row>
    <row r="1202">
      <c r="A1202" s="4" t="s">
        <v>235</v>
      </c>
      <c r="B1202" s="2" t="s">
        <v>18</v>
      </c>
      <c r="C1202" s="2" t="s">
        <v>31</v>
      </c>
      <c r="D1202" s="2" t="s">
        <v>29</v>
      </c>
      <c r="E1202" s="2" t="s">
        <v>21</v>
      </c>
      <c r="F1202" s="5">
        <v>155018.0</v>
      </c>
      <c r="G1202" s="5">
        <v>9146.0</v>
      </c>
      <c r="H1202" s="5">
        <v>0.059</v>
      </c>
      <c r="I1202" s="5">
        <v>2.96</v>
      </c>
      <c r="J1202" s="5">
        <v>27072.16</v>
      </c>
      <c r="K1202" s="5">
        <v>495.0</v>
      </c>
      <c r="L1202" s="5">
        <v>54.69</v>
      </c>
      <c r="M1202" s="5">
        <v>33297.83</v>
      </c>
      <c r="N1202" s="5">
        <v>1.23</v>
      </c>
      <c r="O1202" s="6">
        <f t="shared" si="1"/>
        <v>54.69123232</v>
      </c>
      <c r="P1202" s="6" t="str">
        <f t="shared" si="2"/>
        <v>Post-Shift</v>
      </c>
      <c r="Q1202" s="3">
        <f t="shared" si="3"/>
        <v>18</v>
      </c>
    </row>
    <row r="1203">
      <c r="A1203" s="4">
        <v>45362.0</v>
      </c>
      <c r="B1203" s="2" t="s">
        <v>18</v>
      </c>
      <c r="C1203" s="2" t="s">
        <v>19</v>
      </c>
      <c r="D1203" s="2" t="s">
        <v>24</v>
      </c>
      <c r="E1203" s="2" t="s">
        <v>36</v>
      </c>
      <c r="F1203" s="5">
        <v>13614.0</v>
      </c>
      <c r="G1203" s="5">
        <v>744.0</v>
      </c>
      <c r="H1203" s="5">
        <v>0.0547</v>
      </c>
      <c r="I1203" s="5">
        <v>2.97</v>
      </c>
      <c r="J1203" s="5">
        <v>2209.68</v>
      </c>
      <c r="K1203" s="5">
        <v>54.0</v>
      </c>
      <c r="L1203" s="5">
        <v>40.92</v>
      </c>
      <c r="M1203" s="5">
        <v>11111.12</v>
      </c>
      <c r="N1203" s="5">
        <v>5.03</v>
      </c>
      <c r="O1203" s="6">
        <f t="shared" si="1"/>
        <v>40.92</v>
      </c>
      <c r="P1203" s="6" t="str">
        <f t="shared" si="2"/>
        <v>Baseline</v>
      </c>
      <c r="Q1203" s="3">
        <f t="shared" si="3"/>
        <v>45</v>
      </c>
    </row>
    <row r="1204">
      <c r="A1204" s="4" t="s">
        <v>155</v>
      </c>
      <c r="B1204" s="2" t="s">
        <v>18</v>
      </c>
      <c r="C1204" s="2" t="s">
        <v>41</v>
      </c>
      <c r="D1204" s="2" t="s">
        <v>32</v>
      </c>
      <c r="E1204" s="2" t="s">
        <v>58</v>
      </c>
      <c r="F1204" s="5">
        <v>7594.0</v>
      </c>
      <c r="G1204" s="5">
        <v>225.0</v>
      </c>
      <c r="H1204" s="5">
        <v>0.0297</v>
      </c>
      <c r="I1204" s="5">
        <v>1.19</v>
      </c>
      <c r="J1204" s="5">
        <v>267.75</v>
      </c>
      <c r="K1204" s="5">
        <v>7.0</v>
      </c>
      <c r="L1204" s="5">
        <v>38.25</v>
      </c>
      <c r="M1204" s="5">
        <v>1275.11</v>
      </c>
      <c r="N1204" s="5">
        <v>4.76</v>
      </c>
      <c r="O1204" s="6">
        <f t="shared" si="1"/>
        <v>38.25</v>
      </c>
      <c r="P1204" s="6" t="str">
        <f t="shared" si="2"/>
        <v>Post-Shift</v>
      </c>
      <c r="Q1204" s="3">
        <f t="shared" si="3"/>
        <v>51</v>
      </c>
    </row>
    <row r="1205">
      <c r="A1205" s="4" t="s">
        <v>69</v>
      </c>
      <c r="B1205" s="2" t="s">
        <v>23</v>
      </c>
      <c r="C1205" s="2" t="s">
        <v>19</v>
      </c>
      <c r="D1205" s="2" t="s">
        <v>45</v>
      </c>
      <c r="E1205" s="2" t="s">
        <v>58</v>
      </c>
      <c r="F1205" s="5">
        <v>161640.0</v>
      </c>
      <c r="G1205" s="5">
        <v>5916.0</v>
      </c>
      <c r="H1205" s="5">
        <v>0.0366</v>
      </c>
      <c r="I1205" s="5">
        <v>0.46</v>
      </c>
      <c r="J1205" s="5">
        <v>2721.36</v>
      </c>
      <c r="K1205" s="5">
        <v>445.0</v>
      </c>
      <c r="L1205" s="5">
        <v>6.12</v>
      </c>
      <c r="M1205" s="5">
        <v>30797.18</v>
      </c>
      <c r="N1205" s="5">
        <v>11.32</v>
      </c>
      <c r="O1205" s="6">
        <f t="shared" si="1"/>
        <v>6.11541573</v>
      </c>
      <c r="P1205" s="6" t="str">
        <f t="shared" si="2"/>
        <v>Post-Shift</v>
      </c>
      <c r="Q1205" s="3">
        <f t="shared" si="3"/>
        <v>33</v>
      </c>
    </row>
    <row r="1206">
      <c r="A1206" s="4" t="s">
        <v>148</v>
      </c>
      <c r="B1206" s="2" t="s">
        <v>18</v>
      </c>
      <c r="C1206" s="2" t="s">
        <v>27</v>
      </c>
      <c r="D1206" s="2" t="s">
        <v>45</v>
      </c>
      <c r="E1206" s="2" t="s">
        <v>21</v>
      </c>
      <c r="F1206" s="5">
        <v>83845.0</v>
      </c>
      <c r="G1206" s="5">
        <v>2599.0</v>
      </c>
      <c r="H1206" s="5">
        <v>0.031</v>
      </c>
      <c r="I1206" s="5">
        <v>2.69</v>
      </c>
      <c r="J1206" s="5">
        <v>6991.31</v>
      </c>
      <c r="K1206" s="5">
        <v>137.0</v>
      </c>
      <c r="L1206" s="5">
        <v>51.03</v>
      </c>
      <c r="M1206" s="5">
        <v>29891.75</v>
      </c>
      <c r="N1206" s="5">
        <v>4.28</v>
      </c>
      <c r="O1206" s="6">
        <f t="shared" si="1"/>
        <v>51.03145985</v>
      </c>
      <c r="P1206" s="6" t="str">
        <f t="shared" si="2"/>
        <v>Post-Shift</v>
      </c>
      <c r="Q1206" s="3">
        <f t="shared" si="3"/>
        <v>52</v>
      </c>
    </row>
    <row r="1207">
      <c r="A1207" s="4" t="s">
        <v>71</v>
      </c>
      <c r="B1207" s="2" t="s">
        <v>18</v>
      </c>
      <c r="C1207" s="2" t="s">
        <v>41</v>
      </c>
      <c r="D1207" s="2" t="s">
        <v>29</v>
      </c>
      <c r="E1207" s="2" t="s">
        <v>33</v>
      </c>
      <c r="F1207" s="5">
        <v>195610.0</v>
      </c>
      <c r="G1207" s="5">
        <v>9956.0</v>
      </c>
      <c r="H1207" s="5">
        <v>0.0509</v>
      </c>
      <c r="I1207" s="5">
        <v>2.37</v>
      </c>
      <c r="J1207" s="5">
        <v>23595.72</v>
      </c>
      <c r="K1207" s="5">
        <v>401.0</v>
      </c>
      <c r="L1207" s="5">
        <v>58.84</v>
      </c>
      <c r="M1207" s="5">
        <v>116291.9</v>
      </c>
      <c r="N1207" s="5">
        <v>4.93</v>
      </c>
      <c r="O1207" s="6">
        <f t="shared" si="1"/>
        <v>58.84219451</v>
      </c>
      <c r="P1207" s="6" t="str">
        <f t="shared" si="2"/>
        <v>Post-Shift</v>
      </c>
      <c r="Q1207" s="3">
        <f t="shared" si="3"/>
        <v>20</v>
      </c>
    </row>
    <row r="1208">
      <c r="A1208" s="4" t="s">
        <v>149</v>
      </c>
      <c r="B1208" s="2" t="s">
        <v>18</v>
      </c>
      <c r="C1208" s="2" t="s">
        <v>41</v>
      </c>
      <c r="D1208" s="2" t="s">
        <v>29</v>
      </c>
      <c r="E1208" s="2" t="s">
        <v>21</v>
      </c>
      <c r="F1208" s="5">
        <v>63812.0</v>
      </c>
      <c r="G1208" s="5">
        <v>2686.0</v>
      </c>
      <c r="H1208" s="5">
        <v>0.0421</v>
      </c>
      <c r="I1208" s="5">
        <v>2.98</v>
      </c>
      <c r="J1208" s="5">
        <v>8004.28</v>
      </c>
      <c r="K1208" s="5">
        <v>84.0</v>
      </c>
      <c r="L1208" s="5">
        <v>95.29</v>
      </c>
      <c r="M1208" s="5">
        <v>6979.61</v>
      </c>
      <c r="N1208" s="5">
        <v>0.87</v>
      </c>
      <c r="O1208" s="6">
        <f t="shared" si="1"/>
        <v>95.28904762</v>
      </c>
      <c r="P1208" s="6" t="str">
        <f t="shared" si="2"/>
        <v>Post-Shift</v>
      </c>
      <c r="Q1208" s="3">
        <f t="shared" si="3"/>
        <v>37</v>
      </c>
    </row>
    <row r="1209">
      <c r="A1209" s="4" t="s">
        <v>136</v>
      </c>
      <c r="B1209" s="2" t="s">
        <v>18</v>
      </c>
      <c r="C1209" s="2" t="s">
        <v>27</v>
      </c>
      <c r="D1209" s="2" t="s">
        <v>20</v>
      </c>
      <c r="E1209" s="2" t="s">
        <v>21</v>
      </c>
      <c r="F1209" s="5">
        <v>33794.0</v>
      </c>
      <c r="G1209" s="5">
        <v>1030.0</v>
      </c>
      <c r="H1209" s="5">
        <v>0.0305</v>
      </c>
      <c r="I1209" s="5">
        <v>1.75</v>
      </c>
      <c r="J1209" s="5">
        <v>1802.5</v>
      </c>
      <c r="K1209" s="5">
        <v>25.0</v>
      </c>
      <c r="L1209" s="5">
        <v>72.1</v>
      </c>
      <c r="M1209" s="5">
        <v>1849.39</v>
      </c>
      <c r="N1209" s="5">
        <v>1.03</v>
      </c>
      <c r="O1209" s="6">
        <f t="shared" si="1"/>
        <v>72.1</v>
      </c>
      <c r="P1209" s="6" t="str">
        <f t="shared" si="2"/>
        <v>Post-Shift</v>
      </c>
      <c r="Q1209" s="3">
        <f t="shared" si="3"/>
        <v>35</v>
      </c>
    </row>
    <row r="1210">
      <c r="A1210" s="4" t="s">
        <v>26</v>
      </c>
      <c r="B1210" s="2" t="s">
        <v>38</v>
      </c>
      <c r="C1210" s="2" t="s">
        <v>31</v>
      </c>
      <c r="D1210" s="2" t="s">
        <v>20</v>
      </c>
      <c r="E1210" s="2" t="s">
        <v>56</v>
      </c>
      <c r="F1210" s="5">
        <v>130056.0</v>
      </c>
      <c r="G1210" s="5">
        <v>3537.0</v>
      </c>
      <c r="H1210" s="5">
        <v>0.0272</v>
      </c>
      <c r="I1210" s="5">
        <v>0.58</v>
      </c>
      <c r="J1210" s="5">
        <v>2051.46</v>
      </c>
      <c r="K1210" s="5">
        <v>207.0</v>
      </c>
      <c r="L1210" s="5">
        <v>9.91</v>
      </c>
      <c r="M1210" s="5">
        <v>27550.99</v>
      </c>
      <c r="N1210" s="5">
        <v>13.43</v>
      </c>
      <c r="O1210" s="6">
        <f t="shared" si="1"/>
        <v>9.910434783</v>
      </c>
      <c r="P1210" s="6" t="str">
        <f t="shared" si="2"/>
        <v>Post-Shift</v>
      </c>
      <c r="Q1210" s="3">
        <f t="shared" si="3"/>
        <v>24</v>
      </c>
    </row>
    <row r="1211">
      <c r="A1211" s="4" t="s">
        <v>243</v>
      </c>
      <c r="B1211" s="2" t="s">
        <v>18</v>
      </c>
      <c r="C1211" s="2" t="s">
        <v>31</v>
      </c>
      <c r="D1211" s="2" t="s">
        <v>32</v>
      </c>
      <c r="E1211" s="2" t="s">
        <v>36</v>
      </c>
      <c r="F1211" s="5">
        <v>149438.0</v>
      </c>
      <c r="G1211" s="5">
        <v>3287.0</v>
      </c>
      <c r="H1211" s="5">
        <v>0.022</v>
      </c>
      <c r="I1211" s="5">
        <v>3.73</v>
      </c>
      <c r="J1211" s="5">
        <v>12260.51</v>
      </c>
      <c r="K1211" s="5">
        <v>153.0</v>
      </c>
      <c r="L1211" s="5">
        <v>80.13</v>
      </c>
      <c r="M1211" s="5">
        <v>8351.95</v>
      </c>
      <c r="N1211" s="5">
        <v>0.68</v>
      </c>
      <c r="O1211" s="6">
        <f t="shared" si="1"/>
        <v>80.13405229</v>
      </c>
      <c r="P1211" s="6" t="str">
        <f t="shared" si="2"/>
        <v>Post-Shift</v>
      </c>
      <c r="Q1211" s="3">
        <f t="shared" si="3"/>
        <v>53</v>
      </c>
    </row>
    <row r="1212">
      <c r="A1212" s="4" t="s">
        <v>143</v>
      </c>
      <c r="B1212" s="2" t="s">
        <v>38</v>
      </c>
      <c r="C1212" s="2" t="s">
        <v>31</v>
      </c>
      <c r="D1212" s="2" t="s">
        <v>29</v>
      </c>
      <c r="E1212" s="2" t="s">
        <v>36</v>
      </c>
      <c r="F1212" s="5">
        <v>185750.0</v>
      </c>
      <c r="G1212" s="5">
        <v>1653.0</v>
      </c>
      <c r="H1212" s="5">
        <v>0.0089</v>
      </c>
      <c r="I1212" s="5">
        <v>1.3</v>
      </c>
      <c r="J1212" s="5">
        <v>2148.9</v>
      </c>
      <c r="K1212" s="5">
        <v>34.0</v>
      </c>
      <c r="L1212" s="5">
        <v>63.2</v>
      </c>
      <c r="M1212" s="5">
        <v>2916.11</v>
      </c>
      <c r="N1212" s="5">
        <v>1.36</v>
      </c>
      <c r="O1212" s="6">
        <f t="shared" si="1"/>
        <v>63.20294118</v>
      </c>
      <c r="P1212" s="6" t="str">
        <f t="shared" si="2"/>
        <v>Post-Shift</v>
      </c>
      <c r="Q1212" s="3">
        <f t="shared" si="3"/>
        <v>3</v>
      </c>
    </row>
    <row r="1213">
      <c r="A1213" s="4" t="s">
        <v>246</v>
      </c>
      <c r="B1213" s="2" t="s">
        <v>38</v>
      </c>
      <c r="C1213" s="2" t="s">
        <v>27</v>
      </c>
      <c r="D1213" s="2" t="s">
        <v>32</v>
      </c>
      <c r="E1213" s="2" t="s">
        <v>56</v>
      </c>
      <c r="F1213" s="5">
        <v>24750.0</v>
      </c>
      <c r="G1213" s="5">
        <v>747.0</v>
      </c>
      <c r="H1213" s="5">
        <v>0.0302</v>
      </c>
      <c r="I1213" s="5">
        <v>1.19</v>
      </c>
      <c r="J1213" s="5">
        <v>888.93</v>
      </c>
      <c r="K1213" s="5">
        <v>48.0</v>
      </c>
      <c r="L1213" s="5">
        <v>18.52</v>
      </c>
      <c r="M1213" s="5">
        <v>1738.76</v>
      </c>
      <c r="N1213" s="5">
        <v>1.96</v>
      </c>
      <c r="O1213" s="6">
        <f t="shared" si="1"/>
        <v>18.519375</v>
      </c>
      <c r="P1213" s="6" t="str">
        <f t="shared" si="2"/>
        <v>Post-Shift</v>
      </c>
      <c r="Q1213" s="3">
        <f t="shared" si="3"/>
        <v>31</v>
      </c>
    </row>
    <row r="1214">
      <c r="A1214" s="4" t="s">
        <v>63</v>
      </c>
      <c r="B1214" s="2" t="s">
        <v>23</v>
      </c>
      <c r="C1214" s="2" t="s">
        <v>31</v>
      </c>
      <c r="D1214" s="2" t="s">
        <v>20</v>
      </c>
      <c r="E1214" s="2" t="s">
        <v>25</v>
      </c>
      <c r="F1214" s="5">
        <v>66262.0</v>
      </c>
      <c r="G1214" s="5">
        <v>3790.0</v>
      </c>
      <c r="H1214" s="5">
        <v>0.0572</v>
      </c>
      <c r="I1214" s="5">
        <v>1.07</v>
      </c>
      <c r="J1214" s="5">
        <v>4055.3</v>
      </c>
      <c r="K1214" s="5">
        <v>150.0</v>
      </c>
      <c r="L1214" s="5">
        <v>27.04</v>
      </c>
      <c r="M1214" s="5">
        <v>24443.12</v>
      </c>
      <c r="N1214" s="5">
        <v>6.03</v>
      </c>
      <c r="O1214" s="6">
        <f t="shared" si="1"/>
        <v>27.03533333</v>
      </c>
      <c r="P1214" s="6" t="str">
        <f t="shared" si="2"/>
        <v>Post-Shift</v>
      </c>
      <c r="Q1214" s="3">
        <f t="shared" si="3"/>
        <v>46</v>
      </c>
    </row>
    <row r="1215">
      <c r="A1215" s="4">
        <v>45540.0</v>
      </c>
      <c r="B1215" s="2" t="s">
        <v>23</v>
      </c>
      <c r="C1215" s="2" t="s">
        <v>27</v>
      </c>
      <c r="D1215" s="2" t="s">
        <v>45</v>
      </c>
      <c r="E1215" s="2" t="s">
        <v>25</v>
      </c>
      <c r="F1215" s="5">
        <v>126854.0</v>
      </c>
      <c r="G1215" s="5">
        <v>7243.0</v>
      </c>
      <c r="H1215" s="5">
        <v>0.0571</v>
      </c>
      <c r="I1215" s="5">
        <v>0.81</v>
      </c>
      <c r="J1215" s="5">
        <v>5866.83</v>
      </c>
      <c r="K1215" s="5">
        <v>474.0</v>
      </c>
      <c r="L1215" s="5">
        <v>12.38</v>
      </c>
      <c r="M1215" s="5">
        <v>55705.28</v>
      </c>
      <c r="N1215" s="5">
        <v>9.49</v>
      </c>
      <c r="O1215" s="6">
        <f t="shared" si="1"/>
        <v>12.37727848</v>
      </c>
      <c r="P1215" s="6" t="str">
        <f t="shared" si="2"/>
        <v>Post-Shift</v>
      </c>
      <c r="Q1215" s="3">
        <f t="shared" si="3"/>
        <v>19</v>
      </c>
    </row>
    <row r="1216">
      <c r="A1216" s="4" t="s">
        <v>255</v>
      </c>
      <c r="B1216" s="2" t="s">
        <v>38</v>
      </c>
      <c r="C1216" s="2" t="s">
        <v>27</v>
      </c>
      <c r="D1216" s="2" t="s">
        <v>24</v>
      </c>
      <c r="E1216" s="2" t="s">
        <v>36</v>
      </c>
      <c r="F1216" s="5">
        <v>32559.0</v>
      </c>
      <c r="G1216" s="5">
        <v>553.0</v>
      </c>
      <c r="H1216" s="5">
        <v>0.017</v>
      </c>
      <c r="I1216" s="5">
        <v>0.71</v>
      </c>
      <c r="J1216" s="5">
        <v>392.63</v>
      </c>
      <c r="K1216" s="5">
        <v>6.0</v>
      </c>
      <c r="L1216" s="5">
        <v>65.44</v>
      </c>
      <c r="M1216" s="5">
        <v>1500.74</v>
      </c>
      <c r="N1216" s="5">
        <v>3.82</v>
      </c>
      <c r="O1216" s="6">
        <f t="shared" si="1"/>
        <v>65.43833333</v>
      </c>
      <c r="P1216" s="6" t="str">
        <f t="shared" si="2"/>
        <v>Post-Shift</v>
      </c>
      <c r="Q1216" s="3">
        <f t="shared" si="3"/>
        <v>38</v>
      </c>
    </row>
    <row r="1217">
      <c r="A1217" s="4" t="s">
        <v>152</v>
      </c>
      <c r="B1217" s="2" t="s">
        <v>18</v>
      </c>
      <c r="C1217" s="2" t="s">
        <v>19</v>
      </c>
      <c r="D1217" s="2" t="s">
        <v>32</v>
      </c>
      <c r="E1217" s="2" t="s">
        <v>21</v>
      </c>
      <c r="F1217" s="5">
        <v>85729.0</v>
      </c>
      <c r="G1217" s="5">
        <v>1757.0</v>
      </c>
      <c r="H1217" s="5">
        <v>0.0205</v>
      </c>
      <c r="I1217" s="5">
        <v>3.02</v>
      </c>
      <c r="J1217" s="5">
        <v>5306.14</v>
      </c>
      <c r="K1217" s="5">
        <v>90.0</v>
      </c>
      <c r="L1217" s="5">
        <v>58.96</v>
      </c>
      <c r="M1217" s="5">
        <v>21584.82</v>
      </c>
      <c r="N1217" s="5">
        <v>4.07</v>
      </c>
      <c r="O1217" s="6">
        <f t="shared" si="1"/>
        <v>58.95711111</v>
      </c>
      <c r="P1217" s="6" t="str">
        <f t="shared" si="2"/>
        <v>Post-Shift</v>
      </c>
      <c r="Q1217" s="3">
        <f t="shared" si="3"/>
        <v>30</v>
      </c>
    </row>
    <row r="1218">
      <c r="A1218" s="4">
        <v>45516.0</v>
      </c>
      <c r="B1218" s="2" t="s">
        <v>38</v>
      </c>
      <c r="C1218" s="2" t="s">
        <v>31</v>
      </c>
      <c r="D1218" s="2" t="s">
        <v>45</v>
      </c>
      <c r="E1218" s="2" t="s">
        <v>56</v>
      </c>
      <c r="F1218" s="5">
        <v>126432.0</v>
      </c>
      <c r="G1218" s="5">
        <v>1567.0</v>
      </c>
      <c r="H1218" s="5">
        <v>0.0124</v>
      </c>
      <c r="I1218" s="5">
        <v>1.65</v>
      </c>
      <c r="J1218" s="5">
        <v>2585.55</v>
      </c>
      <c r="K1218" s="5">
        <v>110.0</v>
      </c>
      <c r="L1218" s="5">
        <v>23.51</v>
      </c>
      <c r="M1218" s="5">
        <v>31358.68</v>
      </c>
      <c r="N1218" s="5">
        <v>12.13</v>
      </c>
      <c r="O1218" s="6">
        <f t="shared" si="1"/>
        <v>23.505</v>
      </c>
      <c r="P1218" s="6" t="str">
        <f t="shared" si="2"/>
        <v>Post-Shift</v>
      </c>
      <c r="Q1218" s="3">
        <f t="shared" si="3"/>
        <v>50</v>
      </c>
    </row>
    <row r="1219">
      <c r="A1219" s="4" t="s">
        <v>180</v>
      </c>
      <c r="B1219" s="2" t="s">
        <v>38</v>
      </c>
      <c r="C1219" s="2" t="s">
        <v>19</v>
      </c>
      <c r="D1219" s="2" t="s">
        <v>20</v>
      </c>
      <c r="E1219" s="2" t="s">
        <v>25</v>
      </c>
      <c r="F1219" s="5">
        <v>196595.0</v>
      </c>
      <c r="G1219" s="5">
        <v>2614.0</v>
      </c>
      <c r="H1219" s="5">
        <v>0.0133</v>
      </c>
      <c r="I1219" s="5">
        <v>0.38</v>
      </c>
      <c r="J1219" s="5">
        <v>993.32</v>
      </c>
      <c r="K1219" s="5">
        <v>28.0</v>
      </c>
      <c r="L1219" s="5">
        <v>35.48</v>
      </c>
      <c r="M1219" s="5">
        <v>6376.7</v>
      </c>
      <c r="N1219" s="5">
        <v>6.42</v>
      </c>
      <c r="O1219" s="6">
        <f t="shared" si="1"/>
        <v>35.47571429</v>
      </c>
      <c r="P1219" s="6" t="str">
        <f t="shared" si="2"/>
        <v>Post-Shift</v>
      </c>
      <c r="Q1219" s="3">
        <f t="shared" si="3"/>
        <v>13</v>
      </c>
    </row>
    <row r="1220">
      <c r="A1220" s="4" t="s">
        <v>189</v>
      </c>
      <c r="B1220" s="2" t="s">
        <v>38</v>
      </c>
      <c r="C1220" s="2" t="s">
        <v>19</v>
      </c>
      <c r="D1220" s="2" t="s">
        <v>45</v>
      </c>
      <c r="E1220" s="2" t="s">
        <v>25</v>
      </c>
      <c r="F1220" s="5">
        <v>14028.0</v>
      </c>
      <c r="G1220" s="5">
        <v>342.0</v>
      </c>
      <c r="H1220" s="5">
        <v>0.0244</v>
      </c>
      <c r="I1220" s="5">
        <v>1.89</v>
      </c>
      <c r="J1220" s="5">
        <v>646.38</v>
      </c>
      <c r="K1220" s="5">
        <v>7.0</v>
      </c>
      <c r="L1220" s="5">
        <v>92.34</v>
      </c>
      <c r="M1220" s="5">
        <v>716.51</v>
      </c>
      <c r="N1220" s="5">
        <v>1.11</v>
      </c>
      <c r="O1220" s="6">
        <f t="shared" si="1"/>
        <v>92.34</v>
      </c>
      <c r="P1220" s="6" t="str">
        <f t="shared" si="2"/>
        <v>Post-Shift</v>
      </c>
      <c r="Q1220" s="3">
        <f t="shared" si="3"/>
        <v>39</v>
      </c>
    </row>
    <row r="1221">
      <c r="A1221" s="4" t="s">
        <v>67</v>
      </c>
      <c r="B1221" s="2" t="s">
        <v>18</v>
      </c>
      <c r="C1221" s="2" t="s">
        <v>41</v>
      </c>
      <c r="D1221" s="2" t="s">
        <v>29</v>
      </c>
      <c r="E1221" s="2" t="s">
        <v>36</v>
      </c>
      <c r="F1221" s="5">
        <v>77964.0</v>
      </c>
      <c r="G1221" s="5">
        <v>2915.0</v>
      </c>
      <c r="H1221" s="5">
        <v>0.0374</v>
      </c>
      <c r="I1221" s="5">
        <v>3.38</v>
      </c>
      <c r="J1221" s="5">
        <v>9852.7</v>
      </c>
      <c r="K1221" s="5">
        <v>161.0</v>
      </c>
      <c r="L1221" s="5">
        <v>61.2</v>
      </c>
      <c r="M1221" s="5">
        <v>14283.0</v>
      </c>
      <c r="N1221" s="5">
        <v>1.45</v>
      </c>
      <c r="O1221" s="6">
        <f t="shared" si="1"/>
        <v>61.19689441</v>
      </c>
      <c r="P1221" s="6" t="str">
        <f t="shared" si="2"/>
        <v>Post-Shift</v>
      </c>
      <c r="Q1221" s="3">
        <f t="shared" si="3"/>
        <v>12</v>
      </c>
    </row>
    <row r="1222">
      <c r="A1222" s="4">
        <v>45630.0</v>
      </c>
      <c r="B1222" s="2" t="s">
        <v>18</v>
      </c>
      <c r="C1222" s="2" t="s">
        <v>19</v>
      </c>
      <c r="D1222" s="2" t="s">
        <v>20</v>
      </c>
      <c r="E1222" s="2" t="s">
        <v>25</v>
      </c>
      <c r="F1222" s="5">
        <v>102677.0</v>
      </c>
      <c r="G1222" s="5">
        <v>3131.0</v>
      </c>
      <c r="H1222" s="5">
        <v>0.0305</v>
      </c>
      <c r="I1222" s="5">
        <v>3.67</v>
      </c>
      <c r="J1222" s="5">
        <v>11490.77</v>
      </c>
      <c r="K1222" s="5">
        <v>79.0</v>
      </c>
      <c r="L1222" s="5">
        <v>145.45</v>
      </c>
      <c r="M1222" s="5">
        <v>13056.26</v>
      </c>
      <c r="N1222" s="5">
        <v>1.14</v>
      </c>
      <c r="O1222" s="6">
        <f t="shared" si="1"/>
        <v>145.4527848</v>
      </c>
      <c r="P1222" s="6" t="str">
        <f t="shared" si="2"/>
        <v>Post-Shift</v>
      </c>
      <c r="Q1222" s="3">
        <f t="shared" si="3"/>
        <v>15</v>
      </c>
    </row>
    <row r="1223">
      <c r="A1223" s="4" t="s">
        <v>243</v>
      </c>
      <c r="B1223" s="2" t="s">
        <v>18</v>
      </c>
      <c r="C1223" s="2" t="s">
        <v>19</v>
      </c>
      <c r="D1223" s="2" t="s">
        <v>20</v>
      </c>
      <c r="E1223" s="2" t="s">
        <v>33</v>
      </c>
      <c r="F1223" s="5">
        <v>137737.0</v>
      </c>
      <c r="G1223" s="5">
        <v>3925.0</v>
      </c>
      <c r="H1223" s="5">
        <v>0.0285</v>
      </c>
      <c r="I1223" s="5">
        <v>0.9</v>
      </c>
      <c r="J1223" s="5">
        <v>3532.5</v>
      </c>
      <c r="K1223" s="5">
        <v>78.0</v>
      </c>
      <c r="L1223" s="5">
        <v>45.29</v>
      </c>
      <c r="M1223" s="5">
        <v>11545.1</v>
      </c>
      <c r="N1223" s="5">
        <v>3.27</v>
      </c>
      <c r="O1223" s="6">
        <f t="shared" si="1"/>
        <v>45.28846154</v>
      </c>
      <c r="P1223" s="6" t="str">
        <f t="shared" si="2"/>
        <v>Post-Shift</v>
      </c>
      <c r="Q1223" s="3">
        <f t="shared" si="3"/>
        <v>53</v>
      </c>
    </row>
    <row r="1224">
      <c r="A1224" s="4">
        <v>45417.0</v>
      </c>
      <c r="B1224" s="2" t="s">
        <v>18</v>
      </c>
      <c r="C1224" s="2" t="s">
        <v>31</v>
      </c>
      <c r="D1224" s="2" t="s">
        <v>24</v>
      </c>
      <c r="E1224" s="2" t="s">
        <v>30</v>
      </c>
      <c r="F1224" s="5">
        <v>93534.0</v>
      </c>
      <c r="G1224" s="5">
        <v>3544.0</v>
      </c>
      <c r="H1224" s="5">
        <v>0.0379</v>
      </c>
      <c r="I1224" s="5">
        <v>0.95</v>
      </c>
      <c r="J1224" s="5">
        <v>3366.8</v>
      </c>
      <c r="K1224" s="5">
        <v>187.0</v>
      </c>
      <c r="L1224" s="5">
        <v>18.0</v>
      </c>
      <c r="M1224" s="5">
        <v>32280.5</v>
      </c>
      <c r="N1224" s="5">
        <v>9.59</v>
      </c>
      <c r="O1224" s="6">
        <f t="shared" si="1"/>
        <v>18.00427807</v>
      </c>
      <c r="P1224" s="6" t="str">
        <f t="shared" si="2"/>
        <v>Baseline</v>
      </c>
      <c r="Q1224" s="3">
        <f t="shared" si="3"/>
        <v>19</v>
      </c>
    </row>
    <row r="1225">
      <c r="A1225" s="4" t="s">
        <v>144</v>
      </c>
      <c r="B1225" s="2" t="s">
        <v>18</v>
      </c>
      <c r="C1225" s="2" t="s">
        <v>27</v>
      </c>
      <c r="D1225" s="2" t="s">
        <v>20</v>
      </c>
      <c r="E1225" s="2" t="s">
        <v>58</v>
      </c>
      <c r="F1225" s="5">
        <v>127475.0</v>
      </c>
      <c r="G1225" s="5">
        <v>7342.0</v>
      </c>
      <c r="H1225" s="5">
        <v>0.0576</v>
      </c>
      <c r="I1225" s="5">
        <v>2.34</v>
      </c>
      <c r="J1225" s="5">
        <v>17180.28</v>
      </c>
      <c r="K1225" s="5">
        <v>574.0</v>
      </c>
      <c r="L1225" s="5">
        <v>29.93</v>
      </c>
      <c r="M1225" s="5">
        <v>74747.49</v>
      </c>
      <c r="N1225" s="5">
        <v>4.35</v>
      </c>
      <c r="O1225" s="6">
        <f t="shared" si="1"/>
        <v>29.93080139</v>
      </c>
      <c r="P1225" s="6" t="str">
        <f t="shared" si="2"/>
        <v>Post-Shift</v>
      </c>
      <c r="Q1225" s="3">
        <f t="shared" si="3"/>
        <v>25</v>
      </c>
    </row>
    <row r="1226">
      <c r="A1226" s="4">
        <v>45544.0</v>
      </c>
      <c r="B1226" s="2" t="s">
        <v>18</v>
      </c>
      <c r="C1226" s="2" t="s">
        <v>41</v>
      </c>
      <c r="D1226" s="2" t="s">
        <v>32</v>
      </c>
      <c r="E1226" s="2" t="s">
        <v>30</v>
      </c>
      <c r="F1226" s="5">
        <v>82700.0</v>
      </c>
      <c r="G1226" s="5">
        <v>2679.0</v>
      </c>
      <c r="H1226" s="5">
        <v>0.0324</v>
      </c>
      <c r="I1226" s="5">
        <v>0.86</v>
      </c>
      <c r="J1226" s="5">
        <v>2303.94</v>
      </c>
      <c r="K1226" s="5">
        <v>140.0</v>
      </c>
      <c r="L1226" s="5">
        <v>16.46</v>
      </c>
      <c r="M1226" s="5">
        <v>20788.45</v>
      </c>
      <c r="N1226" s="5">
        <v>9.02</v>
      </c>
      <c r="O1226" s="6">
        <f t="shared" si="1"/>
        <v>16.45671429</v>
      </c>
      <c r="P1226" s="6" t="str">
        <f t="shared" si="2"/>
        <v>Post-Shift</v>
      </c>
      <c r="Q1226" s="3">
        <f t="shared" si="3"/>
        <v>37</v>
      </c>
    </row>
    <row r="1227">
      <c r="A1227" s="4" t="s">
        <v>174</v>
      </c>
      <c r="B1227" s="2" t="s">
        <v>23</v>
      </c>
      <c r="C1227" s="2" t="s">
        <v>31</v>
      </c>
      <c r="D1227" s="2" t="s">
        <v>45</v>
      </c>
      <c r="E1227" s="2" t="s">
        <v>25</v>
      </c>
      <c r="F1227" s="5">
        <v>96432.0</v>
      </c>
      <c r="G1227" s="5">
        <v>7155.0</v>
      </c>
      <c r="H1227" s="5">
        <v>0.0742</v>
      </c>
      <c r="I1227" s="5">
        <v>0.35</v>
      </c>
      <c r="J1227" s="5">
        <v>2504.25</v>
      </c>
      <c r="K1227" s="5">
        <v>336.0</v>
      </c>
      <c r="L1227" s="5">
        <v>7.45</v>
      </c>
      <c r="M1227" s="5">
        <v>47954.95</v>
      </c>
      <c r="N1227" s="5">
        <v>19.15</v>
      </c>
      <c r="O1227" s="6">
        <f t="shared" si="1"/>
        <v>7.453125</v>
      </c>
      <c r="P1227" s="6" t="str">
        <f t="shared" si="2"/>
        <v>Post-Shift</v>
      </c>
      <c r="Q1227" s="3">
        <f t="shared" si="3"/>
        <v>21</v>
      </c>
    </row>
    <row r="1228">
      <c r="A1228" s="4">
        <v>45455.0</v>
      </c>
      <c r="B1228" s="2" t="s">
        <v>23</v>
      </c>
      <c r="C1228" s="2" t="s">
        <v>31</v>
      </c>
      <c r="D1228" s="2" t="s">
        <v>32</v>
      </c>
      <c r="E1228" s="2" t="s">
        <v>30</v>
      </c>
      <c r="F1228" s="5">
        <v>154656.0</v>
      </c>
      <c r="G1228" s="5">
        <v>6557.0</v>
      </c>
      <c r="H1228" s="5">
        <v>0.0424</v>
      </c>
      <c r="I1228" s="5">
        <v>0.4</v>
      </c>
      <c r="J1228" s="5">
        <v>2622.8</v>
      </c>
      <c r="K1228" s="5">
        <v>345.0</v>
      </c>
      <c r="L1228" s="5">
        <v>7.6</v>
      </c>
      <c r="M1228" s="5">
        <v>49646.11</v>
      </c>
      <c r="N1228" s="5">
        <v>18.93</v>
      </c>
      <c r="O1228" s="6">
        <f t="shared" si="1"/>
        <v>7.602318841</v>
      </c>
      <c r="P1228" s="6" t="str">
        <f t="shared" si="2"/>
        <v>Baseline</v>
      </c>
      <c r="Q1228" s="3">
        <f t="shared" si="3"/>
        <v>49</v>
      </c>
    </row>
    <row r="1229">
      <c r="A1229" s="4" t="s">
        <v>259</v>
      </c>
      <c r="B1229" s="2" t="s">
        <v>18</v>
      </c>
      <c r="C1229" s="2" t="s">
        <v>27</v>
      </c>
      <c r="D1229" s="2" t="s">
        <v>29</v>
      </c>
      <c r="E1229" s="2" t="s">
        <v>25</v>
      </c>
      <c r="F1229" s="5">
        <v>115415.0</v>
      </c>
      <c r="G1229" s="5">
        <v>3866.0</v>
      </c>
      <c r="H1229" s="5">
        <v>0.0335</v>
      </c>
      <c r="I1229" s="5">
        <v>3.29</v>
      </c>
      <c r="J1229" s="5">
        <v>12719.14</v>
      </c>
      <c r="K1229" s="5">
        <v>280.0</v>
      </c>
      <c r="L1229" s="5">
        <v>45.43</v>
      </c>
      <c r="M1229" s="5">
        <v>61322.57</v>
      </c>
      <c r="N1229" s="5">
        <v>4.82</v>
      </c>
      <c r="O1229" s="6">
        <f t="shared" si="1"/>
        <v>45.4255</v>
      </c>
      <c r="P1229" s="6" t="str">
        <f t="shared" si="2"/>
        <v>Post-Shift</v>
      </c>
      <c r="Q1229" s="3">
        <f t="shared" si="3"/>
        <v>25</v>
      </c>
    </row>
    <row r="1230">
      <c r="A1230" s="4" t="s">
        <v>149</v>
      </c>
      <c r="B1230" s="2" t="s">
        <v>18</v>
      </c>
      <c r="C1230" s="2" t="s">
        <v>19</v>
      </c>
      <c r="D1230" s="2" t="s">
        <v>45</v>
      </c>
      <c r="E1230" s="2" t="s">
        <v>36</v>
      </c>
      <c r="F1230" s="5">
        <v>157963.0</v>
      </c>
      <c r="G1230" s="5">
        <v>5607.0</v>
      </c>
      <c r="H1230" s="5">
        <v>0.0355</v>
      </c>
      <c r="I1230" s="5">
        <v>0.88</v>
      </c>
      <c r="J1230" s="5">
        <v>4934.16</v>
      </c>
      <c r="K1230" s="5">
        <v>205.0</v>
      </c>
      <c r="L1230" s="5">
        <v>24.07</v>
      </c>
      <c r="M1230" s="5">
        <v>50937.22</v>
      </c>
      <c r="N1230" s="5">
        <v>10.32</v>
      </c>
      <c r="O1230" s="6">
        <f t="shared" si="1"/>
        <v>24.06907317</v>
      </c>
      <c r="P1230" s="6" t="str">
        <f t="shared" si="2"/>
        <v>Post-Shift</v>
      </c>
      <c r="Q1230" s="3">
        <f t="shared" si="3"/>
        <v>37</v>
      </c>
    </row>
    <row r="1231">
      <c r="A1231" s="4">
        <v>45449.0</v>
      </c>
      <c r="B1231" s="2" t="s">
        <v>38</v>
      </c>
      <c r="C1231" s="2" t="s">
        <v>27</v>
      </c>
      <c r="D1231" s="2" t="s">
        <v>20</v>
      </c>
      <c r="E1231" s="2" t="s">
        <v>36</v>
      </c>
      <c r="F1231" s="5">
        <v>133684.0</v>
      </c>
      <c r="G1231" s="5">
        <v>2018.0</v>
      </c>
      <c r="H1231" s="5">
        <v>0.0151</v>
      </c>
      <c r="I1231" s="5">
        <v>1.72</v>
      </c>
      <c r="J1231" s="5">
        <v>3470.96</v>
      </c>
      <c r="K1231" s="5">
        <v>44.0</v>
      </c>
      <c r="L1231" s="5">
        <v>78.89</v>
      </c>
      <c r="M1231" s="5">
        <v>11449.27</v>
      </c>
      <c r="N1231" s="5">
        <v>3.3</v>
      </c>
      <c r="O1231" s="6">
        <f t="shared" si="1"/>
        <v>78.88545455</v>
      </c>
      <c r="P1231" s="6" t="str">
        <f t="shared" si="2"/>
        <v>Baseline</v>
      </c>
      <c r="Q1231" s="3">
        <f t="shared" si="3"/>
        <v>23</v>
      </c>
    </row>
    <row r="1232">
      <c r="A1232" s="4">
        <v>45413.0</v>
      </c>
      <c r="B1232" s="2" t="s">
        <v>18</v>
      </c>
      <c r="C1232" s="2" t="s">
        <v>31</v>
      </c>
      <c r="D1232" s="2" t="s">
        <v>29</v>
      </c>
      <c r="E1232" s="2" t="s">
        <v>21</v>
      </c>
      <c r="F1232" s="5">
        <v>20091.0</v>
      </c>
      <c r="G1232" s="5">
        <v>956.0</v>
      </c>
      <c r="H1232" s="5">
        <v>0.0476</v>
      </c>
      <c r="I1232" s="5">
        <v>3.41</v>
      </c>
      <c r="J1232" s="5">
        <v>3259.96</v>
      </c>
      <c r="K1232" s="5">
        <v>36.0</v>
      </c>
      <c r="L1232" s="5">
        <v>90.55</v>
      </c>
      <c r="M1232" s="5">
        <v>9230.05</v>
      </c>
      <c r="N1232" s="5">
        <v>2.83</v>
      </c>
      <c r="O1232" s="6">
        <f t="shared" si="1"/>
        <v>90.55444444</v>
      </c>
      <c r="P1232" s="6" t="str">
        <f t="shared" si="2"/>
        <v>Baseline</v>
      </c>
      <c r="Q1232" s="3">
        <f t="shared" si="3"/>
        <v>1</v>
      </c>
    </row>
    <row r="1233">
      <c r="A1233" s="4" t="s">
        <v>131</v>
      </c>
      <c r="B1233" s="2" t="s">
        <v>18</v>
      </c>
      <c r="C1233" s="2" t="s">
        <v>41</v>
      </c>
      <c r="D1233" s="2" t="s">
        <v>45</v>
      </c>
      <c r="E1233" s="2" t="s">
        <v>36</v>
      </c>
      <c r="F1233" s="5">
        <v>126946.0</v>
      </c>
      <c r="G1233" s="5">
        <v>6728.0</v>
      </c>
      <c r="H1233" s="5">
        <v>0.053</v>
      </c>
      <c r="I1233" s="5">
        <v>2.31</v>
      </c>
      <c r="J1233" s="5">
        <v>15541.68</v>
      </c>
      <c r="K1233" s="5">
        <v>132.0</v>
      </c>
      <c r="L1233" s="5">
        <v>117.74</v>
      </c>
      <c r="M1233" s="5">
        <v>34256.99</v>
      </c>
      <c r="N1233" s="5">
        <v>2.2</v>
      </c>
      <c r="O1233" s="6">
        <f t="shared" si="1"/>
        <v>117.74</v>
      </c>
      <c r="P1233" s="6" t="str">
        <f t="shared" si="2"/>
        <v>Post-Shift</v>
      </c>
      <c r="Q1233" s="3">
        <f t="shared" si="3"/>
        <v>51</v>
      </c>
    </row>
    <row r="1234">
      <c r="A1234" s="4" t="s">
        <v>55</v>
      </c>
      <c r="B1234" s="2" t="s">
        <v>23</v>
      </c>
      <c r="C1234" s="2" t="s">
        <v>19</v>
      </c>
      <c r="D1234" s="2" t="s">
        <v>29</v>
      </c>
      <c r="E1234" s="2" t="s">
        <v>33</v>
      </c>
      <c r="F1234" s="5">
        <v>8311.0</v>
      </c>
      <c r="G1234" s="5">
        <v>476.0</v>
      </c>
      <c r="H1234" s="5">
        <v>0.0573</v>
      </c>
      <c r="I1234" s="5">
        <v>1.61</v>
      </c>
      <c r="J1234" s="5">
        <v>766.36</v>
      </c>
      <c r="K1234" s="5">
        <v>18.0</v>
      </c>
      <c r="L1234" s="5">
        <v>42.58</v>
      </c>
      <c r="M1234" s="5">
        <v>1064.02</v>
      </c>
      <c r="N1234" s="5">
        <v>1.39</v>
      </c>
      <c r="O1234" s="6">
        <f t="shared" si="1"/>
        <v>42.57555556</v>
      </c>
      <c r="P1234" s="6" t="str">
        <f t="shared" si="2"/>
        <v>Post-Shift</v>
      </c>
      <c r="Q1234" s="3">
        <f t="shared" si="3"/>
        <v>53</v>
      </c>
    </row>
    <row r="1235">
      <c r="A1235" s="4" t="s">
        <v>199</v>
      </c>
      <c r="B1235" s="2" t="s">
        <v>18</v>
      </c>
      <c r="C1235" s="2" t="s">
        <v>27</v>
      </c>
      <c r="D1235" s="2" t="s">
        <v>29</v>
      </c>
      <c r="E1235" s="2" t="s">
        <v>25</v>
      </c>
      <c r="F1235" s="5">
        <v>140091.0</v>
      </c>
      <c r="G1235" s="5">
        <v>7242.0</v>
      </c>
      <c r="H1235" s="5">
        <v>0.0517</v>
      </c>
      <c r="I1235" s="5">
        <v>2.52</v>
      </c>
      <c r="J1235" s="5">
        <v>18249.84</v>
      </c>
      <c r="K1235" s="5">
        <v>347.0</v>
      </c>
      <c r="L1235" s="5">
        <v>52.59</v>
      </c>
      <c r="M1235" s="5">
        <v>24525.17</v>
      </c>
      <c r="N1235" s="5">
        <v>1.34</v>
      </c>
      <c r="O1235" s="6">
        <f t="shared" si="1"/>
        <v>52.59319885</v>
      </c>
      <c r="P1235" s="6" t="str">
        <f t="shared" si="2"/>
        <v>Post-Shift</v>
      </c>
      <c r="Q1235" s="3">
        <f t="shared" si="3"/>
        <v>17</v>
      </c>
    </row>
    <row r="1236">
      <c r="A1236" s="4" t="s">
        <v>75</v>
      </c>
      <c r="B1236" s="2" t="s">
        <v>23</v>
      </c>
      <c r="C1236" s="2" t="s">
        <v>31</v>
      </c>
      <c r="D1236" s="2" t="s">
        <v>45</v>
      </c>
      <c r="E1236" s="2" t="s">
        <v>36</v>
      </c>
      <c r="F1236" s="5">
        <v>140121.0</v>
      </c>
      <c r="G1236" s="5">
        <v>4778.0</v>
      </c>
      <c r="H1236" s="5">
        <v>0.0341</v>
      </c>
      <c r="I1236" s="5">
        <v>0.86</v>
      </c>
      <c r="J1236" s="5">
        <v>4109.08</v>
      </c>
      <c r="K1236" s="5">
        <v>291.0</v>
      </c>
      <c r="L1236" s="5">
        <v>14.12</v>
      </c>
      <c r="M1236" s="5">
        <v>84859.67</v>
      </c>
      <c r="N1236" s="5">
        <v>20.65</v>
      </c>
      <c r="O1236" s="6">
        <f t="shared" si="1"/>
        <v>14.12054983</v>
      </c>
      <c r="P1236" s="6" t="str">
        <f t="shared" si="2"/>
        <v>Post-Shift</v>
      </c>
      <c r="Q1236" s="3">
        <f t="shared" si="3"/>
        <v>20</v>
      </c>
    </row>
    <row r="1237">
      <c r="A1237" s="4" t="s">
        <v>231</v>
      </c>
      <c r="B1237" s="2" t="s">
        <v>38</v>
      </c>
      <c r="C1237" s="2" t="s">
        <v>41</v>
      </c>
      <c r="D1237" s="2" t="s">
        <v>20</v>
      </c>
      <c r="E1237" s="2" t="s">
        <v>25</v>
      </c>
      <c r="F1237" s="5">
        <v>159301.0</v>
      </c>
      <c r="G1237" s="5">
        <v>6738.0</v>
      </c>
      <c r="H1237" s="5">
        <v>0.0423</v>
      </c>
      <c r="I1237" s="5">
        <v>2.18</v>
      </c>
      <c r="J1237" s="5">
        <v>14688.84</v>
      </c>
      <c r="K1237" s="5">
        <v>302.0</v>
      </c>
      <c r="L1237" s="5">
        <v>48.64</v>
      </c>
      <c r="M1237" s="5">
        <v>57570.61</v>
      </c>
      <c r="N1237" s="5">
        <v>3.92</v>
      </c>
      <c r="O1237" s="6">
        <f t="shared" si="1"/>
        <v>48.63854305</v>
      </c>
      <c r="P1237" s="6" t="str">
        <f t="shared" si="2"/>
        <v>Post-Shift</v>
      </c>
      <c r="Q1237" s="3">
        <f t="shared" si="3"/>
        <v>31</v>
      </c>
    </row>
    <row r="1238">
      <c r="A1238" s="4" t="s">
        <v>182</v>
      </c>
      <c r="B1238" s="2" t="s">
        <v>23</v>
      </c>
      <c r="C1238" s="2" t="s">
        <v>31</v>
      </c>
      <c r="D1238" s="2" t="s">
        <v>32</v>
      </c>
      <c r="E1238" s="2" t="s">
        <v>33</v>
      </c>
      <c r="F1238" s="5">
        <v>88940.0</v>
      </c>
      <c r="G1238" s="5">
        <v>4384.0</v>
      </c>
      <c r="H1238" s="5">
        <v>0.0493</v>
      </c>
      <c r="I1238" s="5">
        <v>0.32</v>
      </c>
      <c r="J1238" s="5">
        <v>1402.88</v>
      </c>
      <c r="K1238" s="5">
        <v>66.0</v>
      </c>
      <c r="L1238" s="5">
        <v>21.26</v>
      </c>
      <c r="M1238" s="5">
        <v>10447.12</v>
      </c>
      <c r="N1238" s="5">
        <v>7.45</v>
      </c>
      <c r="O1238" s="6">
        <f t="shared" si="1"/>
        <v>21.25575758</v>
      </c>
      <c r="P1238" s="6" t="str">
        <f t="shared" si="2"/>
        <v>Post-Shift</v>
      </c>
      <c r="Q1238" s="3">
        <f t="shared" si="3"/>
        <v>3</v>
      </c>
    </row>
    <row r="1239">
      <c r="A1239" s="4">
        <v>45390.0</v>
      </c>
      <c r="B1239" s="2" t="s">
        <v>38</v>
      </c>
      <c r="C1239" s="2" t="s">
        <v>19</v>
      </c>
      <c r="D1239" s="2" t="s">
        <v>20</v>
      </c>
      <c r="E1239" s="2" t="s">
        <v>36</v>
      </c>
      <c r="F1239" s="5">
        <v>194287.0</v>
      </c>
      <c r="G1239" s="5">
        <v>5032.0</v>
      </c>
      <c r="H1239" s="5">
        <v>0.0259</v>
      </c>
      <c r="I1239" s="5">
        <v>0.85</v>
      </c>
      <c r="J1239" s="5">
        <v>4277.2</v>
      </c>
      <c r="K1239" s="5">
        <v>338.0</v>
      </c>
      <c r="L1239" s="5">
        <v>12.65</v>
      </c>
      <c r="M1239" s="5">
        <v>32920.35</v>
      </c>
      <c r="N1239" s="5">
        <v>7.7</v>
      </c>
      <c r="O1239" s="6">
        <f t="shared" si="1"/>
        <v>12.65443787</v>
      </c>
      <c r="P1239" s="6" t="str">
        <f t="shared" si="2"/>
        <v>Baseline</v>
      </c>
      <c r="Q1239" s="3">
        <f t="shared" si="3"/>
        <v>32</v>
      </c>
    </row>
    <row r="1240">
      <c r="A1240" s="4">
        <v>45506.0</v>
      </c>
      <c r="B1240" s="2" t="s">
        <v>23</v>
      </c>
      <c r="C1240" s="2" t="s">
        <v>19</v>
      </c>
      <c r="D1240" s="2" t="s">
        <v>29</v>
      </c>
      <c r="E1240" s="2" t="s">
        <v>56</v>
      </c>
      <c r="F1240" s="5">
        <v>17911.0</v>
      </c>
      <c r="G1240" s="5">
        <v>1148.0</v>
      </c>
      <c r="H1240" s="5">
        <v>0.0641</v>
      </c>
      <c r="I1240" s="5">
        <v>1.15</v>
      </c>
      <c r="J1240" s="5">
        <v>1320.2</v>
      </c>
      <c r="K1240" s="5">
        <v>52.0</v>
      </c>
      <c r="L1240" s="5">
        <v>25.39</v>
      </c>
      <c r="M1240" s="5">
        <v>3388.21</v>
      </c>
      <c r="N1240" s="5">
        <v>2.57</v>
      </c>
      <c r="O1240" s="6">
        <f t="shared" si="1"/>
        <v>25.38846154</v>
      </c>
      <c r="P1240" s="6" t="str">
        <f t="shared" si="2"/>
        <v>Post-Shift</v>
      </c>
      <c r="Q1240" s="3">
        <f t="shared" si="3"/>
        <v>6</v>
      </c>
    </row>
    <row r="1241">
      <c r="A1241" s="4" t="s">
        <v>211</v>
      </c>
      <c r="B1241" s="2" t="s">
        <v>38</v>
      </c>
      <c r="C1241" s="2" t="s">
        <v>41</v>
      </c>
      <c r="D1241" s="2" t="s">
        <v>32</v>
      </c>
      <c r="E1241" s="2" t="s">
        <v>25</v>
      </c>
      <c r="F1241" s="5">
        <v>9909.0</v>
      </c>
      <c r="G1241" s="5">
        <v>170.0</v>
      </c>
      <c r="H1241" s="5">
        <v>0.0172</v>
      </c>
      <c r="I1241" s="5">
        <v>1.86</v>
      </c>
      <c r="J1241" s="5">
        <v>316.2</v>
      </c>
      <c r="K1241" s="5">
        <v>10.0</v>
      </c>
      <c r="L1241" s="5">
        <v>31.62</v>
      </c>
      <c r="M1241" s="5">
        <v>1238.47</v>
      </c>
      <c r="N1241" s="5">
        <v>3.92</v>
      </c>
      <c r="O1241" s="6">
        <f t="shared" si="1"/>
        <v>31.62</v>
      </c>
      <c r="P1241" s="6" t="str">
        <f t="shared" si="2"/>
        <v>Post-Shift</v>
      </c>
      <c r="Q1241" s="3">
        <f t="shared" si="3"/>
        <v>30</v>
      </c>
    </row>
    <row r="1242">
      <c r="A1242" s="4" t="s">
        <v>185</v>
      </c>
      <c r="B1242" s="2" t="s">
        <v>23</v>
      </c>
      <c r="C1242" s="2" t="s">
        <v>19</v>
      </c>
      <c r="D1242" s="2" t="s">
        <v>45</v>
      </c>
      <c r="E1242" s="2" t="s">
        <v>56</v>
      </c>
      <c r="F1242" s="5">
        <v>168616.0</v>
      </c>
      <c r="G1242" s="5">
        <v>6508.0</v>
      </c>
      <c r="H1242" s="5">
        <v>0.0386</v>
      </c>
      <c r="I1242" s="5">
        <v>1.02</v>
      </c>
      <c r="J1242" s="5">
        <v>6638.16</v>
      </c>
      <c r="K1242" s="5">
        <v>508.0</v>
      </c>
      <c r="L1242" s="5">
        <v>13.07</v>
      </c>
      <c r="M1242" s="5">
        <v>151081.1</v>
      </c>
      <c r="N1242" s="5">
        <v>22.76</v>
      </c>
      <c r="O1242" s="6">
        <f t="shared" si="1"/>
        <v>13.06724409</v>
      </c>
      <c r="P1242" s="6" t="str">
        <f t="shared" si="2"/>
        <v>Post-Shift</v>
      </c>
      <c r="Q1242" s="3">
        <f t="shared" si="3"/>
        <v>3</v>
      </c>
    </row>
    <row r="1243">
      <c r="A1243" s="4" t="s">
        <v>188</v>
      </c>
      <c r="B1243" s="2" t="s">
        <v>38</v>
      </c>
      <c r="C1243" s="2" t="s">
        <v>31</v>
      </c>
      <c r="D1243" s="2" t="s">
        <v>29</v>
      </c>
      <c r="E1243" s="2" t="s">
        <v>33</v>
      </c>
      <c r="F1243" s="5">
        <v>139346.0</v>
      </c>
      <c r="G1243" s="5">
        <v>4096.0</v>
      </c>
      <c r="H1243" s="5">
        <v>0.0294</v>
      </c>
      <c r="I1243" s="5">
        <v>0.62</v>
      </c>
      <c r="J1243" s="5">
        <v>2539.52</v>
      </c>
      <c r="K1243" s="5">
        <v>236.0</v>
      </c>
      <c r="L1243" s="5">
        <v>10.76</v>
      </c>
      <c r="M1243" s="5">
        <v>12521.54</v>
      </c>
      <c r="N1243" s="5">
        <v>4.93</v>
      </c>
      <c r="O1243" s="6">
        <f t="shared" si="1"/>
        <v>10.76067797</v>
      </c>
      <c r="P1243" s="6" t="str">
        <f t="shared" si="2"/>
        <v>Post-Shift</v>
      </c>
      <c r="Q1243" s="3">
        <f t="shared" si="3"/>
        <v>40</v>
      </c>
    </row>
    <row r="1244">
      <c r="A1244" s="4" t="s">
        <v>238</v>
      </c>
      <c r="B1244" s="2" t="s">
        <v>38</v>
      </c>
      <c r="C1244" s="2" t="s">
        <v>19</v>
      </c>
      <c r="D1244" s="2" t="s">
        <v>20</v>
      </c>
      <c r="E1244" s="2" t="s">
        <v>25</v>
      </c>
      <c r="F1244" s="5">
        <v>98740.0</v>
      </c>
      <c r="G1244" s="5">
        <v>1589.0</v>
      </c>
      <c r="H1244" s="5">
        <v>0.0161</v>
      </c>
      <c r="I1244" s="5">
        <v>2.09</v>
      </c>
      <c r="J1244" s="5">
        <v>3321.01</v>
      </c>
      <c r="K1244" s="5">
        <v>47.0</v>
      </c>
      <c r="L1244" s="5">
        <v>70.66</v>
      </c>
      <c r="M1244" s="5">
        <v>5063.31</v>
      </c>
      <c r="N1244" s="5">
        <v>1.52</v>
      </c>
      <c r="O1244" s="6">
        <f t="shared" si="1"/>
        <v>70.65978723</v>
      </c>
      <c r="P1244" s="6" t="str">
        <f t="shared" si="2"/>
        <v>Post-Shift</v>
      </c>
      <c r="Q1244" s="3">
        <f t="shared" si="3"/>
        <v>11</v>
      </c>
    </row>
    <row r="1245">
      <c r="A1245" s="4">
        <v>45328.0</v>
      </c>
      <c r="B1245" s="2" t="s">
        <v>23</v>
      </c>
      <c r="C1245" s="2" t="s">
        <v>27</v>
      </c>
      <c r="D1245" s="2" t="s">
        <v>24</v>
      </c>
      <c r="E1245" s="2" t="s">
        <v>56</v>
      </c>
      <c r="F1245" s="5">
        <v>26471.0</v>
      </c>
      <c r="G1245" s="5">
        <v>1890.0</v>
      </c>
      <c r="H1245" s="5">
        <v>0.0714</v>
      </c>
      <c r="I1245" s="5">
        <v>0.94</v>
      </c>
      <c r="J1245" s="5">
        <v>1776.6</v>
      </c>
      <c r="K1245" s="5">
        <v>74.0</v>
      </c>
      <c r="L1245" s="5">
        <v>24.01</v>
      </c>
      <c r="M1245" s="5">
        <v>21647.86</v>
      </c>
      <c r="N1245" s="5">
        <v>12.18</v>
      </c>
      <c r="O1245" s="6">
        <f t="shared" si="1"/>
        <v>24.00810811</v>
      </c>
      <c r="P1245" s="6" t="str">
        <f t="shared" si="2"/>
        <v>Baseline</v>
      </c>
      <c r="Q1245" s="3">
        <f t="shared" si="3"/>
        <v>23</v>
      </c>
    </row>
    <row r="1246">
      <c r="A1246" s="4" t="s">
        <v>102</v>
      </c>
      <c r="B1246" s="2" t="s">
        <v>38</v>
      </c>
      <c r="C1246" s="2" t="s">
        <v>41</v>
      </c>
      <c r="D1246" s="2" t="s">
        <v>29</v>
      </c>
      <c r="E1246" s="2" t="s">
        <v>30</v>
      </c>
      <c r="F1246" s="5">
        <v>174048.0</v>
      </c>
      <c r="G1246" s="5">
        <v>3846.0</v>
      </c>
      <c r="H1246" s="5">
        <v>0.0221</v>
      </c>
      <c r="I1246" s="5">
        <v>1.74</v>
      </c>
      <c r="J1246" s="5">
        <v>6692.04</v>
      </c>
      <c r="K1246" s="5">
        <v>75.0</v>
      </c>
      <c r="L1246" s="5">
        <v>89.23</v>
      </c>
      <c r="M1246" s="5">
        <v>18304.27</v>
      </c>
      <c r="N1246" s="5">
        <v>2.74</v>
      </c>
      <c r="O1246" s="6">
        <f t="shared" si="1"/>
        <v>89.2272</v>
      </c>
      <c r="P1246" s="6" t="str">
        <f t="shared" si="2"/>
        <v>Post-Shift</v>
      </c>
      <c r="Q1246" s="3">
        <f t="shared" si="3"/>
        <v>30</v>
      </c>
    </row>
    <row r="1247">
      <c r="A1247" s="4">
        <v>45295.0</v>
      </c>
      <c r="B1247" s="2" t="s">
        <v>38</v>
      </c>
      <c r="C1247" s="2" t="s">
        <v>19</v>
      </c>
      <c r="D1247" s="2" t="s">
        <v>29</v>
      </c>
      <c r="E1247" s="2" t="s">
        <v>58</v>
      </c>
      <c r="F1247" s="5">
        <v>8877.0</v>
      </c>
      <c r="G1247" s="5">
        <v>230.0</v>
      </c>
      <c r="H1247" s="5">
        <v>0.026</v>
      </c>
      <c r="I1247" s="5">
        <v>0.76</v>
      </c>
      <c r="J1247" s="5">
        <v>174.8</v>
      </c>
      <c r="K1247" s="5">
        <v>9.0</v>
      </c>
      <c r="L1247" s="5">
        <v>19.42</v>
      </c>
      <c r="M1247" s="5">
        <v>1921.06</v>
      </c>
      <c r="N1247" s="5">
        <v>10.99</v>
      </c>
      <c r="O1247" s="6">
        <f t="shared" si="1"/>
        <v>19.42222222</v>
      </c>
      <c r="P1247" s="6" t="str">
        <f t="shared" si="2"/>
        <v>Baseline</v>
      </c>
      <c r="Q1247" s="3">
        <f t="shared" si="3"/>
        <v>14</v>
      </c>
    </row>
    <row r="1248">
      <c r="A1248" s="4" t="s">
        <v>80</v>
      </c>
      <c r="B1248" s="2" t="s">
        <v>38</v>
      </c>
      <c r="C1248" s="2" t="s">
        <v>31</v>
      </c>
      <c r="D1248" s="2" t="s">
        <v>24</v>
      </c>
      <c r="E1248" s="2" t="s">
        <v>33</v>
      </c>
      <c r="F1248" s="5">
        <v>32488.0</v>
      </c>
      <c r="G1248" s="5">
        <v>919.0</v>
      </c>
      <c r="H1248" s="5">
        <v>0.0283</v>
      </c>
      <c r="I1248" s="5">
        <v>1.93</v>
      </c>
      <c r="J1248" s="5">
        <v>1773.67</v>
      </c>
      <c r="K1248" s="5">
        <v>32.0</v>
      </c>
      <c r="L1248" s="5">
        <v>55.43</v>
      </c>
      <c r="M1248" s="5">
        <v>7341.13</v>
      </c>
      <c r="N1248" s="5">
        <v>4.14</v>
      </c>
      <c r="O1248" s="6">
        <f t="shared" si="1"/>
        <v>55.4271875</v>
      </c>
      <c r="P1248" s="6" t="str">
        <f t="shared" si="2"/>
        <v>Post-Shift</v>
      </c>
      <c r="Q1248" s="3">
        <f t="shared" si="3"/>
        <v>20</v>
      </c>
    </row>
    <row r="1249">
      <c r="A1249" s="4">
        <v>45576.0</v>
      </c>
      <c r="B1249" s="2" t="s">
        <v>18</v>
      </c>
      <c r="C1249" s="2" t="s">
        <v>19</v>
      </c>
      <c r="D1249" s="2" t="s">
        <v>29</v>
      </c>
      <c r="E1249" s="2" t="s">
        <v>30</v>
      </c>
      <c r="F1249" s="5">
        <v>77968.0</v>
      </c>
      <c r="G1249" s="5">
        <v>3001.0</v>
      </c>
      <c r="H1249" s="5">
        <v>0.0385</v>
      </c>
      <c r="I1249" s="5">
        <v>2.85</v>
      </c>
      <c r="J1249" s="5">
        <v>8552.85</v>
      </c>
      <c r="K1249" s="5">
        <v>193.0</v>
      </c>
      <c r="L1249" s="5">
        <v>44.32</v>
      </c>
      <c r="M1249" s="5">
        <v>31448.71</v>
      </c>
      <c r="N1249" s="5">
        <v>3.68</v>
      </c>
      <c r="O1249" s="6">
        <f t="shared" si="1"/>
        <v>44.31528497</v>
      </c>
      <c r="P1249" s="6" t="str">
        <f t="shared" si="2"/>
        <v>Post-Shift</v>
      </c>
      <c r="Q1249" s="3">
        <f t="shared" si="3"/>
        <v>46</v>
      </c>
    </row>
    <row r="1250">
      <c r="A1250" s="4" t="s">
        <v>231</v>
      </c>
      <c r="B1250" s="2" t="s">
        <v>23</v>
      </c>
      <c r="C1250" s="2" t="s">
        <v>27</v>
      </c>
      <c r="D1250" s="2" t="s">
        <v>20</v>
      </c>
      <c r="E1250" s="2" t="s">
        <v>21</v>
      </c>
      <c r="F1250" s="5">
        <v>10156.0</v>
      </c>
      <c r="G1250" s="5">
        <v>474.0</v>
      </c>
      <c r="H1250" s="5">
        <v>0.0467</v>
      </c>
      <c r="I1250" s="5">
        <v>0.31</v>
      </c>
      <c r="J1250" s="5">
        <v>146.94</v>
      </c>
      <c r="K1250" s="5">
        <v>29.0</v>
      </c>
      <c r="L1250" s="5">
        <v>5.07</v>
      </c>
      <c r="M1250" s="5">
        <v>1480.61</v>
      </c>
      <c r="N1250" s="5">
        <v>10.08</v>
      </c>
      <c r="O1250" s="6">
        <f t="shared" si="1"/>
        <v>5.066896552</v>
      </c>
      <c r="P1250" s="6" t="str">
        <f t="shared" si="2"/>
        <v>Post-Shift</v>
      </c>
      <c r="Q1250" s="3">
        <f t="shared" si="3"/>
        <v>31</v>
      </c>
    </row>
    <row r="1251">
      <c r="A1251" s="4" t="s">
        <v>201</v>
      </c>
      <c r="B1251" s="2" t="s">
        <v>38</v>
      </c>
      <c r="C1251" s="2" t="s">
        <v>41</v>
      </c>
      <c r="D1251" s="2" t="s">
        <v>20</v>
      </c>
      <c r="E1251" s="2" t="s">
        <v>25</v>
      </c>
      <c r="F1251" s="5">
        <v>63676.0</v>
      </c>
      <c r="G1251" s="5">
        <v>1757.0</v>
      </c>
      <c r="H1251" s="5">
        <v>0.0276</v>
      </c>
      <c r="I1251" s="5">
        <v>1.16</v>
      </c>
      <c r="J1251" s="5">
        <v>2038.12</v>
      </c>
      <c r="K1251" s="5">
        <v>137.0</v>
      </c>
      <c r="L1251" s="5">
        <v>14.88</v>
      </c>
      <c r="M1251" s="5">
        <v>8830.01</v>
      </c>
      <c r="N1251" s="5">
        <v>4.33</v>
      </c>
      <c r="O1251" s="6">
        <f t="shared" si="1"/>
        <v>14.87678832</v>
      </c>
      <c r="P1251" s="6" t="str">
        <f t="shared" si="2"/>
        <v>Post-Shift</v>
      </c>
      <c r="Q1251" s="3">
        <f t="shared" si="3"/>
        <v>12</v>
      </c>
    </row>
    <row r="1252">
      <c r="A1252" s="4" t="s">
        <v>251</v>
      </c>
      <c r="B1252" s="2" t="s">
        <v>18</v>
      </c>
      <c r="C1252" s="2" t="s">
        <v>27</v>
      </c>
      <c r="D1252" s="2" t="s">
        <v>24</v>
      </c>
      <c r="E1252" s="2" t="s">
        <v>21</v>
      </c>
      <c r="F1252" s="5">
        <v>93545.0</v>
      </c>
      <c r="G1252" s="5">
        <v>2974.0</v>
      </c>
      <c r="H1252" s="5">
        <v>0.0318</v>
      </c>
      <c r="I1252" s="5">
        <v>1.16</v>
      </c>
      <c r="J1252" s="5">
        <v>3449.84</v>
      </c>
      <c r="K1252" s="5">
        <v>58.0</v>
      </c>
      <c r="L1252" s="5">
        <v>59.48</v>
      </c>
      <c r="M1252" s="5">
        <v>4267.11</v>
      </c>
      <c r="N1252" s="5">
        <v>1.24</v>
      </c>
      <c r="O1252" s="6">
        <f t="shared" si="1"/>
        <v>59.48</v>
      </c>
      <c r="P1252" s="6" t="str">
        <f t="shared" si="2"/>
        <v>Post-Shift</v>
      </c>
      <c r="Q1252" s="3">
        <f t="shared" si="3"/>
        <v>26</v>
      </c>
    </row>
    <row r="1253">
      <c r="A1253" s="4" t="s">
        <v>114</v>
      </c>
      <c r="B1253" s="2" t="s">
        <v>38</v>
      </c>
      <c r="C1253" s="2" t="s">
        <v>41</v>
      </c>
      <c r="D1253" s="2" t="s">
        <v>24</v>
      </c>
      <c r="E1253" s="2" t="s">
        <v>56</v>
      </c>
      <c r="F1253" s="5">
        <v>8671.0</v>
      </c>
      <c r="G1253" s="5">
        <v>156.0</v>
      </c>
      <c r="H1253" s="5">
        <v>0.018</v>
      </c>
      <c r="I1253" s="5">
        <v>1.46</v>
      </c>
      <c r="J1253" s="5">
        <v>227.76</v>
      </c>
      <c r="K1253" s="5">
        <v>7.0</v>
      </c>
      <c r="L1253" s="5">
        <v>32.54</v>
      </c>
      <c r="M1253" s="5">
        <v>1461.2</v>
      </c>
      <c r="N1253" s="5">
        <v>6.42</v>
      </c>
      <c r="O1253" s="6">
        <f t="shared" si="1"/>
        <v>32.53714286</v>
      </c>
      <c r="P1253" s="6" t="str">
        <f t="shared" si="2"/>
        <v>Post-Shift</v>
      </c>
      <c r="Q1253" s="3">
        <f t="shared" si="3"/>
        <v>8</v>
      </c>
    </row>
    <row r="1254">
      <c r="A1254" s="4">
        <v>45447.0</v>
      </c>
      <c r="B1254" s="2" t="s">
        <v>38</v>
      </c>
      <c r="C1254" s="2" t="s">
        <v>27</v>
      </c>
      <c r="D1254" s="2" t="s">
        <v>20</v>
      </c>
      <c r="E1254" s="2" t="s">
        <v>30</v>
      </c>
      <c r="F1254" s="5">
        <v>95930.0</v>
      </c>
      <c r="G1254" s="5">
        <v>1554.0</v>
      </c>
      <c r="H1254" s="5">
        <v>0.0162</v>
      </c>
      <c r="I1254" s="5">
        <v>0.72</v>
      </c>
      <c r="J1254" s="5">
        <v>1118.88</v>
      </c>
      <c r="K1254" s="5">
        <v>62.0</v>
      </c>
      <c r="L1254" s="5">
        <v>18.05</v>
      </c>
      <c r="M1254" s="5">
        <v>5774.95</v>
      </c>
      <c r="N1254" s="5">
        <v>5.16</v>
      </c>
      <c r="O1254" s="6">
        <f t="shared" si="1"/>
        <v>18.04645161</v>
      </c>
      <c r="P1254" s="6" t="str">
        <f t="shared" si="2"/>
        <v>Baseline</v>
      </c>
      <c r="Q1254" s="3">
        <f t="shared" si="3"/>
        <v>14</v>
      </c>
    </row>
    <row r="1255">
      <c r="A1255" s="4" t="s">
        <v>260</v>
      </c>
      <c r="B1255" s="2" t="s">
        <v>18</v>
      </c>
      <c r="C1255" s="2" t="s">
        <v>41</v>
      </c>
      <c r="D1255" s="2" t="s">
        <v>45</v>
      </c>
      <c r="E1255" s="2" t="s">
        <v>58</v>
      </c>
      <c r="F1255" s="5">
        <v>73683.0</v>
      </c>
      <c r="G1255" s="5">
        <v>3757.0</v>
      </c>
      <c r="H1255" s="5">
        <v>0.051</v>
      </c>
      <c r="I1255" s="5">
        <v>3.32</v>
      </c>
      <c r="J1255" s="5">
        <v>12473.24</v>
      </c>
      <c r="K1255" s="5">
        <v>131.0</v>
      </c>
      <c r="L1255" s="5">
        <v>95.22</v>
      </c>
      <c r="M1255" s="5">
        <v>33721.52</v>
      </c>
      <c r="N1255" s="5">
        <v>2.7</v>
      </c>
      <c r="O1255" s="6">
        <f t="shared" si="1"/>
        <v>95.21557252</v>
      </c>
      <c r="P1255" s="6" t="str">
        <f t="shared" si="2"/>
        <v>Post-Shift</v>
      </c>
      <c r="Q1255" s="3">
        <f t="shared" si="3"/>
        <v>30</v>
      </c>
    </row>
    <row r="1256">
      <c r="A1256" s="4" t="s">
        <v>197</v>
      </c>
      <c r="B1256" s="2" t="s">
        <v>38</v>
      </c>
      <c r="C1256" s="2" t="s">
        <v>31</v>
      </c>
      <c r="D1256" s="2" t="s">
        <v>32</v>
      </c>
      <c r="E1256" s="2" t="s">
        <v>56</v>
      </c>
      <c r="F1256" s="5">
        <v>152932.0</v>
      </c>
      <c r="G1256" s="5">
        <v>6591.0</v>
      </c>
      <c r="H1256" s="5">
        <v>0.0431</v>
      </c>
      <c r="I1256" s="5">
        <v>1.25</v>
      </c>
      <c r="J1256" s="5">
        <v>8238.75</v>
      </c>
      <c r="K1256" s="5">
        <v>200.0</v>
      </c>
      <c r="L1256" s="5">
        <v>41.19</v>
      </c>
      <c r="M1256" s="5">
        <v>14211.23</v>
      </c>
      <c r="N1256" s="5">
        <v>1.72</v>
      </c>
      <c r="O1256" s="6">
        <f t="shared" si="1"/>
        <v>41.19375</v>
      </c>
      <c r="P1256" s="6" t="str">
        <f t="shared" si="2"/>
        <v>Post-Shift</v>
      </c>
      <c r="Q1256" s="3">
        <f t="shared" si="3"/>
        <v>29</v>
      </c>
    </row>
    <row r="1257">
      <c r="A1257" s="4">
        <v>45294.0</v>
      </c>
      <c r="B1257" s="2" t="s">
        <v>23</v>
      </c>
      <c r="C1257" s="2" t="s">
        <v>31</v>
      </c>
      <c r="D1257" s="2" t="s">
        <v>32</v>
      </c>
      <c r="E1257" s="2" t="s">
        <v>21</v>
      </c>
      <c r="F1257" s="5">
        <v>125354.0</v>
      </c>
      <c r="G1257" s="5">
        <v>6179.0</v>
      </c>
      <c r="H1257" s="5">
        <v>0.0493</v>
      </c>
      <c r="I1257" s="5">
        <v>0.35</v>
      </c>
      <c r="J1257" s="5">
        <v>2162.65</v>
      </c>
      <c r="K1257" s="5">
        <v>259.0</v>
      </c>
      <c r="L1257" s="5">
        <v>8.35</v>
      </c>
      <c r="M1257" s="5">
        <v>9238.12</v>
      </c>
      <c r="N1257" s="5">
        <v>4.27</v>
      </c>
      <c r="O1257" s="6">
        <f t="shared" si="1"/>
        <v>8.35</v>
      </c>
      <c r="P1257" s="6" t="str">
        <f t="shared" si="2"/>
        <v>Baseline</v>
      </c>
      <c r="Q1257" s="3">
        <f t="shared" si="3"/>
        <v>9</v>
      </c>
    </row>
    <row r="1258">
      <c r="A1258" s="4">
        <v>45452.0</v>
      </c>
      <c r="B1258" s="2" t="s">
        <v>18</v>
      </c>
      <c r="C1258" s="2" t="s">
        <v>31</v>
      </c>
      <c r="D1258" s="2" t="s">
        <v>45</v>
      </c>
      <c r="E1258" s="2" t="s">
        <v>36</v>
      </c>
      <c r="F1258" s="5">
        <v>193613.0</v>
      </c>
      <c r="G1258" s="5">
        <v>9157.0</v>
      </c>
      <c r="H1258" s="5">
        <v>0.0473</v>
      </c>
      <c r="I1258" s="5">
        <v>2.79</v>
      </c>
      <c r="J1258" s="5">
        <v>25548.03</v>
      </c>
      <c r="K1258" s="5">
        <v>458.0</v>
      </c>
      <c r="L1258" s="5">
        <v>55.78</v>
      </c>
      <c r="M1258" s="5">
        <v>127981.4</v>
      </c>
      <c r="N1258" s="5">
        <v>5.01</v>
      </c>
      <c r="O1258" s="6">
        <f t="shared" si="1"/>
        <v>55.78172489</v>
      </c>
      <c r="P1258" s="6" t="str">
        <f t="shared" si="2"/>
        <v>Baseline</v>
      </c>
      <c r="Q1258" s="3">
        <f t="shared" si="3"/>
        <v>36</v>
      </c>
    </row>
    <row r="1259">
      <c r="A1259" s="4" t="s">
        <v>121</v>
      </c>
      <c r="B1259" s="2" t="s">
        <v>18</v>
      </c>
      <c r="C1259" s="2" t="s">
        <v>41</v>
      </c>
      <c r="D1259" s="2" t="s">
        <v>24</v>
      </c>
      <c r="E1259" s="2" t="s">
        <v>58</v>
      </c>
      <c r="F1259" s="5">
        <v>158138.0</v>
      </c>
      <c r="G1259" s="5">
        <v>2846.0</v>
      </c>
      <c r="H1259" s="5">
        <v>0.018</v>
      </c>
      <c r="I1259" s="5">
        <v>2.04</v>
      </c>
      <c r="J1259" s="5">
        <v>5805.84</v>
      </c>
      <c r="K1259" s="5">
        <v>143.0</v>
      </c>
      <c r="L1259" s="5">
        <v>40.6</v>
      </c>
      <c r="M1259" s="5">
        <v>22164.01</v>
      </c>
      <c r="N1259" s="5">
        <v>3.82</v>
      </c>
      <c r="O1259" s="6">
        <f t="shared" si="1"/>
        <v>40.60027972</v>
      </c>
      <c r="P1259" s="6" t="str">
        <f t="shared" si="2"/>
        <v>Post-Shift</v>
      </c>
      <c r="Q1259" s="3">
        <f t="shared" si="3"/>
        <v>48</v>
      </c>
    </row>
    <row r="1260">
      <c r="A1260" s="4" t="s">
        <v>169</v>
      </c>
      <c r="B1260" s="2" t="s">
        <v>18</v>
      </c>
      <c r="C1260" s="2" t="s">
        <v>27</v>
      </c>
      <c r="D1260" s="2" t="s">
        <v>29</v>
      </c>
      <c r="E1260" s="2" t="s">
        <v>21</v>
      </c>
      <c r="F1260" s="5">
        <v>134814.0</v>
      </c>
      <c r="G1260" s="5">
        <v>2804.0</v>
      </c>
      <c r="H1260" s="5">
        <v>0.0208</v>
      </c>
      <c r="I1260" s="5">
        <v>1.91</v>
      </c>
      <c r="J1260" s="5">
        <v>5355.64</v>
      </c>
      <c r="K1260" s="5">
        <v>195.0</v>
      </c>
      <c r="L1260" s="5">
        <v>27.46</v>
      </c>
      <c r="M1260" s="5">
        <v>46646.16</v>
      </c>
      <c r="N1260" s="5">
        <v>8.71</v>
      </c>
      <c r="O1260" s="6">
        <f t="shared" si="1"/>
        <v>27.46482051</v>
      </c>
      <c r="P1260" s="6" t="str">
        <f t="shared" si="2"/>
        <v>Post-Shift</v>
      </c>
      <c r="Q1260" s="3">
        <f t="shared" si="3"/>
        <v>26</v>
      </c>
    </row>
    <row r="1261">
      <c r="A1261" s="4" t="s">
        <v>158</v>
      </c>
      <c r="B1261" s="2" t="s">
        <v>18</v>
      </c>
      <c r="C1261" s="2" t="s">
        <v>19</v>
      </c>
      <c r="D1261" s="2" t="s">
        <v>45</v>
      </c>
      <c r="E1261" s="2" t="s">
        <v>58</v>
      </c>
      <c r="F1261" s="5">
        <v>102366.0</v>
      </c>
      <c r="G1261" s="5">
        <v>2589.0</v>
      </c>
      <c r="H1261" s="5">
        <v>0.0253</v>
      </c>
      <c r="I1261" s="5">
        <v>1.59</v>
      </c>
      <c r="J1261" s="5">
        <v>4116.51</v>
      </c>
      <c r="K1261" s="5">
        <v>148.0</v>
      </c>
      <c r="L1261" s="5">
        <v>27.81</v>
      </c>
      <c r="M1261" s="5">
        <v>35080.15</v>
      </c>
      <c r="N1261" s="5">
        <v>8.52</v>
      </c>
      <c r="O1261" s="6">
        <f t="shared" si="1"/>
        <v>27.81425676</v>
      </c>
      <c r="P1261" s="6" t="str">
        <f t="shared" si="2"/>
        <v>Post-Shift</v>
      </c>
      <c r="Q1261" s="3">
        <f t="shared" si="3"/>
        <v>8</v>
      </c>
    </row>
    <row r="1262">
      <c r="A1262" s="4" t="s">
        <v>65</v>
      </c>
      <c r="B1262" s="2" t="s">
        <v>38</v>
      </c>
      <c r="C1262" s="2" t="s">
        <v>41</v>
      </c>
      <c r="D1262" s="2" t="s">
        <v>29</v>
      </c>
      <c r="E1262" s="2" t="s">
        <v>36</v>
      </c>
      <c r="F1262" s="5">
        <v>159044.0</v>
      </c>
      <c r="G1262" s="5">
        <v>2385.0</v>
      </c>
      <c r="H1262" s="5">
        <v>0.015</v>
      </c>
      <c r="I1262" s="5">
        <v>1.65</v>
      </c>
      <c r="J1262" s="5">
        <v>3935.25</v>
      </c>
      <c r="K1262" s="5">
        <v>184.0</v>
      </c>
      <c r="L1262" s="5">
        <v>21.39</v>
      </c>
      <c r="M1262" s="5">
        <v>35387.51</v>
      </c>
      <c r="N1262" s="5">
        <v>8.99</v>
      </c>
      <c r="O1262" s="6">
        <f t="shared" si="1"/>
        <v>21.38722826</v>
      </c>
      <c r="P1262" s="6" t="str">
        <f t="shared" si="2"/>
        <v>Post-Shift</v>
      </c>
      <c r="Q1262" s="3">
        <f t="shared" si="3"/>
        <v>21</v>
      </c>
    </row>
    <row r="1263">
      <c r="A1263" s="4" t="s">
        <v>44</v>
      </c>
      <c r="B1263" s="2" t="s">
        <v>23</v>
      </c>
      <c r="C1263" s="2" t="s">
        <v>31</v>
      </c>
      <c r="D1263" s="2" t="s">
        <v>24</v>
      </c>
      <c r="E1263" s="2" t="s">
        <v>30</v>
      </c>
      <c r="F1263" s="5">
        <v>35932.0</v>
      </c>
      <c r="G1263" s="5">
        <v>1440.0</v>
      </c>
      <c r="H1263" s="5">
        <v>0.0401</v>
      </c>
      <c r="I1263" s="5">
        <v>0.91</v>
      </c>
      <c r="J1263" s="5">
        <v>1310.4</v>
      </c>
      <c r="K1263" s="5">
        <v>68.0</v>
      </c>
      <c r="L1263" s="5">
        <v>19.27</v>
      </c>
      <c r="M1263" s="5">
        <v>16668.75</v>
      </c>
      <c r="N1263" s="5">
        <v>12.72</v>
      </c>
      <c r="O1263" s="6">
        <f t="shared" si="1"/>
        <v>19.27058824</v>
      </c>
      <c r="P1263" s="6" t="str">
        <f t="shared" si="2"/>
        <v>Post-Shift</v>
      </c>
      <c r="Q1263" s="3">
        <f t="shared" si="3"/>
        <v>17</v>
      </c>
    </row>
    <row r="1264">
      <c r="A1264" s="4">
        <v>45295.0</v>
      </c>
      <c r="B1264" s="2" t="s">
        <v>23</v>
      </c>
      <c r="C1264" s="2" t="s">
        <v>41</v>
      </c>
      <c r="D1264" s="2" t="s">
        <v>24</v>
      </c>
      <c r="E1264" s="2" t="s">
        <v>58</v>
      </c>
      <c r="F1264" s="5">
        <v>116561.0</v>
      </c>
      <c r="G1264" s="5">
        <v>4231.0</v>
      </c>
      <c r="H1264" s="5">
        <v>0.0363</v>
      </c>
      <c r="I1264" s="5">
        <v>1.0</v>
      </c>
      <c r="J1264" s="5">
        <v>4231.0</v>
      </c>
      <c r="K1264" s="5">
        <v>172.0</v>
      </c>
      <c r="L1264" s="5">
        <v>24.6</v>
      </c>
      <c r="M1264" s="5">
        <v>42291.58</v>
      </c>
      <c r="N1264" s="5">
        <v>10.0</v>
      </c>
      <c r="O1264" s="6">
        <f t="shared" si="1"/>
        <v>24.59883721</v>
      </c>
      <c r="P1264" s="6" t="str">
        <f t="shared" si="2"/>
        <v>Baseline</v>
      </c>
      <c r="Q1264" s="3">
        <f t="shared" si="3"/>
        <v>14</v>
      </c>
    </row>
    <row r="1265">
      <c r="A1265" s="4">
        <v>45480.0</v>
      </c>
      <c r="B1265" s="2" t="s">
        <v>38</v>
      </c>
      <c r="C1265" s="2" t="s">
        <v>31</v>
      </c>
      <c r="D1265" s="2" t="s">
        <v>20</v>
      </c>
      <c r="E1265" s="2" t="s">
        <v>58</v>
      </c>
      <c r="F1265" s="5">
        <v>8608.0</v>
      </c>
      <c r="G1265" s="5">
        <v>100.0</v>
      </c>
      <c r="H1265" s="5">
        <v>0.0117</v>
      </c>
      <c r="I1265" s="5">
        <v>0.58</v>
      </c>
      <c r="J1265" s="5">
        <v>58.0</v>
      </c>
      <c r="K1265" s="5">
        <v>3.0</v>
      </c>
      <c r="L1265" s="5">
        <v>19.33</v>
      </c>
      <c r="M1265" s="5">
        <v>661.12</v>
      </c>
      <c r="N1265" s="5">
        <v>11.4</v>
      </c>
      <c r="O1265" s="6">
        <f t="shared" si="1"/>
        <v>19.33333333</v>
      </c>
      <c r="P1265" s="6" t="str">
        <f t="shared" si="2"/>
        <v>Post-Shift</v>
      </c>
      <c r="Q1265" s="3">
        <f t="shared" si="3"/>
        <v>28</v>
      </c>
    </row>
    <row r="1266">
      <c r="A1266" s="4" t="s">
        <v>162</v>
      </c>
      <c r="B1266" s="2" t="s">
        <v>38</v>
      </c>
      <c r="C1266" s="2" t="s">
        <v>19</v>
      </c>
      <c r="D1266" s="2" t="s">
        <v>45</v>
      </c>
      <c r="E1266" s="2" t="s">
        <v>21</v>
      </c>
      <c r="F1266" s="5">
        <v>19284.0</v>
      </c>
      <c r="G1266" s="5">
        <v>642.0</v>
      </c>
      <c r="H1266" s="5">
        <v>0.0333</v>
      </c>
      <c r="I1266" s="5">
        <v>1.57</v>
      </c>
      <c r="J1266" s="5">
        <v>1007.94</v>
      </c>
      <c r="K1266" s="5">
        <v>21.0</v>
      </c>
      <c r="L1266" s="5">
        <v>48.0</v>
      </c>
      <c r="M1266" s="5">
        <v>5907.29</v>
      </c>
      <c r="N1266" s="5">
        <v>5.86</v>
      </c>
      <c r="O1266" s="6">
        <f t="shared" si="1"/>
        <v>47.99714286</v>
      </c>
      <c r="P1266" s="6" t="str">
        <f t="shared" si="2"/>
        <v>Post-Shift</v>
      </c>
      <c r="Q1266" s="3">
        <f t="shared" si="3"/>
        <v>34</v>
      </c>
    </row>
    <row r="1267">
      <c r="A1267" s="4">
        <v>45476.0</v>
      </c>
      <c r="B1267" s="2" t="s">
        <v>38</v>
      </c>
      <c r="C1267" s="2" t="s">
        <v>41</v>
      </c>
      <c r="D1267" s="2" t="s">
        <v>20</v>
      </c>
      <c r="E1267" s="2" t="s">
        <v>56</v>
      </c>
      <c r="F1267" s="5">
        <v>161764.0</v>
      </c>
      <c r="G1267" s="5">
        <v>2652.0</v>
      </c>
      <c r="H1267" s="5">
        <v>0.0164</v>
      </c>
      <c r="I1267" s="5">
        <v>0.99</v>
      </c>
      <c r="J1267" s="5">
        <v>2625.48</v>
      </c>
      <c r="K1267" s="5">
        <v>76.0</v>
      </c>
      <c r="L1267" s="5">
        <v>34.55</v>
      </c>
      <c r="M1267" s="5">
        <v>16956.51</v>
      </c>
      <c r="N1267" s="5">
        <v>6.46</v>
      </c>
      <c r="O1267" s="6">
        <f t="shared" si="1"/>
        <v>34.54578947</v>
      </c>
      <c r="P1267" s="6" t="str">
        <f t="shared" si="2"/>
        <v>Post-Shift</v>
      </c>
      <c r="Q1267" s="3">
        <f t="shared" si="3"/>
        <v>10</v>
      </c>
    </row>
    <row r="1268">
      <c r="A1268" s="4">
        <v>45608.0</v>
      </c>
      <c r="B1268" s="2" t="s">
        <v>23</v>
      </c>
      <c r="C1268" s="2" t="s">
        <v>27</v>
      </c>
      <c r="D1268" s="2" t="s">
        <v>20</v>
      </c>
      <c r="E1268" s="2" t="s">
        <v>33</v>
      </c>
      <c r="F1268" s="5">
        <v>116045.0</v>
      </c>
      <c r="G1268" s="5">
        <v>6660.0</v>
      </c>
      <c r="H1268" s="5">
        <v>0.0574</v>
      </c>
      <c r="I1268" s="5">
        <v>0.35</v>
      </c>
      <c r="J1268" s="5">
        <v>2331.0</v>
      </c>
      <c r="K1268" s="5">
        <v>467.0</v>
      </c>
      <c r="L1268" s="5">
        <v>4.99</v>
      </c>
      <c r="M1268" s="5">
        <v>76092.65</v>
      </c>
      <c r="N1268" s="5">
        <v>32.64</v>
      </c>
      <c r="O1268" s="6">
        <f t="shared" si="1"/>
        <v>4.99143469</v>
      </c>
      <c r="P1268" s="6" t="str">
        <f t="shared" si="2"/>
        <v>Post-Shift</v>
      </c>
      <c r="Q1268" s="3">
        <f t="shared" si="3"/>
        <v>50</v>
      </c>
    </row>
    <row r="1269">
      <c r="A1269" s="4">
        <v>45449.0</v>
      </c>
      <c r="B1269" s="2" t="s">
        <v>38</v>
      </c>
      <c r="C1269" s="2" t="s">
        <v>31</v>
      </c>
      <c r="D1269" s="2" t="s">
        <v>45</v>
      </c>
      <c r="E1269" s="2" t="s">
        <v>25</v>
      </c>
      <c r="F1269" s="5">
        <v>61395.0</v>
      </c>
      <c r="G1269" s="5">
        <v>2038.0</v>
      </c>
      <c r="H1269" s="5">
        <v>0.0332</v>
      </c>
      <c r="I1269" s="5">
        <v>2.36</v>
      </c>
      <c r="J1269" s="5">
        <v>4809.68</v>
      </c>
      <c r="K1269" s="5">
        <v>102.0</v>
      </c>
      <c r="L1269" s="5">
        <v>47.15</v>
      </c>
      <c r="M1269" s="5">
        <v>16290.15</v>
      </c>
      <c r="N1269" s="5">
        <v>3.39</v>
      </c>
      <c r="O1269" s="6">
        <f t="shared" si="1"/>
        <v>47.15372549</v>
      </c>
      <c r="P1269" s="6" t="str">
        <f t="shared" si="2"/>
        <v>Baseline</v>
      </c>
      <c r="Q1269" s="3">
        <f t="shared" si="3"/>
        <v>23</v>
      </c>
    </row>
    <row r="1270">
      <c r="A1270" s="4">
        <v>45326.0</v>
      </c>
      <c r="B1270" s="2" t="s">
        <v>18</v>
      </c>
      <c r="C1270" s="2" t="s">
        <v>31</v>
      </c>
      <c r="D1270" s="2" t="s">
        <v>24</v>
      </c>
      <c r="E1270" s="2" t="s">
        <v>21</v>
      </c>
      <c r="F1270" s="5">
        <v>119183.0</v>
      </c>
      <c r="G1270" s="5">
        <v>5041.0</v>
      </c>
      <c r="H1270" s="5">
        <v>0.0423</v>
      </c>
      <c r="I1270" s="5">
        <v>3.38</v>
      </c>
      <c r="J1270" s="5">
        <v>17038.58</v>
      </c>
      <c r="K1270" s="5">
        <v>121.0</v>
      </c>
      <c r="L1270" s="5">
        <v>140.81</v>
      </c>
      <c r="M1270" s="5">
        <v>25438.17</v>
      </c>
      <c r="N1270" s="5">
        <v>1.49</v>
      </c>
      <c r="O1270" s="6">
        <f t="shared" si="1"/>
        <v>140.8147107</v>
      </c>
      <c r="P1270" s="6" t="str">
        <f t="shared" si="2"/>
        <v>Baseline</v>
      </c>
      <c r="Q1270" s="3">
        <f t="shared" si="3"/>
        <v>14</v>
      </c>
    </row>
    <row r="1271">
      <c r="A1271" s="4">
        <v>45392.0</v>
      </c>
      <c r="B1271" s="2" t="s">
        <v>38</v>
      </c>
      <c r="C1271" s="2" t="s">
        <v>19</v>
      </c>
      <c r="D1271" s="2" t="s">
        <v>45</v>
      </c>
      <c r="E1271" s="2" t="s">
        <v>21</v>
      </c>
      <c r="F1271" s="5">
        <v>26747.0</v>
      </c>
      <c r="G1271" s="5">
        <v>1099.0</v>
      </c>
      <c r="H1271" s="5">
        <v>0.0411</v>
      </c>
      <c r="I1271" s="5">
        <v>1.14</v>
      </c>
      <c r="J1271" s="5">
        <v>1252.86</v>
      </c>
      <c r="K1271" s="5">
        <v>36.0</v>
      </c>
      <c r="L1271" s="5">
        <v>34.8</v>
      </c>
      <c r="M1271" s="5">
        <v>5626.79</v>
      </c>
      <c r="N1271" s="5">
        <v>4.49</v>
      </c>
      <c r="O1271" s="6">
        <f t="shared" si="1"/>
        <v>34.80166667</v>
      </c>
      <c r="P1271" s="6" t="str">
        <f t="shared" si="2"/>
        <v>Baseline</v>
      </c>
      <c r="Q1271" s="3">
        <f t="shared" si="3"/>
        <v>40</v>
      </c>
    </row>
    <row r="1272">
      <c r="A1272" s="4" t="s">
        <v>155</v>
      </c>
      <c r="B1272" s="2" t="s">
        <v>38</v>
      </c>
      <c r="C1272" s="2" t="s">
        <v>41</v>
      </c>
      <c r="D1272" s="2" t="s">
        <v>24</v>
      </c>
      <c r="E1272" s="2" t="s">
        <v>33</v>
      </c>
      <c r="F1272" s="5">
        <v>157898.0</v>
      </c>
      <c r="G1272" s="5">
        <v>3094.0</v>
      </c>
      <c r="H1272" s="5">
        <v>0.0196</v>
      </c>
      <c r="I1272" s="5">
        <v>2.39</v>
      </c>
      <c r="J1272" s="5">
        <v>7394.66</v>
      </c>
      <c r="K1272" s="5">
        <v>245.0</v>
      </c>
      <c r="L1272" s="5">
        <v>30.18</v>
      </c>
      <c r="M1272" s="5">
        <v>72430.36</v>
      </c>
      <c r="N1272" s="5">
        <v>9.79</v>
      </c>
      <c r="O1272" s="6">
        <f t="shared" si="1"/>
        <v>30.18228571</v>
      </c>
      <c r="P1272" s="6" t="str">
        <f t="shared" si="2"/>
        <v>Post-Shift</v>
      </c>
      <c r="Q1272" s="3">
        <f t="shared" si="3"/>
        <v>51</v>
      </c>
    </row>
    <row r="1273">
      <c r="A1273" s="4" t="s">
        <v>186</v>
      </c>
      <c r="B1273" s="2" t="s">
        <v>38</v>
      </c>
      <c r="C1273" s="2" t="s">
        <v>19</v>
      </c>
      <c r="D1273" s="2" t="s">
        <v>29</v>
      </c>
      <c r="E1273" s="2" t="s">
        <v>30</v>
      </c>
      <c r="F1273" s="5">
        <v>49456.0</v>
      </c>
      <c r="G1273" s="5">
        <v>801.0</v>
      </c>
      <c r="H1273" s="5">
        <v>0.0162</v>
      </c>
      <c r="I1273" s="5">
        <v>1.86</v>
      </c>
      <c r="J1273" s="5">
        <v>1489.86</v>
      </c>
      <c r="K1273" s="5">
        <v>50.0</v>
      </c>
      <c r="L1273" s="5">
        <v>29.8</v>
      </c>
      <c r="M1273" s="5">
        <v>4108.2</v>
      </c>
      <c r="N1273" s="5">
        <v>2.76</v>
      </c>
      <c r="O1273" s="6">
        <f t="shared" si="1"/>
        <v>29.7972</v>
      </c>
      <c r="P1273" s="6" t="str">
        <f t="shared" si="2"/>
        <v>Post-Shift</v>
      </c>
      <c r="Q1273" s="3">
        <f t="shared" si="3"/>
        <v>26</v>
      </c>
    </row>
    <row r="1274">
      <c r="A1274" s="4" t="s">
        <v>111</v>
      </c>
      <c r="B1274" s="2" t="s">
        <v>18</v>
      </c>
      <c r="C1274" s="2" t="s">
        <v>27</v>
      </c>
      <c r="D1274" s="2" t="s">
        <v>32</v>
      </c>
      <c r="E1274" s="2" t="s">
        <v>36</v>
      </c>
      <c r="F1274" s="5">
        <v>150213.0</v>
      </c>
      <c r="G1274" s="5">
        <v>5242.0</v>
      </c>
      <c r="H1274" s="5">
        <v>0.0349</v>
      </c>
      <c r="I1274" s="5">
        <v>3.15</v>
      </c>
      <c r="J1274" s="5">
        <v>16512.3</v>
      </c>
      <c r="K1274" s="5">
        <v>332.0</v>
      </c>
      <c r="L1274" s="5">
        <v>49.74</v>
      </c>
      <c r="M1274" s="5">
        <v>64497.69</v>
      </c>
      <c r="N1274" s="5">
        <v>3.91</v>
      </c>
      <c r="O1274" s="6">
        <f t="shared" si="1"/>
        <v>49.73584337</v>
      </c>
      <c r="P1274" s="6" t="str">
        <f t="shared" si="2"/>
        <v>Post-Shift</v>
      </c>
      <c r="Q1274" s="3">
        <f t="shared" si="3"/>
        <v>7</v>
      </c>
    </row>
    <row r="1275">
      <c r="A1275" s="4">
        <v>45474.0</v>
      </c>
      <c r="B1275" s="2" t="s">
        <v>18</v>
      </c>
      <c r="C1275" s="2" t="s">
        <v>31</v>
      </c>
      <c r="D1275" s="2" t="s">
        <v>24</v>
      </c>
      <c r="E1275" s="2" t="s">
        <v>30</v>
      </c>
      <c r="F1275" s="5">
        <v>73305.0</v>
      </c>
      <c r="G1275" s="5">
        <v>3635.0</v>
      </c>
      <c r="H1275" s="5">
        <v>0.0496</v>
      </c>
      <c r="I1275" s="5">
        <v>2.48</v>
      </c>
      <c r="J1275" s="5">
        <v>9014.8</v>
      </c>
      <c r="K1275" s="5">
        <v>47.0</v>
      </c>
      <c r="L1275" s="5">
        <v>191.8</v>
      </c>
      <c r="M1275" s="5">
        <v>2210.35</v>
      </c>
      <c r="N1275" s="5">
        <v>0.25</v>
      </c>
      <c r="O1275" s="6">
        <f t="shared" si="1"/>
        <v>191.8042553</v>
      </c>
      <c r="P1275" s="6" t="str">
        <f t="shared" si="2"/>
        <v>Post-Shift</v>
      </c>
      <c r="Q1275" s="3">
        <f t="shared" si="3"/>
        <v>2</v>
      </c>
    </row>
    <row r="1276">
      <c r="A1276" s="4" t="s">
        <v>259</v>
      </c>
      <c r="B1276" s="2" t="s">
        <v>23</v>
      </c>
      <c r="C1276" s="2" t="s">
        <v>41</v>
      </c>
      <c r="D1276" s="2" t="s">
        <v>20</v>
      </c>
      <c r="E1276" s="2" t="s">
        <v>25</v>
      </c>
      <c r="F1276" s="5">
        <v>187663.0</v>
      </c>
      <c r="G1276" s="5">
        <v>10790.0</v>
      </c>
      <c r="H1276" s="5">
        <v>0.0575</v>
      </c>
      <c r="I1276" s="5">
        <v>0.69</v>
      </c>
      <c r="J1276" s="5">
        <v>7445.1</v>
      </c>
      <c r="K1276" s="5">
        <v>121.0</v>
      </c>
      <c r="L1276" s="5">
        <v>61.53</v>
      </c>
      <c r="M1276" s="5">
        <v>18190.79</v>
      </c>
      <c r="N1276" s="5">
        <v>2.44</v>
      </c>
      <c r="O1276" s="6">
        <f t="shared" si="1"/>
        <v>61.52975207</v>
      </c>
      <c r="P1276" s="6" t="str">
        <f t="shared" si="2"/>
        <v>Post-Shift</v>
      </c>
      <c r="Q1276" s="3">
        <f t="shared" si="3"/>
        <v>25</v>
      </c>
    </row>
    <row r="1277">
      <c r="A1277" s="4" t="s">
        <v>198</v>
      </c>
      <c r="B1277" s="2" t="s">
        <v>23</v>
      </c>
      <c r="C1277" s="2" t="s">
        <v>41</v>
      </c>
      <c r="D1277" s="2" t="s">
        <v>29</v>
      </c>
      <c r="E1277" s="2" t="s">
        <v>30</v>
      </c>
      <c r="F1277" s="5">
        <v>85066.0</v>
      </c>
      <c r="G1277" s="5">
        <v>5903.0</v>
      </c>
      <c r="H1277" s="5">
        <v>0.0694</v>
      </c>
      <c r="I1277" s="5">
        <v>1.3</v>
      </c>
      <c r="J1277" s="5">
        <v>7673.9</v>
      </c>
      <c r="K1277" s="5">
        <v>465.0</v>
      </c>
      <c r="L1277" s="5">
        <v>16.5</v>
      </c>
      <c r="M1277" s="5">
        <v>85397.14</v>
      </c>
      <c r="N1277" s="5">
        <v>11.13</v>
      </c>
      <c r="O1277" s="6">
        <f t="shared" si="1"/>
        <v>16.50301075</v>
      </c>
      <c r="P1277" s="6" t="str">
        <f t="shared" si="2"/>
        <v>Post-Shift</v>
      </c>
      <c r="Q1277" s="3">
        <f t="shared" si="3"/>
        <v>44</v>
      </c>
    </row>
    <row r="1278">
      <c r="A1278" s="4">
        <v>45414.0</v>
      </c>
      <c r="B1278" s="2" t="s">
        <v>18</v>
      </c>
      <c r="C1278" s="2" t="s">
        <v>31</v>
      </c>
      <c r="D1278" s="2" t="s">
        <v>24</v>
      </c>
      <c r="E1278" s="2" t="s">
        <v>30</v>
      </c>
      <c r="F1278" s="5">
        <v>12045.0</v>
      </c>
      <c r="G1278" s="5">
        <v>255.0</v>
      </c>
      <c r="H1278" s="5">
        <v>0.0212</v>
      </c>
      <c r="I1278" s="5">
        <v>2.02</v>
      </c>
      <c r="J1278" s="5">
        <v>515.1</v>
      </c>
      <c r="K1278" s="5">
        <v>4.0</v>
      </c>
      <c r="L1278" s="5">
        <v>128.78</v>
      </c>
      <c r="M1278" s="5">
        <v>161.02</v>
      </c>
      <c r="N1278" s="5">
        <v>0.31</v>
      </c>
      <c r="O1278" s="6">
        <f t="shared" si="1"/>
        <v>128.775</v>
      </c>
      <c r="P1278" s="6" t="str">
        <f t="shared" si="2"/>
        <v>Baseline</v>
      </c>
      <c r="Q1278" s="3">
        <f t="shared" si="3"/>
        <v>6</v>
      </c>
    </row>
    <row r="1279">
      <c r="A1279" s="4">
        <v>45509.0</v>
      </c>
      <c r="B1279" s="2" t="s">
        <v>18</v>
      </c>
      <c r="C1279" s="2" t="s">
        <v>27</v>
      </c>
      <c r="D1279" s="2" t="s">
        <v>20</v>
      </c>
      <c r="E1279" s="2" t="s">
        <v>21</v>
      </c>
      <c r="F1279" s="5">
        <v>77796.0</v>
      </c>
      <c r="G1279" s="5">
        <v>3703.0</v>
      </c>
      <c r="H1279" s="5">
        <v>0.0476</v>
      </c>
      <c r="I1279" s="5">
        <v>2.67</v>
      </c>
      <c r="J1279" s="5">
        <v>9887.01</v>
      </c>
      <c r="K1279" s="5">
        <v>182.0</v>
      </c>
      <c r="L1279" s="5">
        <v>54.32</v>
      </c>
      <c r="M1279" s="5">
        <v>43235.35</v>
      </c>
      <c r="N1279" s="5">
        <v>4.37</v>
      </c>
      <c r="O1279" s="6">
        <f t="shared" si="1"/>
        <v>54.32423077</v>
      </c>
      <c r="P1279" s="6" t="str">
        <f t="shared" si="2"/>
        <v>Post-Shift</v>
      </c>
      <c r="Q1279" s="3">
        <f t="shared" si="3"/>
        <v>19</v>
      </c>
    </row>
    <row r="1280">
      <c r="A1280" s="4">
        <v>45414.0</v>
      </c>
      <c r="B1280" s="2" t="s">
        <v>23</v>
      </c>
      <c r="C1280" s="2" t="s">
        <v>31</v>
      </c>
      <c r="D1280" s="2" t="s">
        <v>20</v>
      </c>
      <c r="E1280" s="2" t="s">
        <v>25</v>
      </c>
      <c r="F1280" s="5">
        <v>90443.0</v>
      </c>
      <c r="G1280" s="5">
        <v>3789.0</v>
      </c>
      <c r="H1280" s="5">
        <v>0.0419</v>
      </c>
      <c r="I1280" s="5">
        <v>0.57</v>
      </c>
      <c r="J1280" s="5">
        <v>2159.73</v>
      </c>
      <c r="K1280" s="5">
        <v>94.0</v>
      </c>
      <c r="L1280" s="5">
        <v>22.98</v>
      </c>
      <c r="M1280" s="5">
        <v>16003.58</v>
      </c>
      <c r="N1280" s="5">
        <v>7.41</v>
      </c>
      <c r="O1280" s="6">
        <f t="shared" si="1"/>
        <v>22.97585106</v>
      </c>
      <c r="P1280" s="6" t="str">
        <f t="shared" si="2"/>
        <v>Baseline</v>
      </c>
      <c r="Q1280" s="3">
        <f t="shared" si="3"/>
        <v>6</v>
      </c>
    </row>
    <row r="1281">
      <c r="A1281" s="4" t="s">
        <v>161</v>
      </c>
      <c r="B1281" s="2" t="s">
        <v>38</v>
      </c>
      <c r="C1281" s="2" t="s">
        <v>41</v>
      </c>
      <c r="D1281" s="2" t="s">
        <v>45</v>
      </c>
      <c r="E1281" s="2" t="s">
        <v>36</v>
      </c>
      <c r="F1281" s="5">
        <v>52838.0</v>
      </c>
      <c r="G1281" s="5">
        <v>660.0</v>
      </c>
      <c r="H1281" s="5">
        <v>0.0125</v>
      </c>
      <c r="I1281" s="5">
        <v>1.78</v>
      </c>
      <c r="J1281" s="5">
        <v>1174.8</v>
      </c>
      <c r="K1281" s="5">
        <v>14.0</v>
      </c>
      <c r="L1281" s="5">
        <v>83.91</v>
      </c>
      <c r="M1281" s="5">
        <v>2258.16</v>
      </c>
      <c r="N1281" s="5">
        <v>1.92</v>
      </c>
      <c r="O1281" s="6">
        <f t="shared" si="1"/>
        <v>83.91428571</v>
      </c>
      <c r="P1281" s="6" t="str">
        <f t="shared" si="2"/>
        <v>Post-Shift</v>
      </c>
      <c r="Q1281" s="3">
        <f t="shared" si="3"/>
        <v>12</v>
      </c>
    </row>
    <row r="1282">
      <c r="A1282" s="4" t="s">
        <v>78</v>
      </c>
      <c r="B1282" s="2" t="s">
        <v>38</v>
      </c>
      <c r="C1282" s="2" t="s">
        <v>27</v>
      </c>
      <c r="D1282" s="2" t="s">
        <v>45</v>
      </c>
      <c r="E1282" s="2" t="s">
        <v>58</v>
      </c>
      <c r="F1282" s="5">
        <v>61284.0</v>
      </c>
      <c r="G1282" s="5">
        <v>1574.0</v>
      </c>
      <c r="H1282" s="5">
        <v>0.0257</v>
      </c>
      <c r="I1282" s="5">
        <v>1.52</v>
      </c>
      <c r="J1282" s="5">
        <v>2392.48</v>
      </c>
      <c r="K1282" s="5">
        <v>32.0</v>
      </c>
      <c r="L1282" s="5">
        <v>74.77</v>
      </c>
      <c r="M1282" s="5">
        <v>3680.82</v>
      </c>
      <c r="N1282" s="5">
        <v>1.54</v>
      </c>
      <c r="O1282" s="6">
        <f t="shared" si="1"/>
        <v>74.765</v>
      </c>
      <c r="P1282" s="6" t="str">
        <f t="shared" si="2"/>
        <v>Post-Shift</v>
      </c>
      <c r="Q1282" s="3">
        <f t="shared" si="3"/>
        <v>24</v>
      </c>
    </row>
    <row r="1283">
      <c r="A1283" s="4">
        <v>45323.0</v>
      </c>
      <c r="B1283" s="2" t="s">
        <v>38</v>
      </c>
      <c r="C1283" s="2" t="s">
        <v>19</v>
      </c>
      <c r="D1283" s="2" t="s">
        <v>29</v>
      </c>
      <c r="E1283" s="2" t="s">
        <v>56</v>
      </c>
      <c r="F1283" s="5">
        <v>163624.0</v>
      </c>
      <c r="G1283" s="5">
        <v>4368.0</v>
      </c>
      <c r="H1283" s="5">
        <v>0.0267</v>
      </c>
      <c r="I1283" s="5">
        <v>1.28</v>
      </c>
      <c r="J1283" s="5">
        <v>5591.04</v>
      </c>
      <c r="K1283" s="5">
        <v>296.0</v>
      </c>
      <c r="L1283" s="5">
        <v>18.89</v>
      </c>
      <c r="M1283" s="5">
        <v>31041.33</v>
      </c>
      <c r="N1283" s="5">
        <v>5.55</v>
      </c>
      <c r="O1283" s="6">
        <f t="shared" si="1"/>
        <v>18.88864865</v>
      </c>
      <c r="P1283" s="6" t="str">
        <f t="shared" si="2"/>
        <v>Baseline</v>
      </c>
      <c r="Q1283" s="3">
        <f t="shared" si="3"/>
        <v>1</v>
      </c>
    </row>
    <row r="1284">
      <c r="A1284" s="4">
        <v>45510.0</v>
      </c>
      <c r="B1284" s="2" t="s">
        <v>38</v>
      </c>
      <c r="C1284" s="2" t="s">
        <v>41</v>
      </c>
      <c r="D1284" s="2" t="s">
        <v>29</v>
      </c>
      <c r="E1284" s="2" t="s">
        <v>25</v>
      </c>
      <c r="F1284" s="5">
        <v>194674.0</v>
      </c>
      <c r="G1284" s="5">
        <v>3601.0</v>
      </c>
      <c r="H1284" s="5">
        <v>0.0185</v>
      </c>
      <c r="I1284" s="5">
        <v>1.45</v>
      </c>
      <c r="J1284" s="5">
        <v>5221.45</v>
      </c>
      <c r="K1284" s="5">
        <v>165.0</v>
      </c>
      <c r="L1284" s="5">
        <v>31.65</v>
      </c>
      <c r="M1284" s="5">
        <v>8945.17</v>
      </c>
      <c r="N1284" s="5">
        <v>1.71</v>
      </c>
      <c r="O1284" s="6">
        <f t="shared" si="1"/>
        <v>31.64515152</v>
      </c>
      <c r="P1284" s="6" t="str">
        <f t="shared" si="2"/>
        <v>Post-Shift</v>
      </c>
      <c r="Q1284" s="3">
        <f t="shared" si="3"/>
        <v>23</v>
      </c>
    </row>
    <row r="1285">
      <c r="A1285" s="4" t="s">
        <v>233</v>
      </c>
      <c r="B1285" s="2" t="s">
        <v>38</v>
      </c>
      <c r="C1285" s="2" t="s">
        <v>19</v>
      </c>
      <c r="D1285" s="2" t="s">
        <v>29</v>
      </c>
      <c r="E1285" s="2" t="s">
        <v>56</v>
      </c>
      <c r="F1285" s="5">
        <v>15485.0</v>
      </c>
      <c r="G1285" s="5">
        <v>196.0</v>
      </c>
      <c r="H1285" s="5">
        <v>0.0127</v>
      </c>
      <c r="I1285" s="5">
        <v>1.54</v>
      </c>
      <c r="J1285" s="5">
        <v>301.84</v>
      </c>
      <c r="K1285" s="5">
        <v>8.0</v>
      </c>
      <c r="L1285" s="5">
        <v>37.73</v>
      </c>
      <c r="M1285" s="5">
        <v>362.78</v>
      </c>
      <c r="N1285" s="5">
        <v>1.2</v>
      </c>
      <c r="O1285" s="6">
        <f t="shared" si="1"/>
        <v>37.73</v>
      </c>
      <c r="P1285" s="6" t="str">
        <f t="shared" si="2"/>
        <v>Post-Shift</v>
      </c>
      <c r="Q1285" s="3">
        <f t="shared" si="3"/>
        <v>38</v>
      </c>
    </row>
    <row r="1286">
      <c r="A1286" s="4" t="s">
        <v>161</v>
      </c>
      <c r="B1286" s="2" t="s">
        <v>18</v>
      </c>
      <c r="C1286" s="2" t="s">
        <v>19</v>
      </c>
      <c r="D1286" s="2" t="s">
        <v>20</v>
      </c>
      <c r="E1286" s="2" t="s">
        <v>33</v>
      </c>
      <c r="F1286" s="5">
        <v>138154.0</v>
      </c>
      <c r="G1286" s="5">
        <v>9518.0</v>
      </c>
      <c r="H1286" s="5">
        <v>0.0689</v>
      </c>
      <c r="I1286" s="5">
        <v>2.22</v>
      </c>
      <c r="J1286" s="5">
        <v>21129.96</v>
      </c>
      <c r="K1286" s="5">
        <v>534.0</v>
      </c>
      <c r="L1286" s="5">
        <v>39.57</v>
      </c>
      <c r="M1286" s="5">
        <v>24562.44</v>
      </c>
      <c r="N1286" s="5">
        <v>1.16</v>
      </c>
      <c r="O1286" s="6">
        <f t="shared" si="1"/>
        <v>39.56921348</v>
      </c>
      <c r="P1286" s="6" t="str">
        <f t="shared" si="2"/>
        <v>Post-Shift</v>
      </c>
      <c r="Q1286" s="3">
        <f t="shared" si="3"/>
        <v>12</v>
      </c>
    </row>
    <row r="1287">
      <c r="A1287" s="4" t="s">
        <v>257</v>
      </c>
      <c r="B1287" s="2" t="s">
        <v>23</v>
      </c>
      <c r="C1287" s="2" t="s">
        <v>27</v>
      </c>
      <c r="D1287" s="2" t="s">
        <v>20</v>
      </c>
      <c r="E1287" s="2" t="s">
        <v>30</v>
      </c>
      <c r="F1287" s="5">
        <v>76922.0</v>
      </c>
      <c r="G1287" s="5">
        <v>2669.0</v>
      </c>
      <c r="H1287" s="5">
        <v>0.0347</v>
      </c>
      <c r="I1287" s="5">
        <v>1.32</v>
      </c>
      <c r="J1287" s="5">
        <v>3523.08</v>
      </c>
      <c r="K1287" s="5">
        <v>110.0</v>
      </c>
      <c r="L1287" s="5">
        <v>32.03</v>
      </c>
      <c r="M1287" s="5">
        <v>12940.72</v>
      </c>
      <c r="N1287" s="5">
        <v>3.67</v>
      </c>
      <c r="O1287" s="6">
        <f t="shared" si="1"/>
        <v>32.028</v>
      </c>
      <c r="P1287" s="6" t="str">
        <f t="shared" si="2"/>
        <v>Post-Shift</v>
      </c>
      <c r="Q1287" s="3">
        <f t="shared" si="3"/>
        <v>22</v>
      </c>
    </row>
    <row r="1288">
      <c r="A1288" s="4">
        <v>45634.0</v>
      </c>
      <c r="B1288" s="2" t="s">
        <v>18</v>
      </c>
      <c r="C1288" s="2" t="s">
        <v>31</v>
      </c>
      <c r="D1288" s="2" t="s">
        <v>24</v>
      </c>
      <c r="E1288" s="2" t="s">
        <v>33</v>
      </c>
      <c r="F1288" s="5">
        <v>13947.0</v>
      </c>
      <c r="G1288" s="5">
        <v>718.0</v>
      </c>
      <c r="H1288" s="5">
        <v>0.0515</v>
      </c>
      <c r="I1288" s="5">
        <v>1.56</v>
      </c>
      <c r="J1288" s="5">
        <v>1120.08</v>
      </c>
      <c r="K1288" s="5">
        <v>44.0</v>
      </c>
      <c r="L1288" s="5">
        <v>25.46</v>
      </c>
      <c r="M1288" s="5">
        <v>11863.61</v>
      </c>
      <c r="N1288" s="5">
        <v>10.59</v>
      </c>
      <c r="O1288" s="6">
        <f t="shared" si="1"/>
        <v>25.45636364</v>
      </c>
      <c r="P1288" s="6" t="str">
        <f t="shared" si="2"/>
        <v>Post-Shift</v>
      </c>
      <c r="Q1288" s="3">
        <f t="shared" si="3"/>
        <v>33</v>
      </c>
    </row>
    <row r="1289">
      <c r="A1289" s="4">
        <v>45515.0</v>
      </c>
      <c r="B1289" s="2" t="s">
        <v>18</v>
      </c>
      <c r="C1289" s="2" t="s">
        <v>41</v>
      </c>
      <c r="D1289" s="2" t="s">
        <v>24</v>
      </c>
      <c r="E1289" s="2" t="s">
        <v>33</v>
      </c>
      <c r="F1289" s="5">
        <v>199164.0</v>
      </c>
      <c r="G1289" s="5">
        <v>6671.0</v>
      </c>
      <c r="H1289" s="5">
        <v>0.0335</v>
      </c>
      <c r="I1289" s="5">
        <v>3.19</v>
      </c>
      <c r="J1289" s="5">
        <v>21280.49</v>
      </c>
      <c r="K1289" s="5">
        <v>118.0</v>
      </c>
      <c r="L1289" s="5">
        <v>180.34</v>
      </c>
      <c r="M1289" s="5">
        <v>27461.46</v>
      </c>
      <c r="N1289" s="5">
        <v>1.29</v>
      </c>
      <c r="O1289" s="6">
        <f t="shared" si="1"/>
        <v>180.3431356</v>
      </c>
      <c r="P1289" s="6" t="str">
        <f t="shared" si="2"/>
        <v>Post-Shift</v>
      </c>
      <c r="Q1289" s="3">
        <f t="shared" si="3"/>
        <v>45</v>
      </c>
    </row>
    <row r="1290">
      <c r="A1290" s="4" t="s">
        <v>159</v>
      </c>
      <c r="B1290" s="2" t="s">
        <v>38</v>
      </c>
      <c r="C1290" s="2" t="s">
        <v>31</v>
      </c>
      <c r="D1290" s="2" t="s">
        <v>45</v>
      </c>
      <c r="E1290" s="2" t="s">
        <v>36</v>
      </c>
      <c r="F1290" s="5">
        <v>138018.0</v>
      </c>
      <c r="G1290" s="5">
        <v>1683.0</v>
      </c>
      <c r="H1290" s="5">
        <v>0.0122</v>
      </c>
      <c r="I1290" s="5">
        <v>1.03</v>
      </c>
      <c r="J1290" s="5">
        <v>1733.49</v>
      </c>
      <c r="K1290" s="5">
        <v>56.0</v>
      </c>
      <c r="L1290" s="5">
        <v>30.96</v>
      </c>
      <c r="M1290" s="5">
        <v>8635.5</v>
      </c>
      <c r="N1290" s="5">
        <v>4.98</v>
      </c>
      <c r="O1290" s="6">
        <f t="shared" si="1"/>
        <v>30.95517857</v>
      </c>
      <c r="P1290" s="6" t="str">
        <f t="shared" si="2"/>
        <v>Post-Shift</v>
      </c>
      <c r="Q1290" s="3">
        <f t="shared" si="3"/>
        <v>38</v>
      </c>
    </row>
    <row r="1291">
      <c r="A1291" s="4">
        <v>45354.0</v>
      </c>
      <c r="B1291" s="2" t="s">
        <v>38</v>
      </c>
      <c r="C1291" s="2" t="s">
        <v>31</v>
      </c>
      <c r="D1291" s="2" t="s">
        <v>20</v>
      </c>
      <c r="E1291" s="2" t="s">
        <v>21</v>
      </c>
      <c r="F1291" s="5">
        <v>161408.0</v>
      </c>
      <c r="G1291" s="5">
        <v>1581.0</v>
      </c>
      <c r="H1291" s="5">
        <v>0.0098</v>
      </c>
      <c r="I1291" s="5">
        <v>1.11</v>
      </c>
      <c r="J1291" s="5">
        <v>1754.91</v>
      </c>
      <c r="K1291" s="5">
        <v>51.0</v>
      </c>
      <c r="L1291" s="5">
        <v>34.41</v>
      </c>
      <c r="M1291" s="5">
        <v>6128.54</v>
      </c>
      <c r="N1291" s="5">
        <v>3.49</v>
      </c>
      <c r="O1291" s="6">
        <f t="shared" si="1"/>
        <v>34.41</v>
      </c>
      <c r="P1291" s="6" t="str">
        <f t="shared" si="2"/>
        <v>Baseline</v>
      </c>
      <c r="Q1291" s="3">
        <f t="shared" si="3"/>
        <v>10</v>
      </c>
    </row>
    <row r="1292">
      <c r="A1292" s="4" t="s">
        <v>124</v>
      </c>
      <c r="B1292" s="2" t="s">
        <v>23</v>
      </c>
      <c r="C1292" s="2" t="s">
        <v>31</v>
      </c>
      <c r="D1292" s="2" t="s">
        <v>45</v>
      </c>
      <c r="E1292" s="2" t="s">
        <v>33</v>
      </c>
      <c r="F1292" s="5">
        <v>130811.0</v>
      </c>
      <c r="G1292" s="5">
        <v>8895.0</v>
      </c>
      <c r="H1292" s="5">
        <v>0.068</v>
      </c>
      <c r="I1292" s="5">
        <v>0.32</v>
      </c>
      <c r="J1292" s="5">
        <v>2846.4</v>
      </c>
      <c r="K1292" s="5">
        <v>150.0</v>
      </c>
      <c r="L1292" s="5">
        <v>18.98</v>
      </c>
      <c r="M1292" s="5">
        <v>31192.02</v>
      </c>
      <c r="N1292" s="5">
        <v>10.96</v>
      </c>
      <c r="O1292" s="6">
        <f t="shared" si="1"/>
        <v>18.976</v>
      </c>
      <c r="P1292" s="6" t="str">
        <f t="shared" si="2"/>
        <v>Post-Shift</v>
      </c>
      <c r="Q1292" s="3">
        <f t="shared" si="3"/>
        <v>44</v>
      </c>
    </row>
    <row r="1293">
      <c r="A1293" s="4" t="s">
        <v>186</v>
      </c>
      <c r="B1293" s="2" t="s">
        <v>38</v>
      </c>
      <c r="C1293" s="2" t="s">
        <v>41</v>
      </c>
      <c r="D1293" s="2" t="s">
        <v>24</v>
      </c>
      <c r="E1293" s="2" t="s">
        <v>21</v>
      </c>
      <c r="F1293" s="5">
        <v>140460.0</v>
      </c>
      <c r="G1293" s="5">
        <v>2753.0</v>
      </c>
      <c r="H1293" s="5">
        <v>0.0196</v>
      </c>
      <c r="I1293" s="5">
        <v>0.51</v>
      </c>
      <c r="J1293" s="5">
        <v>1404.03</v>
      </c>
      <c r="K1293" s="5">
        <v>87.0</v>
      </c>
      <c r="L1293" s="5">
        <v>16.14</v>
      </c>
      <c r="M1293" s="5">
        <v>18763.62</v>
      </c>
      <c r="N1293" s="5">
        <v>13.36</v>
      </c>
      <c r="O1293" s="6">
        <f t="shared" si="1"/>
        <v>16.13827586</v>
      </c>
      <c r="P1293" s="6" t="str">
        <f t="shared" si="2"/>
        <v>Post-Shift</v>
      </c>
      <c r="Q1293" s="3">
        <f t="shared" si="3"/>
        <v>26</v>
      </c>
    </row>
    <row r="1294">
      <c r="A1294" s="4" t="s">
        <v>67</v>
      </c>
      <c r="B1294" s="2" t="s">
        <v>38</v>
      </c>
      <c r="C1294" s="2" t="s">
        <v>31</v>
      </c>
      <c r="D1294" s="2" t="s">
        <v>24</v>
      </c>
      <c r="E1294" s="2" t="s">
        <v>36</v>
      </c>
      <c r="F1294" s="5">
        <v>119731.0</v>
      </c>
      <c r="G1294" s="5">
        <v>2969.0</v>
      </c>
      <c r="H1294" s="5">
        <v>0.0248</v>
      </c>
      <c r="I1294" s="5">
        <v>0.56</v>
      </c>
      <c r="J1294" s="5">
        <v>1662.64</v>
      </c>
      <c r="K1294" s="5">
        <v>47.0</v>
      </c>
      <c r="L1294" s="5">
        <v>35.38</v>
      </c>
      <c r="M1294" s="5">
        <v>11619.48</v>
      </c>
      <c r="N1294" s="5">
        <v>6.99</v>
      </c>
      <c r="O1294" s="6">
        <f t="shared" si="1"/>
        <v>35.37531915</v>
      </c>
      <c r="P1294" s="6" t="str">
        <f t="shared" si="2"/>
        <v>Post-Shift</v>
      </c>
      <c r="Q1294" s="3">
        <f t="shared" si="3"/>
        <v>12</v>
      </c>
    </row>
    <row r="1295">
      <c r="A1295" s="4">
        <v>45636.0</v>
      </c>
      <c r="B1295" s="2" t="s">
        <v>38</v>
      </c>
      <c r="C1295" s="2" t="s">
        <v>19</v>
      </c>
      <c r="D1295" s="2" t="s">
        <v>45</v>
      </c>
      <c r="E1295" s="2" t="s">
        <v>30</v>
      </c>
      <c r="F1295" s="5">
        <v>61437.0</v>
      </c>
      <c r="G1295" s="5">
        <v>1087.0</v>
      </c>
      <c r="H1295" s="5">
        <v>0.0177</v>
      </c>
      <c r="I1295" s="5">
        <v>2.23</v>
      </c>
      <c r="J1295" s="5">
        <v>2424.01</v>
      </c>
      <c r="K1295" s="5">
        <v>80.0</v>
      </c>
      <c r="L1295" s="5">
        <v>30.3</v>
      </c>
      <c r="M1295" s="5">
        <v>11780.01</v>
      </c>
      <c r="N1295" s="5">
        <v>4.86</v>
      </c>
      <c r="O1295" s="6">
        <f t="shared" si="1"/>
        <v>30.300125</v>
      </c>
      <c r="P1295" s="6" t="str">
        <f t="shared" si="2"/>
        <v>Post-Shift</v>
      </c>
      <c r="Q1295" s="3">
        <f t="shared" si="3"/>
        <v>41</v>
      </c>
    </row>
    <row r="1296">
      <c r="A1296" s="4" t="s">
        <v>59</v>
      </c>
      <c r="B1296" s="2" t="s">
        <v>18</v>
      </c>
      <c r="C1296" s="2" t="s">
        <v>19</v>
      </c>
      <c r="D1296" s="2" t="s">
        <v>45</v>
      </c>
      <c r="E1296" s="2" t="s">
        <v>21</v>
      </c>
      <c r="F1296" s="5">
        <v>37827.0</v>
      </c>
      <c r="G1296" s="5">
        <v>2072.0</v>
      </c>
      <c r="H1296" s="5">
        <v>0.0548</v>
      </c>
      <c r="I1296" s="5">
        <v>0.81</v>
      </c>
      <c r="J1296" s="5">
        <v>1678.32</v>
      </c>
      <c r="K1296" s="5">
        <v>133.0</v>
      </c>
      <c r="L1296" s="5">
        <v>12.62</v>
      </c>
      <c r="M1296" s="5">
        <v>19268.21</v>
      </c>
      <c r="N1296" s="5">
        <v>11.48</v>
      </c>
      <c r="O1296" s="6">
        <f t="shared" si="1"/>
        <v>12.61894737</v>
      </c>
      <c r="P1296" s="6" t="str">
        <f t="shared" si="2"/>
        <v>Post-Shift</v>
      </c>
      <c r="Q1296" s="3">
        <f t="shared" si="3"/>
        <v>35</v>
      </c>
    </row>
    <row r="1297">
      <c r="A1297" s="4" t="s">
        <v>91</v>
      </c>
      <c r="B1297" s="2" t="s">
        <v>18</v>
      </c>
      <c r="C1297" s="2" t="s">
        <v>41</v>
      </c>
      <c r="D1297" s="2" t="s">
        <v>32</v>
      </c>
      <c r="E1297" s="2" t="s">
        <v>33</v>
      </c>
      <c r="F1297" s="5">
        <v>180848.0</v>
      </c>
      <c r="G1297" s="5">
        <v>5515.0</v>
      </c>
      <c r="H1297" s="5">
        <v>0.0305</v>
      </c>
      <c r="I1297" s="5">
        <v>3.32</v>
      </c>
      <c r="J1297" s="5">
        <v>18309.8</v>
      </c>
      <c r="K1297" s="5">
        <v>362.0</v>
      </c>
      <c r="L1297" s="5">
        <v>50.58</v>
      </c>
      <c r="M1297" s="5">
        <v>84316.14</v>
      </c>
      <c r="N1297" s="5">
        <v>4.6</v>
      </c>
      <c r="O1297" s="6">
        <f t="shared" si="1"/>
        <v>50.57955801</v>
      </c>
      <c r="P1297" s="6" t="str">
        <f t="shared" si="2"/>
        <v>Post-Shift</v>
      </c>
      <c r="Q1297" s="3">
        <f t="shared" si="3"/>
        <v>26</v>
      </c>
    </row>
    <row r="1298">
      <c r="A1298" s="4" t="s">
        <v>158</v>
      </c>
      <c r="B1298" s="2" t="s">
        <v>18</v>
      </c>
      <c r="C1298" s="2" t="s">
        <v>27</v>
      </c>
      <c r="D1298" s="2" t="s">
        <v>20</v>
      </c>
      <c r="E1298" s="2" t="s">
        <v>21</v>
      </c>
      <c r="F1298" s="5">
        <v>30545.0</v>
      </c>
      <c r="G1298" s="5">
        <v>1728.0</v>
      </c>
      <c r="H1298" s="5">
        <v>0.0566</v>
      </c>
      <c r="I1298" s="5">
        <v>1.73</v>
      </c>
      <c r="J1298" s="5">
        <v>2989.44</v>
      </c>
      <c r="K1298" s="5">
        <v>51.0</v>
      </c>
      <c r="L1298" s="5">
        <v>58.62</v>
      </c>
      <c r="M1298" s="5">
        <v>3408.09</v>
      </c>
      <c r="N1298" s="5">
        <v>1.14</v>
      </c>
      <c r="O1298" s="6">
        <f t="shared" si="1"/>
        <v>58.61647059</v>
      </c>
      <c r="P1298" s="6" t="str">
        <f t="shared" si="2"/>
        <v>Post-Shift</v>
      </c>
      <c r="Q1298" s="3">
        <f t="shared" si="3"/>
        <v>8</v>
      </c>
    </row>
    <row r="1299">
      <c r="A1299" s="4" t="s">
        <v>160</v>
      </c>
      <c r="B1299" s="2" t="s">
        <v>23</v>
      </c>
      <c r="C1299" s="2" t="s">
        <v>31</v>
      </c>
      <c r="D1299" s="2" t="s">
        <v>20</v>
      </c>
      <c r="E1299" s="2" t="s">
        <v>21</v>
      </c>
      <c r="F1299" s="5">
        <v>21643.0</v>
      </c>
      <c r="G1299" s="5">
        <v>1142.0</v>
      </c>
      <c r="H1299" s="5">
        <v>0.0528</v>
      </c>
      <c r="I1299" s="5">
        <v>1.03</v>
      </c>
      <c r="J1299" s="5">
        <v>1176.26</v>
      </c>
      <c r="K1299" s="5">
        <v>81.0</v>
      </c>
      <c r="L1299" s="5">
        <v>14.52</v>
      </c>
      <c r="M1299" s="5">
        <v>18823.45</v>
      </c>
      <c r="N1299" s="5">
        <v>16.0</v>
      </c>
      <c r="O1299" s="6">
        <f t="shared" si="1"/>
        <v>14.5217284</v>
      </c>
      <c r="P1299" s="6" t="str">
        <f t="shared" si="2"/>
        <v>Post-Shift</v>
      </c>
      <c r="Q1299" s="3">
        <f t="shared" si="3"/>
        <v>30</v>
      </c>
    </row>
    <row r="1300">
      <c r="A1300" s="4">
        <v>45445.0</v>
      </c>
      <c r="B1300" s="2" t="s">
        <v>38</v>
      </c>
      <c r="C1300" s="2" t="s">
        <v>41</v>
      </c>
      <c r="D1300" s="2" t="s">
        <v>29</v>
      </c>
      <c r="E1300" s="2" t="s">
        <v>25</v>
      </c>
      <c r="F1300" s="5">
        <v>58164.0</v>
      </c>
      <c r="G1300" s="5">
        <v>936.0</v>
      </c>
      <c r="H1300" s="5">
        <v>0.0161</v>
      </c>
      <c r="I1300" s="5">
        <v>0.88</v>
      </c>
      <c r="J1300" s="5">
        <v>823.68</v>
      </c>
      <c r="K1300" s="5">
        <v>13.0</v>
      </c>
      <c r="L1300" s="5">
        <v>63.36</v>
      </c>
      <c r="M1300" s="5">
        <v>1791.65</v>
      </c>
      <c r="N1300" s="5">
        <v>2.18</v>
      </c>
      <c r="O1300" s="6">
        <f t="shared" si="1"/>
        <v>63.36</v>
      </c>
      <c r="P1300" s="6" t="str">
        <f t="shared" si="2"/>
        <v>Baseline</v>
      </c>
      <c r="Q1300" s="3">
        <f t="shared" si="3"/>
        <v>6</v>
      </c>
    </row>
    <row r="1301">
      <c r="A1301" s="4">
        <v>45539.0</v>
      </c>
      <c r="B1301" s="2" t="s">
        <v>38</v>
      </c>
      <c r="C1301" s="2" t="s">
        <v>31</v>
      </c>
      <c r="D1301" s="2" t="s">
        <v>20</v>
      </c>
      <c r="E1301" s="2" t="s">
        <v>21</v>
      </c>
      <c r="F1301" s="5">
        <v>69102.0</v>
      </c>
      <c r="G1301" s="5">
        <v>1354.0</v>
      </c>
      <c r="H1301" s="5">
        <v>0.0196</v>
      </c>
      <c r="I1301" s="5">
        <v>1.61</v>
      </c>
      <c r="J1301" s="5">
        <v>2179.94</v>
      </c>
      <c r="K1301" s="5">
        <v>89.0</v>
      </c>
      <c r="L1301" s="5">
        <v>24.49</v>
      </c>
      <c r="M1301" s="5">
        <v>14410.72</v>
      </c>
      <c r="N1301" s="5">
        <v>6.61</v>
      </c>
      <c r="O1301" s="6">
        <f t="shared" si="1"/>
        <v>24.49370787</v>
      </c>
      <c r="P1301" s="6" t="str">
        <f t="shared" si="2"/>
        <v>Post-Shift</v>
      </c>
      <c r="Q1301" s="3">
        <f t="shared" si="3"/>
        <v>15</v>
      </c>
    </row>
    <row r="1302">
      <c r="A1302" s="4">
        <v>45299.0</v>
      </c>
      <c r="B1302" s="2" t="s">
        <v>23</v>
      </c>
      <c r="C1302" s="2" t="s">
        <v>31</v>
      </c>
      <c r="D1302" s="2" t="s">
        <v>20</v>
      </c>
      <c r="E1302" s="2" t="s">
        <v>25</v>
      </c>
      <c r="F1302" s="5">
        <v>164852.0</v>
      </c>
      <c r="G1302" s="5">
        <v>6445.0</v>
      </c>
      <c r="H1302" s="5">
        <v>0.0391</v>
      </c>
      <c r="I1302" s="5">
        <v>1.64</v>
      </c>
      <c r="J1302" s="5">
        <v>10569.8</v>
      </c>
      <c r="K1302" s="5">
        <v>471.0</v>
      </c>
      <c r="L1302" s="5">
        <v>22.44</v>
      </c>
      <c r="M1302" s="5">
        <v>43233.91</v>
      </c>
      <c r="N1302" s="5">
        <v>4.09</v>
      </c>
      <c r="O1302" s="6">
        <f t="shared" si="1"/>
        <v>22.44118896</v>
      </c>
      <c r="P1302" s="6" t="str">
        <f t="shared" si="2"/>
        <v>Baseline</v>
      </c>
      <c r="Q1302" s="3">
        <f t="shared" si="3"/>
        <v>31</v>
      </c>
    </row>
    <row r="1303">
      <c r="A1303" s="4" t="s">
        <v>256</v>
      </c>
      <c r="B1303" s="2" t="s">
        <v>18</v>
      </c>
      <c r="C1303" s="2" t="s">
        <v>31</v>
      </c>
      <c r="D1303" s="2" t="s">
        <v>20</v>
      </c>
      <c r="E1303" s="2" t="s">
        <v>56</v>
      </c>
      <c r="F1303" s="5">
        <v>149064.0</v>
      </c>
      <c r="G1303" s="5">
        <v>5724.0</v>
      </c>
      <c r="H1303" s="5">
        <v>0.0384</v>
      </c>
      <c r="I1303" s="5">
        <v>1.32</v>
      </c>
      <c r="J1303" s="5">
        <v>7555.68</v>
      </c>
      <c r="K1303" s="5">
        <v>369.0</v>
      </c>
      <c r="L1303" s="5">
        <v>20.48</v>
      </c>
      <c r="M1303" s="5">
        <v>107029.4</v>
      </c>
      <c r="N1303" s="5">
        <v>14.17</v>
      </c>
      <c r="O1303" s="6">
        <f t="shared" si="1"/>
        <v>20.47609756</v>
      </c>
      <c r="P1303" s="6" t="str">
        <f t="shared" si="2"/>
        <v>Post-Shift</v>
      </c>
      <c r="Q1303" s="3">
        <f t="shared" si="3"/>
        <v>43</v>
      </c>
    </row>
    <row r="1304">
      <c r="A1304" s="4">
        <v>45450.0</v>
      </c>
      <c r="B1304" s="2" t="s">
        <v>38</v>
      </c>
      <c r="C1304" s="2" t="s">
        <v>31</v>
      </c>
      <c r="D1304" s="2" t="s">
        <v>45</v>
      </c>
      <c r="E1304" s="2" t="s">
        <v>25</v>
      </c>
      <c r="F1304" s="5">
        <v>80888.0</v>
      </c>
      <c r="G1304" s="5">
        <v>2070.0</v>
      </c>
      <c r="H1304" s="5">
        <v>0.0256</v>
      </c>
      <c r="I1304" s="5">
        <v>0.74</v>
      </c>
      <c r="J1304" s="5">
        <v>1531.8</v>
      </c>
      <c r="K1304" s="5">
        <v>71.0</v>
      </c>
      <c r="L1304" s="5">
        <v>21.57</v>
      </c>
      <c r="M1304" s="5">
        <v>19601.22</v>
      </c>
      <c r="N1304" s="5">
        <v>12.8</v>
      </c>
      <c r="O1304" s="6">
        <f t="shared" si="1"/>
        <v>21.57464789</v>
      </c>
      <c r="P1304" s="6" t="str">
        <f t="shared" si="2"/>
        <v>Baseline</v>
      </c>
      <c r="Q1304" s="3">
        <f t="shared" si="3"/>
        <v>27</v>
      </c>
    </row>
    <row r="1305">
      <c r="A1305" s="4" t="s">
        <v>155</v>
      </c>
      <c r="B1305" s="2" t="s">
        <v>38</v>
      </c>
      <c r="C1305" s="2" t="s">
        <v>41</v>
      </c>
      <c r="D1305" s="2" t="s">
        <v>32</v>
      </c>
      <c r="E1305" s="2" t="s">
        <v>30</v>
      </c>
      <c r="F1305" s="5">
        <v>21471.0</v>
      </c>
      <c r="G1305" s="5">
        <v>753.0</v>
      </c>
      <c r="H1305" s="5">
        <v>0.0351</v>
      </c>
      <c r="I1305" s="5">
        <v>1.79</v>
      </c>
      <c r="J1305" s="5">
        <v>1347.87</v>
      </c>
      <c r="K1305" s="5">
        <v>28.0</v>
      </c>
      <c r="L1305" s="5">
        <v>48.14</v>
      </c>
      <c r="M1305" s="5">
        <v>7559.0</v>
      </c>
      <c r="N1305" s="5">
        <v>5.61</v>
      </c>
      <c r="O1305" s="6">
        <f t="shared" si="1"/>
        <v>48.13821429</v>
      </c>
      <c r="P1305" s="6" t="str">
        <f t="shared" si="2"/>
        <v>Post-Shift</v>
      </c>
      <c r="Q1305" s="3">
        <f t="shared" si="3"/>
        <v>51</v>
      </c>
    </row>
    <row r="1306">
      <c r="A1306" s="4">
        <v>45417.0</v>
      </c>
      <c r="B1306" s="2" t="s">
        <v>38</v>
      </c>
      <c r="C1306" s="2" t="s">
        <v>31</v>
      </c>
      <c r="D1306" s="2" t="s">
        <v>29</v>
      </c>
      <c r="E1306" s="2" t="s">
        <v>56</v>
      </c>
      <c r="F1306" s="5">
        <v>160182.0</v>
      </c>
      <c r="G1306" s="5">
        <v>4901.0</v>
      </c>
      <c r="H1306" s="5">
        <v>0.0306</v>
      </c>
      <c r="I1306" s="5">
        <v>1.02</v>
      </c>
      <c r="J1306" s="5">
        <v>4999.02</v>
      </c>
      <c r="K1306" s="5">
        <v>88.0</v>
      </c>
      <c r="L1306" s="5">
        <v>56.81</v>
      </c>
      <c r="M1306" s="5">
        <v>22338.67</v>
      </c>
      <c r="N1306" s="5">
        <v>4.47</v>
      </c>
      <c r="O1306" s="6">
        <f t="shared" si="1"/>
        <v>56.80704545</v>
      </c>
      <c r="P1306" s="6" t="str">
        <f t="shared" si="2"/>
        <v>Baseline</v>
      </c>
      <c r="Q1306" s="3">
        <f t="shared" si="3"/>
        <v>19</v>
      </c>
    </row>
    <row r="1307">
      <c r="A1307" s="4">
        <v>45295.0</v>
      </c>
      <c r="B1307" s="2" t="s">
        <v>23</v>
      </c>
      <c r="C1307" s="2" t="s">
        <v>41</v>
      </c>
      <c r="D1307" s="2" t="s">
        <v>24</v>
      </c>
      <c r="E1307" s="2" t="s">
        <v>36</v>
      </c>
      <c r="F1307" s="5">
        <v>30226.0</v>
      </c>
      <c r="G1307" s="5">
        <v>1196.0</v>
      </c>
      <c r="H1307" s="5">
        <v>0.0396</v>
      </c>
      <c r="I1307" s="5">
        <v>1.46</v>
      </c>
      <c r="J1307" s="5">
        <v>1746.16</v>
      </c>
      <c r="K1307" s="5">
        <v>12.0</v>
      </c>
      <c r="L1307" s="5">
        <v>145.51</v>
      </c>
      <c r="M1307" s="5">
        <v>2625.21</v>
      </c>
      <c r="N1307" s="5">
        <v>1.5</v>
      </c>
      <c r="O1307" s="6">
        <f t="shared" si="1"/>
        <v>145.5133333</v>
      </c>
      <c r="P1307" s="6" t="str">
        <f t="shared" si="2"/>
        <v>Baseline</v>
      </c>
      <c r="Q1307" s="3">
        <f t="shared" si="3"/>
        <v>14</v>
      </c>
    </row>
    <row r="1308">
      <c r="A1308" s="4">
        <v>45633.0</v>
      </c>
      <c r="B1308" s="2" t="s">
        <v>18</v>
      </c>
      <c r="C1308" s="2" t="s">
        <v>19</v>
      </c>
      <c r="D1308" s="2" t="s">
        <v>32</v>
      </c>
      <c r="E1308" s="2" t="s">
        <v>58</v>
      </c>
      <c r="F1308" s="5">
        <v>146677.0</v>
      </c>
      <c r="G1308" s="5">
        <v>7597.0</v>
      </c>
      <c r="H1308" s="5">
        <v>0.0518</v>
      </c>
      <c r="I1308" s="5">
        <v>1.42</v>
      </c>
      <c r="J1308" s="5">
        <v>10787.74</v>
      </c>
      <c r="K1308" s="5">
        <v>186.0</v>
      </c>
      <c r="L1308" s="5">
        <v>58.0</v>
      </c>
      <c r="M1308" s="5">
        <v>35941.14</v>
      </c>
      <c r="N1308" s="5">
        <v>3.33</v>
      </c>
      <c r="O1308" s="6">
        <f t="shared" si="1"/>
        <v>57.99860215</v>
      </c>
      <c r="P1308" s="6" t="str">
        <f t="shared" si="2"/>
        <v>Post-Shift</v>
      </c>
      <c r="Q1308" s="3">
        <f t="shared" si="3"/>
        <v>28</v>
      </c>
    </row>
    <row r="1309">
      <c r="A1309" s="4" t="s">
        <v>91</v>
      </c>
      <c r="B1309" s="2" t="s">
        <v>38</v>
      </c>
      <c r="C1309" s="2" t="s">
        <v>31</v>
      </c>
      <c r="D1309" s="2" t="s">
        <v>29</v>
      </c>
      <c r="E1309" s="2" t="s">
        <v>21</v>
      </c>
      <c r="F1309" s="5">
        <v>74859.0</v>
      </c>
      <c r="G1309" s="5">
        <v>1661.0</v>
      </c>
      <c r="H1309" s="5">
        <v>0.0222</v>
      </c>
      <c r="I1309" s="5">
        <v>1.35</v>
      </c>
      <c r="J1309" s="5">
        <v>2242.35</v>
      </c>
      <c r="K1309" s="5">
        <v>101.0</v>
      </c>
      <c r="L1309" s="5">
        <v>22.2</v>
      </c>
      <c r="M1309" s="5">
        <v>6046.11</v>
      </c>
      <c r="N1309" s="5">
        <v>2.7</v>
      </c>
      <c r="O1309" s="6">
        <f t="shared" si="1"/>
        <v>22.20148515</v>
      </c>
      <c r="P1309" s="6" t="str">
        <f t="shared" si="2"/>
        <v>Post-Shift</v>
      </c>
      <c r="Q1309" s="3">
        <f t="shared" si="3"/>
        <v>26</v>
      </c>
    </row>
    <row r="1310">
      <c r="A1310" s="4">
        <v>45327.0</v>
      </c>
      <c r="B1310" s="2" t="s">
        <v>18</v>
      </c>
      <c r="C1310" s="2" t="s">
        <v>41</v>
      </c>
      <c r="D1310" s="2" t="s">
        <v>32</v>
      </c>
      <c r="E1310" s="2" t="s">
        <v>58</v>
      </c>
      <c r="F1310" s="5">
        <v>127232.0</v>
      </c>
      <c r="G1310" s="5">
        <v>3867.0</v>
      </c>
      <c r="H1310" s="5">
        <v>0.0304</v>
      </c>
      <c r="I1310" s="5">
        <v>2.95</v>
      </c>
      <c r="J1310" s="5">
        <v>11407.65</v>
      </c>
      <c r="K1310" s="5">
        <v>177.0</v>
      </c>
      <c r="L1310" s="5">
        <v>64.45</v>
      </c>
      <c r="M1310" s="5">
        <v>6676.28</v>
      </c>
      <c r="N1310" s="5">
        <v>0.59</v>
      </c>
      <c r="O1310" s="6">
        <f t="shared" si="1"/>
        <v>64.45</v>
      </c>
      <c r="P1310" s="6" t="str">
        <f t="shared" si="2"/>
        <v>Baseline</v>
      </c>
      <c r="Q1310" s="3">
        <f t="shared" si="3"/>
        <v>18</v>
      </c>
    </row>
    <row r="1311">
      <c r="A1311" s="4" t="s">
        <v>156</v>
      </c>
      <c r="B1311" s="2" t="s">
        <v>18</v>
      </c>
      <c r="C1311" s="2" t="s">
        <v>27</v>
      </c>
      <c r="D1311" s="2" t="s">
        <v>32</v>
      </c>
      <c r="E1311" s="2" t="s">
        <v>25</v>
      </c>
      <c r="F1311" s="5">
        <v>83243.0</v>
      </c>
      <c r="G1311" s="5">
        <v>2821.0</v>
      </c>
      <c r="H1311" s="5">
        <v>0.0339</v>
      </c>
      <c r="I1311" s="5">
        <v>3.03</v>
      </c>
      <c r="J1311" s="5">
        <v>8547.63</v>
      </c>
      <c r="K1311" s="5">
        <v>181.0</v>
      </c>
      <c r="L1311" s="5">
        <v>47.22</v>
      </c>
      <c r="M1311" s="5">
        <v>43894.09</v>
      </c>
      <c r="N1311" s="5">
        <v>5.14</v>
      </c>
      <c r="O1311" s="6">
        <f t="shared" si="1"/>
        <v>47.22447514</v>
      </c>
      <c r="P1311" s="6" t="str">
        <f t="shared" si="2"/>
        <v>Post-Shift</v>
      </c>
      <c r="Q1311" s="3">
        <f t="shared" si="3"/>
        <v>51</v>
      </c>
    </row>
    <row r="1312">
      <c r="A1312" s="4" t="s">
        <v>106</v>
      </c>
      <c r="B1312" s="2" t="s">
        <v>38</v>
      </c>
      <c r="C1312" s="2" t="s">
        <v>31</v>
      </c>
      <c r="D1312" s="2" t="s">
        <v>24</v>
      </c>
      <c r="E1312" s="2" t="s">
        <v>21</v>
      </c>
      <c r="F1312" s="5">
        <v>85846.0</v>
      </c>
      <c r="G1312" s="5">
        <v>2274.0</v>
      </c>
      <c r="H1312" s="5">
        <v>0.0265</v>
      </c>
      <c r="I1312" s="5">
        <v>0.43</v>
      </c>
      <c r="J1312" s="5">
        <v>977.82</v>
      </c>
      <c r="K1312" s="5">
        <v>113.0</v>
      </c>
      <c r="L1312" s="5">
        <v>8.65</v>
      </c>
      <c r="M1312" s="5">
        <v>8382.57</v>
      </c>
      <c r="N1312" s="5">
        <v>8.57</v>
      </c>
      <c r="O1312" s="6">
        <f t="shared" si="1"/>
        <v>8.653274336</v>
      </c>
      <c r="P1312" s="6" t="str">
        <f t="shared" si="2"/>
        <v>Post-Shift</v>
      </c>
      <c r="Q1312" s="3">
        <f t="shared" si="3"/>
        <v>21</v>
      </c>
    </row>
    <row r="1313">
      <c r="A1313" s="4">
        <v>45353.0</v>
      </c>
      <c r="B1313" s="2" t="s">
        <v>23</v>
      </c>
      <c r="C1313" s="2" t="s">
        <v>41</v>
      </c>
      <c r="D1313" s="2" t="s">
        <v>29</v>
      </c>
      <c r="E1313" s="2" t="s">
        <v>30</v>
      </c>
      <c r="F1313" s="5">
        <v>150227.0</v>
      </c>
      <c r="G1313" s="5">
        <v>8683.0</v>
      </c>
      <c r="H1313" s="5">
        <v>0.0578</v>
      </c>
      <c r="I1313" s="5">
        <v>1.7</v>
      </c>
      <c r="J1313" s="5">
        <v>14761.1</v>
      </c>
      <c r="K1313" s="5">
        <v>315.0</v>
      </c>
      <c r="L1313" s="5">
        <v>46.86</v>
      </c>
      <c r="M1313" s="5">
        <v>86296.01</v>
      </c>
      <c r="N1313" s="5">
        <v>5.85</v>
      </c>
      <c r="O1313" s="6">
        <f t="shared" si="1"/>
        <v>46.86063492</v>
      </c>
      <c r="P1313" s="6" t="str">
        <f t="shared" si="2"/>
        <v>Baseline</v>
      </c>
      <c r="Q1313" s="3">
        <f t="shared" si="3"/>
        <v>5</v>
      </c>
    </row>
    <row r="1314">
      <c r="A1314" s="4" t="s">
        <v>261</v>
      </c>
      <c r="B1314" s="2" t="s">
        <v>18</v>
      </c>
      <c r="C1314" s="2" t="s">
        <v>41</v>
      </c>
      <c r="D1314" s="2" t="s">
        <v>29</v>
      </c>
      <c r="E1314" s="2" t="s">
        <v>36</v>
      </c>
      <c r="F1314" s="5">
        <v>50411.0</v>
      </c>
      <c r="G1314" s="5">
        <v>1320.0</v>
      </c>
      <c r="H1314" s="5">
        <v>0.0262</v>
      </c>
      <c r="I1314" s="5">
        <v>2.68</v>
      </c>
      <c r="J1314" s="5">
        <v>3537.6</v>
      </c>
      <c r="K1314" s="5">
        <v>49.0</v>
      </c>
      <c r="L1314" s="5">
        <v>72.2</v>
      </c>
      <c r="M1314" s="5">
        <v>12873.07</v>
      </c>
      <c r="N1314" s="5">
        <v>3.64</v>
      </c>
      <c r="O1314" s="6">
        <f t="shared" si="1"/>
        <v>72.19591837</v>
      </c>
      <c r="P1314" s="6" t="str">
        <f t="shared" si="2"/>
        <v>Post-Shift</v>
      </c>
      <c r="Q1314" s="3">
        <f t="shared" si="3"/>
        <v>31</v>
      </c>
    </row>
    <row r="1315">
      <c r="A1315" s="4" t="s">
        <v>143</v>
      </c>
      <c r="B1315" s="2" t="s">
        <v>18</v>
      </c>
      <c r="C1315" s="2" t="s">
        <v>31</v>
      </c>
      <c r="D1315" s="2" t="s">
        <v>20</v>
      </c>
      <c r="E1315" s="2" t="s">
        <v>25</v>
      </c>
      <c r="F1315" s="5">
        <v>100552.0</v>
      </c>
      <c r="G1315" s="5">
        <v>3861.0</v>
      </c>
      <c r="H1315" s="5">
        <v>0.0384</v>
      </c>
      <c r="I1315" s="5">
        <v>1.91</v>
      </c>
      <c r="J1315" s="5">
        <v>7374.51</v>
      </c>
      <c r="K1315" s="5">
        <v>57.0</v>
      </c>
      <c r="L1315" s="5">
        <v>129.38</v>
      </c>
      <c r="M1315" s="5">
        <v>14567.86</v>
      </c>
      <c r="N1315" s="5">
        <v>1.98</v>
      </c>
      <c r="O1315" s="6">
        <f t="shared" si="1"/>
        <v>129.3773684</v>
      </c>
      <c r="P1315" s="6" t="str">
        <f t="shared" si="2"/>
        <v>Post-Shift</v>
      </c>
      <c r="Q1315" s="3">
        <f t="shared" si="3"/>
        <v>3</v>
      </c>
    </row>
    <row r="1316">
      <c r="A1316" s="4">
        <v>45329.0</v>
      </c>
      <c r="B1316" s="2" t="s">
        <v>18</v>
      </c>
      <c r="C1316" s="2" t="s">
        <v>41</v>
      </c>
      <c r="D1316" s="2" t="s">
        <v>20</v>
      </c>
      <c r="E1316" s="2" t="s">
        <v>21</v>
      </c>
      <c r="F1316" s="5">
        <v>32428.0</v>
      </c>
      <c r="G1316" s="5">
        <v>603.0</v>
      </c>
      <c r="H1316" s="5">
        <v>0.0186</v>
      </c>
      <c r="I1316" s="5">
        <v>1.61</v>
      </c>
      <c r="J1316" s="5">
        <v>970.83</v>
      </c>
      <c r="K1316" s="5">
        <v>47.0</v>
      </c>
      <c r="L1316" s="5">
        <v>20.66</v>
      </c>
      <c r="M1316" s="5">
        <v>11645.06</v>
      </c>
      <c r="N1316" s="5">
        <v>11.99</v>
      </c>
      <c r="O1316" s="6">
        <f t="shared" si="1"/>
        <v>20.65595745</v>
      </c>
      <c r="P1316" s="6" t="str">
        <f t="shared" si="2"/>
        <v>Baseline</v>
      </c>
      <c r="Q1316" s="3">
        <f t="shared" si="3"/>
        <v>27</v>
      </c>
    </row>
    <row r="1317">
      <c r="A1317" s="4" t="s">
        <v>43</v>
      </c>
      <c r="B1317" s="2" t="s">
        <v>18</v>
      </c>
      <c r="C1317" s="2" t="s">
        <v>19</v>
      </c>
      <c r="D1317" s="2" t="s">
        <v>29</v>
      </c>
      <c r="E1317" s="2" t="s">
        <v>30</v>
      </c>
      <c r="F1317" s="5">
        <v>84517.0</v>
      </c>
      <c r="G1317" s="5">
        <v>1664.0</v>
      </c>
      <c r="H1317" s="5">
        <v>0.0197</v>
      </c>
      <c r="I1317" s="5">
        <v>2.4</v>
      </c>
      <c r="J1317" s="5">
        <v>3993.6</v>
      </c>
      <c r="K1317" s="5">
        <v>91.0</v>
      </c>
      <c r="L1317" s="5">
        <v>43.89</v>
      </c>
      <c r="M1317" s="5">
        <v>21828.0</v>
      </c>
      <c r="N1317" s="5">
        <v>5.47</v>
      </c>
      <c r="O1317" s="6">
        <f t="shared" si="1"/>
        <v>43.88571429</v>
      </c>
      <c r="P1317" s="6" t="str">
        <f t="shared" si="2"/>
        <v>Post-Shift</v>
      </c>
      <c r="Q1317" s="3">
        <f t="shared" si="3"/>
        <v>46</v>
      </c>
    </row>
    <row r="1318">
      <c r="A1318" s="4" t="s">
        <v>67</v>
      </c>
      <c r="B1318" s="2" t="s">
        <v>38</v>
      </c>
      <c r="C1318" s="2" t="s">
        <v>31</v>
      </c>
      <c r="D1318" s="2" t="s">
        <v>24</v>
      </c>
      <c r="E1318" s="2" t="s">
        <v>33</v>
      </c>
      <c r="F1318" s="5">
        <v>160091.0</v>
      </c>
      <c r="G1318" s="5">
        <v>4210.0</v>
      </c>
      <c r="H1318" s="5">
        <v>0.0263</v>
      </c>
      <c r="I1318" s="5">
        <v>1.07</v>
      </c>
      <c r="J1318" s="5">
        <v>4504.7</v>
      </c>
      <c r="K1318" s="5">
        <v>322.0</v>
      </c>
      <c r="L1318" s="5">
        <v>13.99</v>
      </c>
      <c r="M1318" s="5">
        <v>62914.38</v>
      </c>
      <c r="N1318" s="5">
        <v>13.97</v>
      </c>
      <c r="O1318" s="6">
        <f t="shared" si="1"/>
        <v>13.98975155</v>
      </c>
      <c r="P1318" s="6" t="str">
        <f t="shared" si="2"/>
        <v>Post-Shift</v>
      </c>
      <c r="Q1318" s="3">
        <f t="shared" si="3"/>
        <v>12</v>
      </c>
    </row>
    <row r="1319">
      <c r="A1319" s="4" t="s">
        <v>77</v>
      </c>
      <c r="B1319" s="2" t="s">
        <v>18</v>
      </c>
      <c r="C1319" s="2" t="s">
        <v>19</v>
      </c>
      <c r="D1319" s="2" t="s">
        <v>24</v>
      </c>
      <c r="E1319" s="2" t="s">
        <v>25</v>
      </c>
      <c r="F1319" s="5">
        <v>158778.0</v>
      </c>
      <c r="G1319" s="5">
        <v>7256.0</v>
      </c>
      <c r="H1319" s="5">
        <v>0.0457</v>
      </c>
      <c r="I1319" s="5">
        <v>1.5</v>
      </c>
      <c r="J1319" s="5">
        <v>10884.0</v>
      </c>
      <c r="K1319" s="5">
        <v>431.0</v>
      </c>
      <c r="L1319" s="5">
        <v>25.25</v>
      </c>
      <c r="M1319" s="5">
        <v>17905.23</v>
      </c>
      <c r="N1319" s="5">
        <v>1.65</v>
      </c>
      <c r="O1319" s="6">
        <f t="shared" si="1"/>
        <v>25.25290023</v>
      </c>
      <c r="P1319" s="6" t="str">
        <f t="shared" si="2"/>
        <v>Post-Shift</v>
      </c>
      <c r="Q1319" s="3">
        <f t="shared" si="3"/>
        <v>26</v>
      </c>
    </row>
    <row r="1320">
      <c r="A1320" s="4" t="s">
        <v>171</v>
      </c>
      <c r="B1320" s="2" t="s">
        <v>18</v>
      </c>
      <c r="C1320" s="2" t="s">
        <v>19</v>
      </c>
      <c r="D1320" s="2" t="s">
        <v>29</v>
      </c>
      <c r="E1320" s="2" t="s">
        <v>33</v>
      </c>
      <c r="F1320" s="5">
        <v>145284.0</v>
      </c>
      <c r="G1320" s="5">
        <v>8121.0</v>
      </c>
      <c r="H1320" s="5">
        <v>0.0559</v>
      </c>
      <c r="I1320" s="5">
        <v>2.66</v>
      </c>
      <c r="J1320" s="5">
        <v>21601.86</v>
      </c>
      <c r="K1320" s="5">
        <v>503.0</v>
      </c>
      <c r="L1320" s="5">
        <v>42.95</v>
      </c>
      <c r="M1320" s="5">
        <v>135453.2</v>
      </c>
      <c r="N1320" s="5">
        <v>6.27</v>
      </c>
      <c r="O1320" s="6">
        <f t="shared" si="1"/>
        <v>42.94604374</v>
      </c>
      <c r="P1320" s="6" t="str">
        <f t="shared" si="2"/>
        <v>Post-Shift</v>
      </c>
      <c r="Q1320" s="3">
        <f t="shared" si="3"/>
        <v>16</v>
      </c>
    </row>
    <row r="1321">
      <c r="A1321" s="4">
        <v>45384.0</v>
      </c>
      <c r="B1321" s="2" t="s">
        <v>38</v>
      </c>
      <c r="C1321" s="2" t="s">
        <v>31</v>
      </c>
      <c r="D1321" s="2" t="s">
        <v>45</v>
      </c>
      <c r="E1321" s="2" t="s">
        <v>33</v>
      </c>
      <c r="F1321" s="5">
        <v>82665.0</v>
      </c>
      <c r="G1321" s="5">
        <v>2521.0</v>
      </c>
      <c r="H1321" s="5">
        <v>0.0305</v>
      </c>
      <c r="I1321" s="5">
        <v>0.64</v>
      </c>
      <c r="J1321" s="5">
        <v>1613.44</v>
      </c>
      <c r="K1321" s="5">
        <v>182.0</v>
      </c>
      <c r="L1321" s="5">
        <v>8.87</v>
      </c>
      <c r="M1321" s="5">
        <v>48413.75</v>
      </c>
      <c r="N1321" s="5">
        <v>30.01</v>
      </c>
      <c r="O1321" s="6">
        <f t="shared" si="1"/>
        <v>8.865054945</v>
      </c>
      <c r="P1321" s="6" t="str">
        <f t="shared" si="2"/>
        <v>Baseline</v>
      </c>
      <c r="Q1321" s="3">
        <f t="shared" si="3"/>
        <v>6</v>
      </c>
    </row>
    <row r="1322">
      <c r="A1322" s="4" t="s">
        <v>209</v>
      </c>
      <c r="B1322" s="2" t="s">
        <v>23</v>
      </c>
      <c r="C1322" s="2" t="s">
        <v>31</v>
      </c>
      <c r="D1322" s="2" t="s">
        <v>20</v>
      </c>
      <c r="E1322" s="2" t="s">
        <v>25</v>
      </c>
      <c r="F1322" s="5">
        <v>157973.0</v>
      </c>
      <c r="G1322" s="5">
        <v>12227.0</v>
      </c>
      <c r="H1322" s="5">
        <v>0.0774</v>
      </c>
      <c r="I1322" s="5">
        <v>0.53</v>
      </c>
      <c r="J1322" s="5">
        <v>6480.31</v>
      </c>
      <c r="K1322" s="5">
        <v>540.0</v>
      </c>
      <c r="L1322" s="5">
        <v>12.0</v>
      </c>
      <c r="M1322" s="5">
        <v>99930.16</v>
      </c>
      <c r="N1322" s="5">
        <v>15.42</v>
      </c>
      <c r="O1322" s="6">
        <f t="shared" si="1"/>
        <v>12.00057407</v>
      </c>
      <c r="P1322" s="6" t="str">
        <f t="shared" si="2"/>
        <v>Post-Shift</v>
      </c>
      <c r="Q1322" s="3">
        <f t="shared" si="3"/>
        <v>30</v>
      </c>
    </row>
    <row r="1323">
      <c r="A1323" s="4">
        <v>45539.0</v>
      </c>
      <c r="B1323" s="2" t="s">
        <v>23</v>
      </c>
      <c r="C1323" s="2" t="s">
        <v>41</v>
      </c>
      <c r="D1323" s="2" t="s">
        <v>20</v>
      </c>
      <c r="E1323" s="2" t="s">
        <v>56</v>
      </c>
      <c r="F1323" s="5">
        <v>48898.0</v>
      </c>
      <c r="G1323" s="5">
        <v>3193.0</v>
      </c>
      <c r="H1323" s="5">
        <v>0.0653</v>
      </c>
      <c r="I1323" s="5">
        <v>0.89</v>
      </c>
      <c r="J1323" s="5">
        <v>2841.77</v>
      </c>
      <c r="K1323" s="5">
        <v>179.0</v>
      </c>
      <c r="L1323" s="5">
        <v>15.88</v>
      </c>
      <c r="M1323" s="5">
        <v>27594.33</v>
      </c>
      <c r="N1323" s="5">
        <v>9.71</v>
      </c>
      <c r="O1323" s="6">
        <f t="shared" si="1"/>
        <v>15.87581006</v>
      </c>
      <c r="P1323" s="6" t="str">
        <f t="shared" si="2"/>
        <v>Post-Shift</v>
      </c>
      <c r="Q1323" s="3">
        <f t="shared" si="3"/>
        <v>15</v>
      </c>
    </row>
    <row r="1324">
      <c r="A1324" s="4">
        <v>45507.0</v>
      </c>
      <c r="B1324" s="2" t="s">
        <v>18</v>
      </c>
      <c r="C1324" s="2" t="s">
        <v>19</v>
      </c>
      <c r="D1324" s="2" t="s">
        <v>32</v>
      </c>
      <c r="E1324" s="2" t="s">
        <v>30</v>
      </c>
      <c r="F1324" s="5">
        <v>185923.0</v>
      </c>
      <c r="G1324" s="5">
        <v>7827.0</v>
      </c>
      <c r="H1324" s="5">
        <v>0.0421</v>
      </c>
      <c r="I1324" s="5">
        <v>3.68</v>
      </c>
      <c r="J1324" s="5">
        <v>28803.36</v>
      </c>
      <c r="K1324" s="5">
        <v>215.0</v>
      </c>
      <c r="L1324" s="5">
        <v>133.97</v>
      </c>
      <c r="M1324" s="5">
        <v>61106.18</v>
      </c>
      <c r="N1324" s="5">
        <v>2.12</v>
      </c>
      <c r="O1324" s="6">
        <f t="shared" si="1"/>
        <v>133.9691163</v>
      </c>
      <c r="P1324" s="6" t="str">
        <f t="shared" si="2"/>
        <v>Post-Shift</v>
      </c>
      <c r="Q1324" s="3">
        <f t="shared" si="3"/>
        <v>10</v>
      </c>
    </row>
    <row r="1325">
      <c r="A1325" s="4" t="s">
        <v>53</v>
      </c>
      <c r="B1325" s="2" t="s">
        <v>23</v>
      </c>
      <c r="C1325" s="2" t="s">
        <v>19</v>
      </c>
      <c r="D1325" s="2" t="s">
        <v>29</v>
      </c>
      <c r="E1325" s="2" t="s">
        <v>36</v>
      </c>
      <c r="F1325" s="5">
        <v>89688.0</v>
      </c>
      <c r="G1325" s="5">
        <v>6583.0</v>
      </c>
      <c r="H1325" s="5">
        <v>0.0734</v>
      </c>
      <c r="I1325" s="5">
        <v>0.34</v>
      </c>
      <c r="J1325" s="5">
        <v>2238.22</v>
      </c>
      <c r="K1325" s="5">
        <v>273.0</v>
      </c>
      <c r="L1325" s="5">
        <v>8.2</v>
      </c>
      <c r="M1325" s="5">
        <v>36559.47</v>
      </c>
      <c r="N1325" s="5">
        <v>16.33</v>
      </c>
      <c r="O1325" s="6">
        <f t="shared" si="1"/>
        <v>8.198608059</v>
      </c>
      <c r="P1325" s="6" t="str">
        <f t="shared" si="2"/>
        <v>Post-Shift</v>
      </c>
      <c r="Q1325" s="3">
        <f t="shared" si="3"/>
        <v>34</v>
      </c>
    </row>
    <row r="1326">
      <c r="A1326" s="4" t="s">
        <v>226</v>
      </c>
      <c r="B1326" s="2" t="s">
        <v>23</v>
      </c>
      <c r="C1326" s="2" t="s">
        <v>19</v>
      </c>
      <c r="D1326" s="2" t="s">
        <v>20</v>
      </c>
      <c r="E1326" s="2" t="s">
        <v>36</v>
      </c>
      <c r="F1326" s="5">
        <v>15273.0</v>
      </c>
      <c r="G1326" s="5">
        <v>464.0</v>
      </c>
      <c r="H1326" s="5">
        <v>0.0304</v>
      </c>
      <c r="I1326" s="5">
        <v>0.77</v>
      </c>
      <c r="J1326" s="5">
        <v>357.28</v>
      </c>
      <c r="K1326" s="5">
        <v>24.0</v>
      </c>
      <c r="L1326" s="5">
        <v>14.89</v>
      </c>
      <c r="M1326" s="5">
        <v>871.3</v>
      </c>
      <c r="N1326" s="5">
        <v>2.44</v>
      </c>
      <c r="O1326" s="6">
        <f t="shared" si="1"/>
        <v>14.88666667</v>
      </c>
      <c r="P1326" s="6" t="str">
        <f t="shared" si="2"/>
        <v>Post-Shift</v>
      </c>
      <c r="Q1326" s="3">
        <f t="shared" si="3"/>
        <v>33</v>
      </c>
    </row>
    <row r="1327">
      <c r="A1327" s="4">
        <v>45568.0</v>
      </c>
      <c r="B1327" s="2" t="s">
        <v>18</v>
      </c>
      <c r="C1327" s="2" t="s">
        <v>31</v>
      </c>
      <c r="D1327" s="2" t="s">
        <v>32</v>
      </c>
      <c r="E1327" s="2" t="s">
        <v>58</v>
      </c>
      <c r="F1327" s="5">
        <v>71107.0</v>
      </c>
      <c r="G1327" s="5">
        <v>2936.0</v>
      </c>
      <c r="H1327" s="5">
        <v>0.0413</v>
      </c>
      <c r="I1327" s="5">
        <v>2.67</v>
      </c>
      <c r="J1327" s="5">
        <v>7839.12</v>
      </c>
      <c r="K1327" s="5">
        <v>215.0</v>
      </c>
      <c r="L1327" s="5">
        <v>36.46</v>
      </c>
      <c r="M1327" s="5">
        <v>26952.54</v>
      </c>
      <c r="N1327" s="5">
        <v>3.44</v>
      </c>
      <c r="O1327" s="6">
        <f t="shared" si="1"/>
        <v>36.46102326</v>
      </c>
      <c r="P1327" s="6" t="str">
        <f t="shared" si="2"/>
        <v>Post-Shift</v>
      </c>
      <c r="Q1327" s="3">
        <f t="shared" si="3"/>
        <v>11</v>
      </c>
    </row>
    <row r="1328">
      <c r="A1328" s="4" t="s">
        <v>76</v>
      </c>
      <c r="B1328" s="2" t="s">
        <v>18</v>
      </c>
      <c r="C1328" s="2" t="s">
        <v>31</v>
      </c>
      <c r="D1328" s="2" t="s">
        <v>32</v>
      </c>
      <c r="E1328" s="2" t="s">
        <v>21</v>
      </c>
      <c r="F1328" s="5">
        <v>79681.0</v>
      </c>
      <c r="G1328" s="5">
        <v>2916.0</v>
      </c>
      <c r="H1328" s="5">
        <v>0.0366</v>
      </c>
      <c r="I1328" s="5">
        <v>2.34</v>
      </c>
      <c r="J1328" s="5">
        <v>6823.44</v>
      </c>
      <c r="K1328" s="5">
        <v>184.0</v>
      </c>
      <c r="L1328" s="5">
        <v>37.08</v>
      </c>
      <c r="M1328" s="5">
        <v>46327.26</v>
      </c>
      <c r="N1328" s="5">
        <v>6.79</v>
      </c>
      <c r="O1328" s="6">
        <f t="shared" si="1"/>
        <v>37.08391304</v>
      </c>
      <c r="P1328" s="6" t="str">
        <f t="shared" si="2"/>
        <v>Post-Shift</v>
      </c>
      <c r="Q1328" s="3">
        <f t="shared" si="3"/>
        <v>27</v>
      </c>
    </row>
    <row r="1329">
      <c r="A1329" s="4" t="s">
        <v>227</v>
      </c>
      <c r="B1329" s="2" t="s">
        <v>38</v>
      </c>
      <c r="C1329" s="2" t="s">
        <v>27</v>
      </c>
      <c r="D1329" s="2" t="s">
        <v>29</v>
      </c>
      <c r="E1329" s="2" t="s">
        <v>25</v>
      </c>
      <c r="F1329" s="5">
        <v>102148.0</v>
      </c>
      <c r="G1329" s="5">
        <v>1205.0</v>
      </c>
      <c r="H1329" s="5">
        <v>0.0118</v>
      </c>
      <c r="I1329" s="5">
        <v>1.31</v>
      </c>
      <c r="J1329" s="5">
        <v>1578.55</v>
      </c>
      <c r="K1329" s="5">
        <v>59.0</v>
      </c>
      <c r="L1329" s="5">
        <v>26.76</v>
      </c>
      <c r="M1329" s="5">
        <v>17697.95</v>
      </c>
      <c r="N1329" s="5">
        <v>11.21</v>
      </c>
      <c r="O1329" s="6">
        <f t="shared" si="1"/>
        <v>26.75508475</v>
      </c>
      <c r="P1329" s="6" t="str">
        <f t="shared" si="2"/>
        <v>Post-Shift</v>
      </c>
      <c r="Q1329" s="3">
        <f t="shared" si="3"/>
        <v>12</v>
      </c>
    </row>
    <row r="1330">
      <c r="A1330" s="4" t="s">
        <v>186</v>
      </c>
      <c r="B1330" s="2" t="s">
        <v>38</v>
      </c>
      <c r="C1330" s="2" t="s">
        <v>19</v>
      </c>
      <c r="D1330" s="2" t="s">
        <v>20</v>
      </c>
      <c r="E1330" s="2" t="s">
        <v>25</v>
      </c>
      <c r="F1330" s="5">
        <v>115540.0</v>
      </c>
      <c r="G1330" s="5">
        <v>1686.0</v>
      </c>
      <c r="H1330" s="5">
        <v>0.0146</v>
      </c>
      <c r="I1330" s="5">
        <v>1.58</v>
      </c>
      <c r="J1330" s="5">
        <v>2663.88</v>
      </c>
      <c r="K1330" s="5">
        <v>87.0</v>
      </c>
      <c r="L1330" s="5">
        <v>30.62</v>
      </c>
      <c r="M1330" s="5">
        <v>20354.07</v>
      </c>
      <c r="N1330" s="5">
        <v>7.64</v>
      </c>
      <c r="O1330" s="6">
        <f t="shared" si="1"/>
        <v>30.61931034</v>
      </c>
      <c r="P1330" s="6" t="str">
        <f t="shared" si="2"/>
        <v>Post-Shift</v>
      </c>
      <c r="Q1330" s="3">
        <f t="shared" si="3"/>
        <v>26</v>
      </c>
    </row>
    <row r="1331">
      <c r="A1331" s="4" t="s">
        <v>78</v>
      </c>
      <c r="B1331" s="2" t="s">
        <v>18</v>
      </c>
      <c r="C1331" s="2" t="s">
        <v>27</v>
      </c>
      <c r="D1331" s="2" t="s">
        <v>45</v>
      </c>
      <c r="E1331" s="2" t="s">
        <v>21</v>
      </c>
      <c r="F1331" s="5">
        <v>16766.0</v>
      </c>
      <c r="G1331" s="5">
        <v>846.0</v>
      </c>
      <c r="H1331" s="5">
        <v>0.0505</v>
      </c>
      <c r="I1331" s="5">
        <v>2.46</v>
      </c>
      <c r="J1331" s="5">
        <v>2081.16</v>
      </c>
      <c r="K1331" s="5">
        <v>34.0</v>
      </c>
      <c r="L1331" s="5">
        <v>61.21</v>
      </c>
      <c r="M1331" s="5">
        <v>7254.65</v>
      </c>
      <c r="N1331" s="5">
        <v>3.49</v>
      </c>
      <c r="O1331" s="6">
        <f t="shared" si="1"/>
        <v>61.21058824</v>
      </c>
      <c r="P1331" s="6" t="str">
        <f t="shared" si="2"/>
        <v>Post-Shift</v>
      </c>
      <c r="Q1331" s="3">
        <f t="shared" si="3"/>
        <v>24</v>
      </c>
    </row>
    <row r="1332">
      <c r="A1332" s="4">
        <v>45475.0</v>
      </c>
      <c r="B1332" s="2" t="s">
        <v>18</v>
      </c>
      <c r="C1332" s="2" t="s">
        <v>41</v>
      </c>
      <c r="D1332" s="2" t="s">
        <v>45</v>
      </c>
      <c r="E1332" s="2" t="s">
        <v>33</v>
      </c>
      <c r="F1332" s="5">
        <v>96931.0</v>
      </c>
      <c r="G1332" s="5">
        <v>5844.0</v>
      </c>
      <c r="H1332" s="5">
        <v>0.0603</v>
      </c>
      <c r="I1332" s="5">
        <v>1.12</v>
      </c>
      <c r="J1332" s="5">
        <v>6545.28</v>
      </c>
      <c r="K1332" s="5">
        <v>297.0</v>
      </c>
      <c r="L1332" s="5">
        <v>22.04</v>
      </c>
      <c r="M1332" s="5">
        <v>47765.4</v>
      </c>
      <c r="N1332" s="5">
        <v>7.3</v>
      </c>
      <c r="O1332" s="6">
        <f t="shared" si="1"/>
        <v>22.0379798</v>
      </c>
      <c r="P1332" s="6" t="str">
        <f t="shared" si="2"/>
        <v>Post-Shift</v>
      </c>
      <c r="Q1332" s="3">
        <f t="shared" si="3"/>
        <v>6</v>
      </c>
    </row>
    <row r="1333">
      <c r="A1333" s="4">
        <v>45566.0</v>
      </c>
      <c r="B1333" s="2" t="s">
        <v>38</v>
      </c>
      <c r="C1333" s="2" t="s">
        <v>19</v>
      </c>
      <c r="D1333" s="2" t="s">
        <v>32</v>
      </c>
      <c r="E1333" s="2" t="s">
        <v>25</v>
      </c>
      <c r="F1333" s="5">
        <v>175574.0</v>
      </c>
      <c r="G1333" s="5">
        <v>6935.0</v>
      </c>
      <c r="H1333" s="5">
        <v>0.0395</v>
      </c>
      <c r="I1333" s="5">
        <v>0.69</v>
      </c>
      <c r="J1333" s="5">
        <v>4785.15</v>
      </c>
      <c r="K1333" s="5">
        <v>515.0</v>
      </c>
      <c r="L1333" s="5">
        <v>9.29</v>
      </c>
      <c r="M1333" s="5">
        <v>69264.33</v>
      </c>
      <c r="N1333" s="5">
        <v>14.47</v>
      </c>
      <c r="O1333" s="6">
        <f t="shared" si="1"/>
        <v>9.291553398</v>
      </c>
      <c r="P1333" s="6" t="str">
        <f t="shared" si="2"/>
        <v>Post-Shift</v>
      </c>
      <c r="Q1333" s="3">
        <f t="shared" si="3"/>
        <v>2</v>
      </c>
    </row>
    <row r="1334">
      <c r="A1334" s="4">
        <v>45516.0</v>
      </c>
      <c r="B1334" s="2" t="s">
        <v>23</v>
      </c>
      <c r="C1334" s="2" t="s">
        <v>31</v>
      </c>
      <c r="D1334" s="2" t="s">
        <v>24</v>
      </c>
      <c r="E1334" s="2" t="s">
        <v>58</v>
      </c>
      <c r="F1334" s="5">
        <v>175330.0</v>
      </c>
      <c r="G1334" s="5">
        <v>8766.0</v>
      </c>
      <c r="H1334" s="5">
        <v>0.05</v>
      </c>
      <c r="I1334" s="5">
        <v>0.73</v>
      </c>
      <c r="J1334" s="5">
        <v>6399.18</v>
      </c>
      <c r="K1334" s="5">
        <v>302.0</v>
      </c>
      <c r="L1334" s="5">
        <v>21.19</v>
      </c>
      <c r="M1334" s="5">
        <v>35245.68</v>
      </c>
      <c r="N1334" s="5">
        <v>5.51</v>
      </c>
      <c r="O1334" s="6">
        <f t="shared" si="1"/>
        <v>21.18933775</v>
      </c>
      <c r="P1334" s="6" t="str">
        <f t="shared" si="2"/>
        <v>Post-Shift</v>
      </c>
      <c r="Q1334" s="3">
        <f t="shared" si="3"/>
        <v>50</v>
      </c>
    </row>
    <row r="1335">
      <c r="A1335" s="4" t="s">
        <v>55</v>
      </c>
      <c r="B1335" s="2" t="s">
        <v>18</v>
      </c>
      <c r="C1335" s="2" t="s">
        <v>31</v>
      </c>
      <c r="D1335" s="2" t="s">
        <v>45</v>
      </c>
      <c r="E1335" s="2" t="s">
        <v>21</v>
      </c>
      <c r="F1335" s="5">
        <v>45225.0</v>
      </c>
      <c r="G1335" s="5">
        <v>2211.0</v>
      </c>
      <c r="H1335" s="5">
        <v>0.0489</v>
      </c>
      <c r="I1335" s="5">
        <v>0.91</v>
      </c>
      <c r="J1335" s="5">
        <v>2012.01</v>
      </c>
      <c r="K1335" s="5">
        <v>156.0</v>
      </c>
      <c r="L1335" s="5">
        <v>12.9</v>
      </c>
      <c r="M1335" s="5">
        <v>38495.98</v>
      </c>
      <c r="N1335" s="5">
        <v>19.13</v>
      </c>
      <c r="O1335" s="6">
        <f t="shared" si="1"/>
        <v>12.8975</v>
      </c>
      <c r="P1335" s="6" t="str">
        <f t="shared" si="2"/>
        <v>Post-Shift</v>
      </c>
      <c r="Q1335" s="3">
        <f t="shared" si="3"/>
        <v>53</v>
      </c>
    </row>
    <row r="1336">
      <c r="A1336" s="4">
        <v>45391.0</v>
      </c>
      <c r="B1336" s="2" t="s">
        <v>38</v>
      </c>
      <c r="C1336" s="2" t="s">
        <v>31</v>
      </c>
      <c r="D1336" s="2" t="s">
        <v>20</v>
      </c>
      <c r="E1336" s="2" t="s">
        <v>56</v>
      </c>
      <c r="F1336" s="5">
        <v>79992.0</v>
      </c>
      <c r="G1336" s="5">
        <v>1055.0</v>
      </c>
      <c r="H1336" s="5">
        <v>0.0132</v>
      </c>
      <c r="I1336" s="5">
        <v>1.52</v>
      </c>
      <c r="J1336" s="5">
        <v>1603.6</v>
      </c>
      <c r="K1336" s="5">
        <v>21.0</v>
      </c>
      <c r="L1336" s="5">
        <v>76.36</v>
      </c>
      <c r="M1336" s="5">
        <v>4912.79</v>
      </c>
      <c r="N1336" s="5">
        <v>3.06</v>
      </c>
      <c r="O1336" s="6">
        <f t="shared" si="1"/>
        <v>76.36190476</v>
      </c>
      <c r="P1336" s="6" t="str">
        <f t="shared" si="2"/>
        <v>Baseline</v>
      </c>
      <c r="Q1336" s="3">
        <f t="shared" si="3"/>
        <v>36</v>
      </c>
    </row>
    <row r="1337">
      <c r="A1337" s="4" t="s">
        <v>233</v>
      </c>
      <c r="B1337" s="2" t="s">
        <v>38</v>
      </c>
      <c r="C1337" s="2" t="s">
        <v>41</v>
      </c>
      <c r="D1337" s="2" t="s">
        <v>24</v>
      </c>
      <c r="E1337" s="2" t="s">
        <v>58</v>
      </c>
      <c r="F1337" s="5">
        <v>23113.0</v>
      </c>
      <c r="G1337" s="5">
        <v>228.0</v>
      </c>
      <c r="H1337" s="5">
        <v>0.0099</v>
      </c>
      <c r="I1337" s="5">
        <v>0.6</v>
      </c>
      <c r="J1337" s="5">
        <v>136.8</v>
      </c>
      <c r="K1337" s="5">
        <v>17.0</v>
      </c>
      <c r="L1337" s="5">
        <v>8.05</v>
      </c>
      <c r="M1337" s="5">
        <v>2097.34</v>
      </c>
      <c r="N1337" s="5">
        <v>15.33</v>
      </c>
      <c r="O1337" s="6">
        <f t="shared" si="1"/>
        <v>8.047058824</v>
      </c>
      <c r="P1337" s="6" t="str">
        <f t="shared" si="2"/>
        <v>Post-Shift</v>
      </c>
      <c r="Q1337" s="3">
        <f t="shared" si="3"/>
        <v>38</v>
      </c>
    </row>
    <row r="1338">
      <c r="A1338" s="4" t="s">
        <v>231</v>
      </c>
      <c r="B1338" s="2" t="s">
        <v>38</v>
      </c>
      <c r="C1338" s="2" t="s">
        <v>19</v>
      </c>
      <c r="D1338" s="2" t="s">
        <v>24</v>
      </c>
      <c r="E1338" s="2" t="s">
        <v>33</v>
      </c>
      <c r="F1338" s="5">
        <v>39754.0</v>
      </c>
      <c r="G1338" s="5">
        <v>1164.0</v>
      </c>
      <c r="H1338" s="5">
        <v>0.0293</v>
      </c>
      <c r="I1338" s="5">
        <v>1.35</v>
      </c>
      <c r="J1338" s="5">
        <v>1571.4</v>
      </c>
      <c r="K1338" s="5">
        <v>72.0</v>
      </c>
      <c r="L1338" s="5">
        <v>21.83</v>
      </c>
      <c r="M1338" s="5">
        <v>9221.61</v>
      </c>
      <c r="N1338" s="5">
        <v>5.87</v>
      </c>
      <c r="O1338" s="6">
        <f t="shared" si="1"/>
        <v>21.825</v>
      </c>
      <c r="P1338" s="6" t="str">
        <f t="shared" si="2"/>
        <v>Post-Shift</v>
      </c>
      <c r="Q1338" s="3">
        <f t="shared" si="3"/>
        <v>31</v>
      </c>
    </row>
    <row r="1339">
      <c r="A1339" s="4" t="s">
        <v>69</v>
      </c>
      <c r="B1339" s="2" t="s">
        <v>18</v>
      </c>
      <c r="C1339" s="2" t="s">
        <v>31</v>
      </c>
      <c r="D1339" s="2" t="s">
        <v>32</v>
      </c>
      <c r="E1339" s="2" t="s">
        <v>21</v>
      </c>
      <c r="F1339" s="5">
        <v>89383.0</v>
      </c>
      <c r="G1339" s="5">
        <v>5631.0</v>
      </c>
      <c r="H1339" s="5">
        <v>0.063</v>
      </c>
      <c r="I1339" s="5">
        <v>3.67</v>
      </c>
      <c r="J1339" s="5">
        <v>20665.77</v>
      </c>
      <c r="K1339" s="5">
        <v>163.0</v>
      </c>
      <c r="L1339" s="5">
        <v>126.78</v>
      </c>
      <c r="M1339" s="5">
        <v>35918.24</v>
      </c>
      <c r="N1339" s="5">
        <v>1.74</v>
      </c>
      <c r="O1339" s="6">
        <f t="shared" si="1"/>
        <v>126.783865</v>
      </c>
      <c r="P1339" s="6" t="str">
        <f t="shared" si="2"/>
        <v>Post-Shift</v>
      </c>
      <c r="Q1339" s="3">
        <f t="shared" si="3"/>
        <v>33</v>
      </c>
    </row>
    <row r="1340">
      <c r="A1340" s="4">
        <v>45506.0</v>
      </c>
      <c r="B1340" s="2" t="s">
        <v>23</v>
      </c>
      <c r="C1340" s="2" t="s">
        <v>19</v>
      </c>
      <c r="D1340" s="2" t="s">
        <v>24</v>
      </c>
      <c r="E1340" s="2" t="s">
        <v>30</v>
      </c>
      <c r="F1340" s="5">
        <v>128900.0</v>
      </c>
      <c r="G1340" s="5">
        <v>10273.0</v>
      </c>
      <c r="H1340" s="5">
        <v>0.0797</v>
      </c>
      <c r="I1340" s="5">
        <v>0.84</v>
      </c>
      <c r="J1340" s="5">
        <v>8629.32</v>
      </c>
      <c r="K1340" s="5">
        <v>238.0</v>
      </c>
      <c r="L1340" s="5">
        <v>36.26</v>
      </c>
      <c r="M1340" s="5">
        <v>11417.91</v>
      </c>
      <c r="N1340" s="5">
        <v>1.32</v>
      </c>
      <c r="O1340" s="6">
        <f t="shared" si="1"/>
        <v>36.25764706</v>
      </c>
      <c r="P1340" s="6" t="str">
        <f t="shared" si="2"/>
        <v>Post-Shift</v>
      </c>
      <c r="Q1340" s="3">
        <f t="shared" si="3"/>
        <v>6</v>
      </c>
    </row>
    <row r="1341">
      <c r="A1341" s="4" t="s">
        <v>100</v>
      </c>
      <c r="B1341" s="2" t="s">
        <v>18</v>
      </c>
      <c r="C1341" s="2" t="s">
        <v>41</v>
      </c>
      <c r="D1341" s="2" t="s">
        <v>24</v>
      </c>
      <c r="E1341" s="2" t="s">
        <v>36</v>
      </c>
      <c r="F1341" s="5">
        <v>179159.0</v>
      </c>
      <c r="G1341" s="5">
        <v>6593.0</v>
      </c>
      <c r="H1341" s="5">
        <v>0.0368</v>
      </c>
      <c r="I1341" s="5">
        <v>2.23</v>
      </c>
      <c r="J1341" s="5">
        <v>14702.39</v>
      </c>
      <c r="K1341" s="5">
        <v>459.0</v>
      </c>
      <c r="L1341" s="5">
        <v>32.03</v>
      </c>
      <c r="M1341" s="5">
        <v>76527.74</v>
      </c>
      <c r="N1341" s="5">
        <v>5.21</v>
      </c>
      <c r="O1341" s="6">
        <f t="shared" si="1"/>
        <v>32.03135076</v>
      </c>
      <c r="P1341" s="6" t="str">
        <f t="shared" si="2"/>
        <v>Post-Shift</v>
      </c>
      <c r="Q1341" s="3">
        <f t="shared" si="3"/>
        <v>34</v>
      </c>
    </row>
    <row r="1342">
      <c r="A1342" s="4" t="s">
        <v>191</v>
      </c>
      <c r="B1342" s="2" t="s">
        <v>23</v>
      </c>
      <c r="C1342" s="2" t="s">
        <v>41</v>
      </c>
      <c r="D1342" s="2" t="s">
        <v>32</v>
      </c>
      <c r="E1342" s="2" t="s">
        <v>56</v>
      </c>
      <c r="F1342" s="5">
        <v>15739.0</v>
      </c>
      <c r="G1342" s="5">
        <v>1205.0</v>
      </c>
      <c r="H1342" s="5">
        <v>0.0766</v>
      </c>
      <c r="I1342" s="5">
        <v>0.46</v>
      </c>
      <c r="J1342" s="5">
        <v>554.3</v>
      </c>
      <c r="K1342" s="5">
        <v>60.0</v>
      </c>
      <c r="L1342" s="5">
        <v>9.24</v>
      </c>
      <c r="M1342" s="5">
        <v>6092.69</v>
      </c>
      <c r="N1342" s="5">
        <v>10.99</v>
      </c>
      <c r="O1342" s="6">
        <f t="shared" si="1"/>
        <v>9.238333333</v>
      </c>
      <c r="P1342" s="6" t="str">
        <f t="shared" si="2"/>
        <v>Post-Shift</v>
      </c>
      <c r="Q1342" s="3">
        <f t="shared" si="3"/>
        <v>13</v>
      </c>
    </row>
    <row r="1343">
      <c r="A1343" s="4" t="s">
        <v>258</v>
      </c>
      <c r="B1343" s="2" t="s">
        <v>38</v>
      </c>
      <c r="C1343" s="2" t="s">
        <v>31</v>
      </c>
      <c r="D1343" s="2" t="s">
        <v>20</v>
      </c>
      <c r="E1343" s="2" t="s">
        <v>58</v>
      </c>
      <c r="F1343" s="5">
        <v>25243.0</v>
      </c>
      <c r="G1343" s="5">
        <v>580.0</v>
      </c>
      <c r="H1343" s="5">
        <v>0.023</v>
      </c>
      <c r="I1343" s="5">
        <v>1.98</v>
      </c>
      <c r="J1343" s="5">
        <v>1148.4</v>
      </c>
      <c r="K1343" s="5">
        <v>13.0</v>
      </c>
      <c r="L1343" s="5">
        <v>88.34</v>
      </c>
      <c r="M1343" s="5">
        <v>3883.09</v>
      </c>
      <c r="N1343" s="5">
        <v>3.38</v>
      </c>
      <c r="O1343" s="6">
        <f t="shared" si="1"/>
        <v>88.33846154</v>
      </c>
      <c r="P1343" s="6" t="str">
        <f t="shared" si="2"/>
        <v>Post-Shift</v>
      </c>
      <c r="Q1343" s="3">
        <f t="shared" si="3"/>
        <v>12</v>
      </c>
    </row>
    <row r="1344">
      <c r="A1344" s="4">
        <v>45479.0</v>
      </c>
      <c r="B1344" s="2" t="s">
        <v>23</v>
      </c>
      <c r="C1344" s="2" t="s">
        <v>27</v>
      </c>
      <c r="D1344" s="2" t="s">
        <v>20</v>
      </c>
      <c r="E1344" s="2" t="s">
        <v>36</v>
      </c>
      <c r="F1344" s="5">
        <v>196745.0</v>
      </c>
      <c r="G1344" s="5">
        <v>13240.0</v>
      </c>
      <c r="H1344" s="5">
        <v>0.0673</v>
      </c>
      <c r="I1344" s="5">
        <v>1.63</v>
      </c>
      <c r="J1344" s="5">
        <v>21581.2</v>
      </c>
      <c r="K1344" s="5">
        <v>761.0</v>
      </c>
      <c r="L1344" s="5">
        <v>28.36</v>
      </c>
      <c r="M1344" s="5">
        <v>195233.4</v>
      </c>
      <c r="N1344" s="5">
        <v>9.05</v>
      </c>
      <c r="O1344" s="6">
        <f t="shared" si="1"/>
        <v>28.35900131</v>
      </c>
      <c r="P1344" s="6" t="str">
        <f t="shared" si="2"/>
        <v>Post-Shift</v>
      </c>
      <c r="Q1344" s="3">
        <f t="shared" si="3"/>
        <v>23</v>
      </c>
    </row>
    <row r="1345">
      <c r="A1345" s="4" t="s">
        <v>133</v>
      </c>
      <c r="B1345" s="2" t="s">
        <v>38</v>
      </c>
      <c r="C1345" s="2" t="s">
        <v>19</v>
      </c>
      <c r="D1345" s="2" t="s">
        <v>45</v>
      </c>
      <c r="E1345" s="2" t="s">
        <v>33</v>
      </c>
      <c r="F1345" s="5">
        <v>23186.0</v>
      </c>
      <c r="G1345" s="5">
        <v>512.0</v>
      </c>
      <c r="H1345" s="5">
        <v>0.0221</v>
      </c>
      <c r="I1345" s="5">
        <v>2.11</v>
      </c>
      <c r="J1345" s="5">
        <v>1080.32</v>
      </c>
      <c r="K1345" s="5">
        <v>26.0</v>
      </c>
      <c r="L1345" s="5">
        <v>41.55</v>
      </c>
      <c r="M1345" s="5">
        <v>2663.68</v>
      </c>
      <c r="N1345" s="5">
        <v>2.47</v>
      </c>
      <c r="O1345" s="6">
        <f t="shared" si="1"/>
        <v>41.55076923</v>
      </c>
      <c r="P1345" s="6" t="str">
        <f t="shared" si="2"/>
        <v>Post-Shift</v>
      </c>
      <c r="Q1345" s="3">
        <f t="shared" si="3"/>
        <v>47</v>
      </c>
    </row>
    <row r="1346">
      <c r="A1346" s="4" t="s">
        <v>103</v>
      </c>
      <c r="B1346" s="2" t="s">
        <v>18</v>
      </c>
      <c r="C1346" s="2" t="s">
        <v>31</v>
      </c>
      <c r="D1346" s="2" t="s">
        <v>32</v>
      </c>
      <c r="E1346" s="2" t="s">
        <v>30</v>
      </c>
      <c r="F1346" s="5">
        <v>189480.0</v>
      </c>
      <c r="G1346" s="5">
        <v>6290.0</v>
      </c>
      <c r="H1346" s="5">
        <v>0.0332</v>
      </c>
      <c r="I1346" s="5">
        <v>3.55</v>
      </c>
      <c r="J1346" s="5">
        <v>22329.5</v>
      </c>
      <c r="K1346" s="5">
        <v>204.0</v>
      </c>
      <c r="L1346" s="5">
        <v>109.46</v>
      </c>
      <c r="M1346" s="5">
        <v>44620.04</v>
      </c>
      <c r="N1346" s="5">
        <v>2.0</v>
      </c>
      <c r="O1346" s="6">
        <f t="shared" si="1"/>
        <v>109.4583333</v>
      </c>
      <c r="P1346" s="6" t="str">
        <f t="shared" si="2"/>
        <v>Post-Shift</v>
      </c>
      <c r="Q1346" s="3">
        <f t="shared" si="3"/>
        <v>43</v>
      </c>
    </row>
    <row r="1347">
      <c r="A1347" s="4">
        <v>45607.0</v>
      </c>
      <c r="B1347" s="2" t="s">
        <v>38</v>
      </c>
      <c r="C1347" s="2" t="s">
        <v>27</v>
      </c>
      <c r="D1347" s="2" t="s">
        <v>20</v>
      </c>
      <c r="E1347" s="2" t="s">
        <v>25</v>
      </c>
      <c r="F1347" s="5">
        <v>112518.0</v>
      </c>
      <c r="G1347" s="5">
        <v>1597.0</v>
      </c>
      <c r="H1347" s="5">
        <v>0.0142</v>
      </c>
      <c r="I1347" s="5">
        <v>1.08</v>
      </c>
      <c r="J1347" s="5">
        <v>1724.76</v>
      </c>
      <c r="K1347" s="5">
        <v>105.0</v>
      </c>
      <c r="L1347" s="5">
        <v>16.43</v>
      </c>
      <c r="M1347" s="5">
        <v>25379.08</v>
      </c>
      <c r="N1347" s="5">
        <v>14.71</v>
      </c>
      <c r="O1347" s="6">
        <f t="shared" si="1"/>
        <v>16.42628571</v>
      </c>
      <c r="P1347" s="6" t="str">
        <f t="shared" si="2"/>
        <v>Post-Shift</v>
      </c>
      <c r="Q1347" s="3">
        <f t="shared" si="3"/>
        <v>46</v>
      </c>
    </row>
    <row r="1348">
      <c r="A1348" s="4">
        <v>45634.0</v>
      </c>
      <c r="B1348" s="2" t="s">
        <v>18</v>
      </c>
      <c r="C1348" s="2" t="s">
        <v>27</v>
      </c>
      <c r="D1348" s="2" t="s">
        <v>45</v>
      </c>
      <c r="E1348" s="2" t="s">
        <v>30</v>
      </c>
      <c r="F1348" s="5">
        <v>116789.0</v>
      </c>
      <c r="G1348" s="5">
        <v>6586.0</v>
      </c>
      <c r="H1348" s="5">
        <v>0.0564</v>
      </c>
      <c r="I1348" s="5">
        <v>2.69</v>
      </c>
      <c r="J1348" s="5">
        <v>17716.34</v>
      </c>
      <c r="K1348" s="5">
        <v>220.0</v>
      </c>
      <c r="L1348" s="5">
        <v>80.53</v>
      </c>
      <c r="M1348" s="5">
        <v>34309.56</v>
      </c>
      <c r="N1348" s="5">
        <v>1.94</v>
      </c>
      <c r="O1348" s="6">
        <f t="shared" si="1"/>
        <v>80.52881818</v>
      </c>
      <c r="P1348" s="6" t="str">
        <f t="shared" si="2"/>
        <v>Post-Shift</v>
      </c>
      <c r="Q1348" s="3">
        <f t="shared" si="3"/>
        <v>33</v>
      </c>
    </row>
    <row r="1349">
      <c r="A1349" s="4" t="s">
        <v>199</v>
      </c>
      <c r="B1349" s="2" t="s">
        <v>23</v>
      </c>
      <c r="C1349" s="2" t="s">
        <v>19</v>
      </c>
      <c r="D1349" s="2" t="s">
        <v>32</v>
      </c>
      <c r="E1349" s="2" t="s">
        <v>33</v>
      </c>
      <c r="F1349" s="5">
        <v>42575.0</v>
      </c>
      <c r="G1349" s="5">
        <v>2188.0</v>
      </c>
      <c r="H1349" s="5">
        <v>0.0514</v>
      </c>
      <c r="I1349" s="5">
        <v>1.8</v>
      </c>
      <c r="J1349" s="5">
        <v>3938.4</v>
      </c>
      <c r="K1349" s="5">
        <v>63.0</v>
      </c>
      <c r="L1349" s="5">
        <v>62.51</v>
      </c>
      <c r="M1349" s="5">
        <v>13519.27</v>
      </c>
      <c r="N1349" s="5">
        <v>3.43</v>
      </c>
      <c r="O1349" s="6">
        <f t="shared" si="1"/>
        <v>62.51428571</v>
      </c>
      <c r="P1349" s="6" t="str">
        <f t="shared" si="2"/>
        <v>Post-Shift</v>
      </c>
      <c r="Q1349" s="3">
        <f t="shared" si="3"/>
        <v>17</v>
      </c>
    </row>
    <row r="1350">
      <c r="A1350" s="4" t="s">
        <v>260</v>
      </c>
      <c r="B1350" s="2" t="s">
        <v>23</v>
      </c>
      <c r="C1350" s="2" t="s">
        <v>27</v>
      </c>
      <c r="D1350" s="2" t="s">
        <v>20</v>
      </c>
      <c r="E1350" s="2" t="s">
        <v>36</v>
      </c>
      <c r="F1350" s="5">
        <v>51557.0</v>
      </c>
      <c r="G1350" s="5">
        <v>2882.0</v>
      </c>
      <c r="H1350" s="5">
        <v>0.0559</v>
      </c>
      <c r="I1350" s="5">
        <v>1.25</v>
      </c>
      <c r="J1350" s="5">
        <v>3602.5</v>
      </c>
      <c r="K1350" s="5">
        <v>135.0</v>
      </c>
      <c r="L1350" s="5">
        <v>26.69</v>
      </c>
      <c r="M1350" s="5">
        <v>6028.08</v>
      </c>
      <c r="N1350" s="5">
        <v>1.67</v>
      </c>
      <c r="O1350" s="6">
        <f t="shared" si="1"/>
        <v>26.68518519</v>
      </c>
      <c r="P1350" s="6" t="str">
        <f t="shared" si="2"/>
        <v>Post-Shift</v>
      </c>
      <c r="Q1350" s="3">
        <f t="shared" si="3"/>
        <v>30</v>
      </c>
    </row>
    <row r="1351">
      <c r="A1351" s="4">
        <v>45444.0</v>
      </c>
      <c r="B1351" s="2" t="s">
        <v>38</v>
      </c>
      <c r="C1351" s="2" t="s">
        <v>27</v>
      </c>
      <c r="D1351" s="2" t="s">
        <v>29</v>
      </c>
      <c r="E1351" s="2" t="s">
        <v>58</v>
      </c>
      <c r="F1351" s="5">
        <v>131681.0</v>
      </c>
      <c r="G1351" s="5">
        <v>1725.0</v>
      </c>
      <c r="H1351" s="5">
        <v>0.0131</v>
      </c>
      <c r="I1351" s="5">
        <v>0.79</v>
      </c>
      <c r="J1351" s="5">
        <v>1362.75</v>
      </c>
      <c r="K1351" s="5">
        <v>108.0</v>
      </c>
      <c r="L1351" s="5">
        <v>12.62</v>
      </c>
      <c r="M1351" s="5">
        <v>31291.1</v>
      </c>
      <c r="N1351" s="5">
        <v>22.96</v>
      </c>
      <c r="O1351" s="6">
        <f t="shared" si="1"/>
        <v>12.61805556</v>
      </c>
      <c r="P1351" s="6" t="str">
        <f t="shared" si="2"/>
        <v>Baseline</v>
      </c>
      <c r="Q1351" s="3">
        <f t="shared" si="3"/>
        <v>1</v>
      </c>
    </row>
    <row r="1352">
      <c r="A1352" s="4">
        <v>45601.0</v>
      </c>
      <c r="B1352" s="2" t="s">
        <v>18</v>
      </c>
      <c r="C1352" s="2" t="s">
        <v>19</v>
      </c>
      <c r="D1352" s="2" t="s">
        <v>32</v>
      </c>
      <c r="E1352" s="2" t="s">
        <v>36</v>
      </c>
      <c r="F1352" s="5">
        <v>89833.0</v>
      </c>
      <c r="G1352" s="5">
        <v>4536.0</v>
      </c>
      <c r="H1352" s="5">
        <v>0.0505</v>
      </c>
      <c r="I1352" s="5">
        <v>3.74</v>
      </c>
      <c r="J1352" s="5">
        <v>16964.64</v>
      </c>
      <c r="K1352" s="5">
        <v>166.0</v>
      </c>
      <c r="L1352" s="5">
        <v>102.2</v>
      </c>
      <c r="M1352" s="5">
        <v>42497.44</v>
      </c>
      <c r="N1352" s="5">
        <v>2.51</v>
      </c>
      <c r="O1352" s="6">
        <f t="shared" si="1"/>
        <v>102.1966265</v>
      </c>
      <c r="P1352" s="6" t="str">
        <f t="shared" si="2"/>
        <v>Post-Shift</v>
      </c>
      <c r="Q1352" s="3">
        <f t="shared" si="3"/>
        <v>19</v>
      </c>
    </row>
    <row r="1353">
      <c r="A1353" s="4">
        <v>45547.0</v>
      </c>
      <c r="B1353" s="2" t="s">
        <v>38</v>
      </c>
      <c r="C1353" s="2" t="s">
        <v>31</v>
      </c>
      <c r="D1353" s="2" t="s">
        <v>20</v>
      </c>
      <c r="E1353" s="2" t="s">
        <v>30</v>
      </c>
      <c r="F1353" s="5">
        <v>116161.0</v>
      </c>
      <c r="G1353" s="5">
        <v>4379.0</v>
      </c>
      <c r="H1353" s="5">
        <v>0.0377</v>
      </c>
      <c r="I1353" s="5">
        <v>1.77</v>
      </c>
      <c r="J1353" s="5">
        <v>7750.83</v>
      </c>
      <c r="K1353" s="5">
        <v>264.0</v>
      </c>
      <c r="L1353" s="5">
        <v>29.36</v>
      </c>
      <c r="M1353" s="5">
        <v>18090.29</v>
      </c>
      <c r="N1353" s="5">
        <v>2.33</v>
      </c>
      <c r="O1353" s="6">
        <f t="shared" si="1"/>
        <v>29.35920455</v>
      </c>
      <c r="P1353" s="6" t="str">
        <f t="shared" si="2"/>
        <v>Post-Shift</v>
      </c>
      <c r="Q1353" s="3">
        <f t="shared" si="3"/>
        <v>50</v>
      </c>
    </row>
    <row r="1354">
      <c r="A1354" s="4">
        <v>45536.0</v>
      </c>
      <c r="B1354" s="2" t="s">
        <v>18</v>
      </c>
      <c r="C1354" s="2" t="s">
        <v>19</v>
      </c>
      <c r="D1354" s="2" t="s">
        <v>32</v>
      </c>
      <c r="E1354" s="2" t="s">
        <v>58</v>
      </c>
      <c r="F1354" s="5">
        <v>53544.0</v>
      </c>
      <c r="G1354" s="5">
        <v>1670.0</v>
      </c>
      <c r="H1354" s="5">
        <v>0.0312</v>
      </c>
      <c r="I1354" s="5">
        <v>1.41</v>
      </c>
      <c r="J1354" s="5">
        <v>2354.7</v>
      </c>
      <c r="K1354" s="5">
        <v>20.0</v>
      </c>
      <c r="L1354" s="5">
        <v>117.73</v>
      </c>
      <c r="M1354" s="5">
        <v>4659.21</v>
      </c>
      <c r="N1354" s="5">
        <v>1.98</v>
      </c>
      <c r="O1354" s="6">
        <f t="shared" si="1"/>
        <v>117.735</v>
      </c>
      <c r="P1354" s="6" t="str">
        <f t="shared" si="2"/>
        <v>Post-Shift</v>
      </c>
      <c r="Q1354" s="3">
        <f t="shared" si="3"/>
        <v>2</v>
      </c>
    </row>
    <row r="1355">
      <c r="A1355" s="4" t="s">
        <v>108</v>
      </c>
      <c r="B1355" s="2" t="s">
        <v>38</v>
      </c>
      <c r="C1355" s="2" t="s">
        <v>31</v>
      </c>
      <c r="D1355" s="2" t="s">
        <v>20</v>
      </c>
      <c r="E1355" s="2" t="s">
        <v>36</v>
      </c>
      <c r="F1355" s="5">
        <v>107126.0</v>
      </c>
      <c r="G1355" s="5">
        <v>3631.0</v>
      </c>
      <c r="H1355" s="5">
        <v>0.0339</v>
      </c>
      <c r="I1355" s="5">
        <v>1.08</v>
      </c>
      <c r="J1355" s="5">
        <v>3921.48</v>
      </c>
      <c r="K1355" s="5">
        <v>260.0</v>
      </c>
      <c r="L1355" s="5">
        <v>15.08</v>
      </c>
      <c r="M1355" s="5">
        <v>19151.86</v>
      </c>
      <c r="N1355" s="5">
        <v>4.88</v>
      </c>
      <c r="O1355" s="6">
        <f t="shared" si="1"/>
        <v>15.08261538</v>
      </c>
      <c r="P1355" s="6" t="str">
        <f t="shared" si="2"/>
        <v>Post-Shift</v>
      </c>
      <c r="Q1355" s="3">
        <f t="shared" si="3"/>
        <v>50</v>
      </c>
    </row>
    <row r="1356">
      <c r="A1356" s="4" t="s">
        <v>124</v>
      </c>
      <c r="B1356" s="2" t="s">
        <v>18</v>
      </c>
      <c r="C1356" s="2" t="s">
        <v>31</v>
      </c>
      <c r="D1356" s="2" t="s">
        <v>24</v>
      </c>
      <c r="E1356" s="2" t="s">
        <v>30</v>
      </c>
      <c r="F1356" s="5">
        <v>182395.0</v>
      </c>
      <c r="G1356" s="5">
        <v>8517.0</v>
      </c>
      <c r="H1356" s="5">
        <v>0.0467</v>
      </c>
      <c r="I1356" s="5">
        <v>3.45</v>
      </c>
      <c r="J1356" s="5">
        <v>29383.65</v>
      </c>
      <c r="K1356" s="5">
        <v>517.0</v>
      </c>
      <c r="L1356" s="5">
        <v>56.83</v>
      </c>
      <c r="M1356" s="5">
        <v>27133.78</v>
      </c>
      <c r="N1356" s="5">
        <v>0.92</v>
      </c>
      <c r="O1356" s="6">
        <f t="shared" si="1"/>
        <v>56.83491296</v>
      </c>
      <c r="P1356" s="6" t="str">
        <f t="shared" si="2"/>
        <v>Post-Shift</v>
      </c>
      <c r="Q1356" s="3">
        <f t="shared" si="3"/>
        <v>44</v>
      </c>
    </row>
    <row r="1357">
      <c r="A1357" s="4" t="s">
        <v>35</v>
      </c>
      <c r="B1357" s="2" t="s">
        <v>38</v>
      </c>
      <c r="C1357" s="2" t="s">
        <v>27</v>
      </c>
      <c r="D1357" s="2" t="s">
        <v>32</v>
      </c>
      <c r="E1357" s="2" t="s">
        <v>30</v>
      </c>
      <c r="F1357" s="5">
        <v>39253.0</v>
      </c>
      <c r="G1357" s="5">
        <v>1122.0</v>
      </c>
      <c r="H1357" s="5">
        <v>0.0286</v>
      </c>
      <c r="I1357" s="5">
        <v>1.25</v>
      </c>
      <c r="J1357" s="5">
        <v>1402.5</v>
      </c>
      <c r="K1357" s="5">
        <v>81.0</v>
      </c>
      <c r="L1357" s="5">
        <v>17.31</v>
      </c>
      <c r="M1357" s="5">
        <v>15452.61</v>
      </c>
      <c r="N1357" s="5">
        <v>11.02</v>
      </c>
      <c r="O1357" s="6">
        <f t="shared" si="1"/>
        <v>17.31481481</v>
      </c>
      <c r="P1357" s="6" t="str">
        <f t="shared" si="2"/>
        <v>Post-Shift</v>
      </c>
      <c r="Q1357" s="3">
        <f t="shared" si="3"/>
        <v>42</v>
      </c>
    </row>
    <row r="1358">
      <c r="A1358" s="4" t="s">
        <v>195</v>
      </c>
      <c r="B1358" s="2" t="s">
        <v>23</v>
      </c>
      <c r="C1358" s="2" t="s">
        <v>19</v>
      </c>
      <c r="D1358" s="2" t="s">
        <v>45</v>
      </c>
      <c r="E1358" s="2" t="s">
        <v>36</v>
      </c>
      <c r="F1358" s="5">
        <v>109794.0</v>
      </c>
      <c r="G1358" s="5">
        <v>3886.0</v>
      </c>
      <c r="H1358" s="5">
        <v>0.0354</v>
      </c>
      <c r="I1358" s="5">
        <v>1.61</v>
      </c>
      <c r="J1358" s="5">
        <v>6256.46</v>
      </c>
      <c r="K1358" s="5">
        <v>73.0</v>
      </c>
      <c r="L1358" s="5">
        <v>85.7</v>
      </c>
      <c r="M1358" s="5">
        <v>9808.76</v>
      </c>
      <c r="N1358" s="5">
        <v>1.57</v>
      </c>
      <c r="O1358" s="6">
        <f t="shared" si="1"/>
        <v>85.70493151</v>
      </c>
      <c r="P1358" s="6" t="str">
        <f t="shared" si="2"/>
        <v>Post-Shift</v>
      </c>
      <c r="Q1358" s="3">
        <f t="shared" si="3"/>
        <v>9</v>
      </c>
    </row>
    <row r="1359">
      <c r="A1359" s="4">
        <v>45546.0</v>
      </c>
      <c r="B1359" s="2" t="s">
        <v>18</v>
      </c>
      <c r="C1359" s="2" t="s">
        <v>27</v>
      </c>
      <c r="D1359" s="2" t="s">
        <v>45</v>
      </c>
      <c r="E1359" s="2" t="s">
        <v>21</v>
      </c>
      <c r="F1359" s="5">
        <v>27612.0</v>
      </c>
      <c r="G1359" s="5">
        <v>963.0</v>
      </c>
      <c r="H1359" s="5">
        <v>0.0349</v>
      </c>
      <c r="I1359" s="5">
        <v>3.3</v>
      </c>
      <c r="J1359" s="5">
        <v>3177.9</v>
      </c>
      <c r="K1359" s="5">
        <v>75.0</v>
      </c>
      <c r="L1359" s="5">
        <v>42.37</v>
      </c>
      <c r="M1359" s="5">
        <v>12575.02</v>
      </c>
      <c r="N1359" s="5">
        <v>3.96</v>
      </c>
      <c r="O1359" s="6">
        <f t="shared" si="1"/>
        <v>42.372</v>
      </c>
      <c r="P1359" s="6" t="str">
        <f t="shared" si="2"/>
        <v>Post-Shift</v>
      </c>
      <c r="Q1359" s="3">
        <f t="shared" si="3"/>
        <v>45</v>
      </c>
    </row>
    <row r="1360">
      <c r="A1360" s="4" t="s">
        <v>183</v>
      </c>
      <c r="B1360" s="2" t="s">
        <v>38</v>
      </c>
      <c r="C1360" s="2" t="s">
        <v>19</v>
      </c>
      <c r="D1360" s="2" t="s">
        <v>45</v>
      </c>
      <c r="E1360" s="2" t="s">
        <v>56</v>
      </c>
      <c r="F1360" s="5">
        <v>61994.0</v>
      </c>
      <c r="G1360" s="5">
        <v>1847.0</v>
      </c>
      <c r="H1360" s="5">
        <v>0.0298</v>
      </c>
      <c r="I1360" s="5">
        <v>0.8</v>
      </c>
      <c r="J1360" s="5">
        <v>1477.6</v>
      </c>
      <c r="K1360" s="5">
        <v>147.0</v>
      </c>
      <c r="L1360" s="5">
        <v>10.05</v>
      </c>
      <c r="M1360" s="5">
        <v>5622.21</v>
      </c>
      <c r="N1360" s="5">
        <v>3.8</v>
      </c>
      <c r="O1360" s="6">
        <f t="shared" si="1"/>
        <v>10.05170068</v>
      </c>
      <c r="P1360" s="6" t="str">
        <f t="shared" si="2"/>
        <v>Post-Shift</v>
      </c>
      <c r="Q1360" s="3">
        <f t="shared" si="3"/>
        <v>42</v>
      </c>
    </row>
    <row r="1361">
      <c r="A1361" s="4">
        <v>45422.0</v>
      </c>
      <c r="B1361" s="2" t="s">
        <v>18</v>
      </c>
      <c r="C1361" s="2" t="s">
        <v>19</v>
      </c>
      <c r="D1361" s="2" t="s">
        <v>45</v>
      </c>
      <c r="E1361" s="2" t="s">
        <v>21</v>
      </c>
      <c r="F1361" s="5">
        <v>48953.0</v>
      </c>
      <c r="G1361" s="5">
        <v>2447.0</v>
      </c>
      <c r="H1361" s="5">
        <v>0.05</v>
      </c>
      <c r="I1361" s="5">
        <v>1.11</v>
      </c>
      <c r="J1361" s="5">
        <v>2716.17</v>
      </c>
      <c r="K1361" s="5">
        <v>144.0</v>
      </c>
      <c r="L1361" s="5">
        <v>18.86</v>
      </c>
      <c r="M1361" s="5">
        <v>17526.62</v>
      </c>
      <c r="N1361" s="5">
        <v>6.45</v>
      </c>
      <c r="O1361" s="6">
        <f t="shared" si="1"/>
        <v>18.86229167</v>
      </c>
      <c r="P1361" s="6" t="str">
        <f t="shared" si="2"/>
        <v>Baseline</v>
      </c>
      <c r="Q1361" s="3">
        <f t="shared" si="3"/>
        <v>40</v>
      </c>
    </row>
    <row r="1362">
      <c r="A1362" s="4" t="s">
        <v>139</v>
      </c>
      <c r="B1362" s="2" t="s">
        <v>18</v>
      </c>
      <c r="C1362" s="2" t="s">
        <v>19</v>
      </c>
      <c r="D1362" s="2" t="s">
        <v>45</v>
      </c>
      <c r="E1362" s="2" t="s">
        <v>33</v>
      </c>
      <c r="F1362" s="5">
        <v>13484.0</v>
      </c>
      <c r="G1362" s="5">
        <v>382.0</v>
      </c>
      <c r="H1362" s="5">
        <v>0.0284</v>
      </c>
      <c r="I1362" s="5">
        <v>1.34</v>
      </c>
      <c r="J1362" s="5">
        <v>511.88</v>
      </c>
      <c r="K1362" s="5">
        <v>23.0</v>
      </c>
      <c r="L1362" s="5">
        <v>22.26</v>
      </c>
      <c r="M1362" s="5">
        <v>1623.76</v>
      </c>
      <c r="N1362" s="5">
        <v>3.17</v>
      </c>
      <c r="O1362" s="6">
        <f t="shared" si="1"/>
        <v>22.25565217</v>
      </c>
      <c r="P1362" s="6" t="str">
        <f t="shared" si="2"/>
        <v>Post-Shift</v>
      </c>
      <c r="Q1362" s="3">
        <f t="shared" si="3"/>
        <v>16</v>
      </c>
    </row>
    <row r="1363">
      <c r="A1363" s="4" t="s">
        <v>63</v>
      </c>
      <c r="B1363" s="2" t="s">
        <v>23</v>
      </c>
      <c r="C1363" s="2" t="s">
        <v>41</v>
      </c>
      <c r="D1363" s="2" t="s">
        <v>24</v>
      </c>
      <c r="E1363" s="2" t="s">
        <v>25</v>
      </c>
      <c r="F1363" s="5">
        <v>13255.0</v>
      </c>
      <c r="G1363" s="5">
        <v>709.0</v>
      </c>
      <c r="H1363" s="5">
        <v>0.0535</v>
      </c>
      <c r="I1363" s="5">
        <v>1.32</v>
      </c>
      <c r="J1363" s="5">
        <v>935.88</v>
      </c>
      <c r="K1363" s="5">
        <v>37.0</v>
      </c>
      <c r="L1363" s="5">
        <v>25.29</v>
      </c>
      <c r="M1363" s="5">
        <v>11059.11</v>
      </c>
      <c r="N1363" s="5">
        <v>11.82</v>
      </c>
      <c r="O1363" s="6">
        <f t="shared" si="1"/>
        <v>25.29405405</v>
      </c>
      <c r="P1363" s="6" t="str">
        <f t="shared" si="2"/>
        <v>Post-Shift</v>
      </c>
      <c r="Q1363" s="3">
        <f t="shared" si="3"/>
        <v>46</v>
      </c>
    </row>
    <row r="1364">
      <c r="A1364" s="4">
        <v>45515.0</v>
      </c>
      <c r="B1364" s="2" t="s">
        <v>38</v>
      </c>
      <c r="C1364" s="2" t="s">
        <v>27</v>
      </c>
      <c r="D1364" s="2" t="s">
        <v>24</v>
      </c>
      <c r="E1364" s="2" t="s">
        <v>58</v>
      </c>
      <c r="F1364" s="5">
        <v>162889.0</v>
      </c>
      <c r="G1364" s="5">
        <v>4658.0</v>
      </c>
      <c r="H1364" s="5">
        <v>0.0286</v>
      </c>
      <c r="I1364" s="5">
        <v>1.11</v>
      </c>
      <c r="J1364" s="5">
        <v>5170.38</v>
      </c>
      <c r="K1364" s="5">
        <v>332.0</v>
      </c>
      <c r="L1364" s="5">
        <v>15.57</v>
      </c>
      <c r="M1364" s="5">
        <v>57094.6</v>
      </c>
      <c r="N1364" s="5">
        <v>11.04</v>
      </c>
      <c r="O1364" s="6">
        <f t="shared" si="1"/>
        <v>15.57343373</v>
      </c>
      <c r="P1364" s="6" t="str">
        <f t="shared" si="2"/>
        <v>Post-Shift</v>
      </c>
      <c r="Q1364" s="3">
        <f t="shared" si="3"/>
        <v>45</v>
      </c>
    </row>
    <row r="1365">
      <c r="A1365" s="4" t="s">
        <v>118</v>
      </c>
      <c r="B1365" s="2" t="s">
        <v>23</v>
      </c>
      <c r="C1365" s="2" t="s">
        <v>31</v>
      </c>
      <c r="D1365" s="2" t="s">
        <v>29</v>
      </c>
      <c r="E1365" s="2" t="s">
        <v>21</v>
      </c>
      <c r="F1365" s="5">
        <v>21972.0</v>
      </c>
      <c r="G1365" s="5">
        <v>1915.0</v>
      </c>
      <c r="H1365" s="5">
        <v>0.0872</v>
      </c>
      <c r="I1365" s="5">
        <v>1.05</v>
      </c>
      <c r="J1365" s="5">
        <v>2010.75</v>
      </c>
      <c r="K1365" s="5">
        <v>36.0</v>
      </c>
      <c r="L1365" s="5">
        <v>55.85</v>
      </c>
      <c r="M1365" s="5">
        <v>2412.15</v>
      </c>
      <c r="N1365" s="5">
        <v>1.2</v>
      </c>
      <c r="O1365" s="6">
        <f t="shared" si="1"/>
        <v>55.85416667</v>
      </c>
      <c r="P1365" s="6" t="str">
        <f t="shared" si="2"/>
        <v>Post-Shift</v>
      </c>
      <c r="Q1365" s="3">
        <f t="shared" si="3"/>
        <v>44</v>
      </c>
    </row>
    <row r="1366">
      <c r="A1366" s="4" t="s">
        <v>53</v>
      </c>
      <c r="B1366" s="2" t="s">
        <v>23</v>
      </c>
      <c r="C1366" s="2" t="s">
        <v>31</v>
      </c>
      <c r="D1366" s="2" t="s">
        <v>32</v>
      </c>
      <c r="E1366" s="2" t="s">
        <v>36</v>
      </c>
      <c r="F1366" s="5">
        <v>186136.0</v>
      </c>
      <c r="G1366" s="5">
        <v>13885.0</v>
      </c>
      <c r="H1366" s="5">
        <v>0.0746</v>
      </c>
      <c r="I1366" s="5">
        <v>0.95</v>
      </c>
      <c r="J1366" s="5">
        <v>13190.75</v>
      </c>
      <c r="K1366" s="5">
        <v>891.0</v>
      </c>
      <c r="L1366" s="5">
        <v>14.8</v>
      </c>
      <c r="M1366" s="5">
        <v>133397.7</v>
      </c>
      <c r="N1366" s="5">
        <v>10.11</v>
      </c>
      <c r="O1366" s="6">
        <f t="shared" si="1"/>
        <v>14.80443322</v>
      </c>
      <c r="P1366" s="6" t="str">
        <f t="shared" si="2"/>
        <v>Post-Shift</v>
      </c>
      <c r="Q1366" s="3">
        <f t="shared" si="3"/>
        <v>34</v>
      </c>
    </row>
    <row r="1367">
      <c r="A1367" s="4" t="s">
        <v>176</v>
      </c>
      <c r="B1367" s="2" t="s">
        <v>18</v>
      </c>
      <c r="C1367" s="2" t="s">
        <v>41</v>
      </c>
      <c r="D1367" s="2" t="s">
        <v>29</v>
      </c>
      <c r="E1367" s="2" t="s">
        <v>21</v>
      </c>
      <c r="F1367" s="5">
        <v>135171.0</v>
      </c>
      <c r="G1367" s="5">
        <v>5231.0</v>
      </c>
      <c r="H1367" s="5">
        <v>0.0387</v>
      </c>
      <c r="I1367" s="5">
        <v>1.78</v>
      </c>
      <c r="J1367" s="5">
        <v>9311.18</v>
      </c>
      <c r="K1367" s="5">
        <v>149.0</v>
      </c>
      <c r="L1367" s="5">
        <v>62.49</v>
      </c>
      <c r="M1367" s="5">
        <v>19918.92</v>
      </c>
      <c r="N1367" s="5">
        <v>2.14</v>
      </c>
      <c r="O1367" s="6">
        <f t="shared" si="1"/>
        <v>62.49114094</v>
      </c>
      <c r="P1367" s="6" t="str">
        <f t="shared" si="2"/>
        <v>Post-Shift</v>
      </c>
      <c r="Q1367" s="3">
        <f t="shared" si="3"/>
        <v>18</v>
      </c>
    </row>
    <row r="1368">
      <c r="A1368" s="4" t="s">
        <v>112</v>
      </c>
      <c r="B1368" s="2" t="s">
        <v>38</v>
      </c>
      <c r="C1368" s="2" t="s">
        <v>19</v>
      </c>
      <c r="D1368" s="2" t="s">
        <v>20</v>
      </c>
      <c r="E1368" s="2" t="s">
        <v>56</v>
      </c>
      <c r="F1368" s="5">
        <v>176656.0</v>
      </c>
      <c r="G1368" s="5">
        <v>2897.0</v>
      </c>
      <c r="H1368" s="5">
        <v>0.0164</v>
      </c>
      <c r="I1368" s="5">
        <v>1.87</v>
      </c>
      <c r="J1368" s="5">
        <v>5417.39</v>
      </c>
      <c r="K1368" s="5">
        <v>86.0</v>
      </c>
      <c r="L1368" s="5">
        <v>62.99</v>
      </c>
      <c r="M1368" s="5">
        <v>23130.95</v>
      </c>
      <c r="N1368" s="5">
        <v>4.27</v>
      </c>
      <c r="O1368" s="6">
        <f t="shared" si="1"/>
        <v>62.99290698</v>
      </c>
      <c r="P1368" s="6" t="str">
        <f t="shared" si="2"/>
        <v>Post-Shift</v>
      </c>
      <c r="Q1368" s="3">
        <f t="shared" si="3"/>
        <v>13</v>
      </c>
    </row>
    <row r="1369">
      <c r="A1369" s="4">
        <v>45445.0</v>
      </c>
      <c r="B1369" s="2" t="s">
        <v>18</v>
      </c>
      <c r="C1369" s="2" t="s">
        <v>41</v>
      </c>
      <c r="D1369" s="2" t="s">
        <v>29</v>
      </c>
      <c r="E1369" s="2" t="s">
        <v>30</v>
      </c>
      <c r="F1369" s="5">
        <v>51678.0</v>
      </c>
      <c r="G1369" s="5">
        <v>2966.0</v>
      </c>
      <c r="H1369" s="5">
        <v>0.0574</v>
      </c>
      <c r="I1369" s="5">
        <v>2.58</v>
      </c>
      <c r="J1369" s="5">
        <v>7652.28</v>
      </c>
      <c r="K1369" s="5">
        <v>192.0</v>
      </c>
      <c r="L1369" s="5">
        <v>39.86</v>
      </c>
      <c r="M1369" s="5">
        <v>21240.9</v>
      </c>
      <c r="N1369" s="5">
        <v>2.78</v>
      </c>
      <c r="O1369" s="6">
        <f t="shared" si="1"/>
        <v>39.855625</v>
      </c>
      <c r="P1369" s="6" t="str">
        <f t="shared" si="2"/>
        <v>Baseline</v>
      </c>
      <c r="Q1369" s="3">
        <f t="shared" si="3"/>
        <v>6</v>
      </c>
    </row>
    <row r="1370">
      <c r="A1370" s="4">
        <v>45604.0</v>
      </c>
      <c r="B1370" s="2" t="s">
        <v>38</v>
      </c>
      <c r="C1370" s="2" t="s">
        <v>19</v>
      </c>
      <c r="D1370" s="2" t="s">
        <v>32</v>
      </c>
      <c r="E1370" s="2" t="s">
        <v>33</v>
      </c>
      <c r="F1370" s="5">
        <v>26491.0</v>
      </c>
      <c r="G1370" s="5">
        <v>423.0</v>
      </c>
      <c r="H1370" s="5">
        <v>0.016</v>
      </c>
      <c r="I1370" s="5">
        <v>0.95</v>
      </c>
      <c r="J1370" s="5">
        <v>401.85</v>
      </c>
      <c r="K1370" s="5">
        <v>28.0</v>
      </c>
      <c r="L1370" s="5">
        <v>14.35</v>
      </c>
      <c r="M1370" s="5">
        <v>3219.77</v>
      </c>
      <c r="N1370" s="5">
        <v>8.01</v>
      </c>
      <c r="O1370" s="6">
        <f t="shared" si="1"/>
        <v>14.35178571</v>
      </c>
      <c r="P1370" s="6" t="str">
        <f t="shared" si="2"/>
        <v>Post-Shift</v>
      </c>
      <c r="Q1370" s="3">
        <f t="shared" si="3"/>
        <v>33</v>
      </c>
    </row>
    <row r="1371">
      <c r="A1371" s="4" t="s">
        <v>123</v>
      </c>
      <c r="B1371" s="2" t="s">
        <v>38</v>
      </c>
      <c r="C1371" s="2" t="s">
        <v>31</v>
      </c>
      <c r="D1371" s="2" t="s">
        <v>29</v>
      </c>
      <c r="E1371" s="2" t="s">
        <v>25</v>
      </c>
      <c r="F1371" s="5">
        <v>174862.0</v>
      </c>
      <c r="G1371" s="5">
        <v>3846.0</v>
      </c>
      <c r="H1371" s="5">
        <v>0.022</v>
      </c>
      <c r="I1371" s="5">
        <v>0.45</v>
      </c>
      <c r="J1371" s="5">
        <v>1730.7</v>
      </c>
      <c r="K1371" s="5">
        <v>299.0</v>
      </c>
      <c r="L1371" s="5">
        <v>5.79</v>
      </c>
      <c r="M1371" s="5">
        <v>67036.78</v>
      </c>
      <c r="N1371" s="5">
        <v>38.73</v>
      </c>
      <c r="O1371" s="6">
        <f t="shared" si="1"/>
        <v>5.788294314</v>
      </c>
      <c r="P1371" s="6" t="str">
        <f t="shared" si="2"/>
        <v>Post-Shift</v>
      </c>
      <c r="Q1371" s="3">
        <f t="shared" si="3"/>
        <v>38</v>
      </c>
    </row>
    <row r="1372">
      <c r="A1372" s="4" t="s">
        <v>183</v>
      </c>
      <c r="B1372" s="2" t="s">
        <v>38</v>
      </c>
      <c r="C1372" s="2" t="s">
        <v>27</v>
      </c>
      <c r="D1372" s="2" t="s">
        <v>45</v>
      </c>
      <c r="E1372" s="2" t="s">
        <v>33</v>
      </c>
      <c r="F1372" s="5">
        <v>77353.0</v>
      </c>
      <c r="G1372" s="5">
        <v>1895.0</v>
      </c>
      <c r="H1372" s="5">
        <v>0.0245</v>
      </c>
      <c r="I1372" s="5">
        <v>1.69</v>
      </c>
      <c r="J1372" s="5">
        <v>3202.55</v>
      </c>
      <c r="K1372" s="5">
        <v>73.0</v>
      </c>
      <c r="L1372" s="5">
        <v>43.87</v>
      </c>
      <c r="M1372" s="5">
        <v>9316.26</v>
      </c>
      <c r="N1372" s="5">
        <v>2.91</v>
      </c>
      <c r="O1372" s="6">
        <f t="shared" si="1"/>
        <v>43.87054795</v>
      </c>
      <c r="P1372" s="6" t="str">
        <f t="shared" si="2"/>
        <v>Post-Shift</v>
      </c>
      <c r="Q1372" s="3">
        <f t="shared" si="3"/>
        <v>42</v>
      </c>
    </row>
    <row r="1373">
      <c r="A1373" s="4" t="s">
        <v>161</v>
      </c>
      <c r="B1373" s="2" t="s">
        <v>38</v>
      </c>
      <c r="C1373" s="2" t="s">
        <v>31</v>
      </c>
      <c r="D1373" s="2" t="s">
        <v>24</v>
      </c>
      <c r="E1373" s="2" t="s">
        <v>21</v>
      </c>
      <c r="F1373" s="5">
        <v>108726.0</v>
      </c>
      <c r="G1373" s="5">
        <v>2968.0</v>
      </c>
      <c r="H1373" s="5">
        <v>0.0273</v>
      </c>
      <c r="I1373" s="5">
        <v>2.32</v>
      </c>
      <c r="J1373" s="5">
        <v>6885.76</v>
      </c>
      <c r="K1373" s="5">
        <v>49.0</v>
      </c>
      <c r="L1373" s="5">
        <v>140.53</v>
      </c>
      <c r="M1373" s="5">
        <v>2393.62</v>
      </c>
      <c r="N1373" s="5">
        <v>0.35</v>
      </c>
      <c r="O1373" s="6">
        <f t="shared" si="1"/>
        <v>140.5257143</v>
      </c>
      <c r="P1373" s="6" t="str">
        <f t="shared" si="2"/>
        <v>Post-Shift</v>
      </c>
      <c r="Q1373" s="3">
        <f t="shared" si="3"/>
        <v>12</v>
      </c>
    </row>
    <row r="1374">
      <c r="A1374" s="4" t="s">
        <v>169</v>
      </c>
      <c r="B1374" s="2" t="s">
        <v>18</v>
      </c>
      <c r="C1374" s="2" t="s">
        <v>19</v>
      </c>
      <c r="D1374" s="2" t="s">
        <v>20</v>
      </c>
      <c r="E1374" s="2" t="s">
        <v>25</v>
      </c>
      <c r="F1374" s="5">
        <v>196883.0</v>
      </c>
      <c r="G1374" s="5">
        <v>10119.0</v>
      </c>
      <c r="H1374" s="5">
        <v>0.0514</v>
      </c>
      <c r="I1374" s="5">
        <v>1.48</v>
      </c>
      <c r="J1374" s="5">
        <v>14976.12</v>
      </c>
      <c r="K1374" s="5">
        <v>636.0</v>
      </c>
      <c r="L1374" s="5">
        <v>23.55</v>
      </c>
      <c r="M1374" s="5">
        <v>121588.5</v>
      </c>
      <c r="N1374" s="5">
        <v>8.12</v>
      </c>
      <c r="O1374" s="6">
        <f t="shared" si="1"/>
        <v>23.54735849</v>
      </c>
      <c r="P1374" s="6" t="str">
        <f t="shared" si="2"/>
        <v>Post-Shift</v>
      </c>
      <c r="Q1374" s="3">
        <f t="shared" si="3"/>
        <v>26</v>
      </c>
    </row>
    <row r="1375">
      <c r="A1375" s="4" t="s">
        <v>148</v>
      </c>
      <c r="B1375" s="2" t="s">
        <v>18</v>
      </c>
      <c r="C1375" s="2" t="s">
        <v>19</v>
      </c>
      <c r="D1375" s="2" t="s">
        <v>24</v>
      </c>
      <c r="E1375" s="2" t="s">
        <v>21</v>
      </c>
      <c r="F1375" s="5">
        <v>180627.0</v>
      </c>
      <c r="G1375" s="5">
        <v>8074.0</v>
      </c>
      <c r="H1375" s="5">
        <v>0.0447</v>
      </c>
      <c r="I1375" s="5">
        <v>1.58</v>
      </c>
      <c r="J1375" s="5">
        <v>12756.92</v>
      </c>
      <c r="K1375" s="5">
        <v>266.0</v>
      </c>
      <c r="L1375" s="5">
        <v>47.96</v>
      </c>
      <c r="M1375" s="5">
        <v>72041.28</v>
      </c>
      <c r="N1375" s="5">
        <v>5.65</v>
      </c>
      <c r="O1375" s="6">
        <f t="shared" si="1"/>
        <v>47.95834586</v>
      </c>
      <c r="P1375" s="6" t="str">
        <f t="shared" si="2"/>
        <v>Post-Shift</v>
      </c>
      <c r="Q1375" s="3">
        <f t="shared" si="3"/>
        <v>52</v>
      </c>
    </row>
    <row r="1376">
      <c r="A1376" s="4" t="s">
        <v>178</v>
      </c>
      <c r="B1376" s="2" t="s">
        <v>18</v>
      </c>
      <c r="C1376" s="2" t="s">
        <v>27</v>
      </c>
      <c r="D1376" s="2" t="s">
        <v>32</v>
      </c>
      <c r="E1376" s="2" t="s">
        <v>56</v>
      </c>
      <c r="F1376" s="5">
        <v>85196.0</v>
      </c>
      <c r="G1376" s="5">
        <v>2572.0</v>
      </c>
      <c r="H1376" s="5">
        <v>0.0302</v>
      </c>
      <c r="I1376" s="5">
        <v>2.29</v>
      </c>
      <c r="J1376" s="5">
        <v>5889.88</v>
      </c>
      <c r="K1376" s="5">
        <v>34.0</v>
      </c>
      <c r="L1376" s="5">
        <v>173.23</v>
      </c>
      <c r="M1376" s="5">
        <v>8900.58</v>
      </c>
      <c r="N1376" s="5">
        <v>1.51</v>
      </c>
      <c r="O1376" s="6">
        <f t="shared" si="1"/>
        <v>173.2317647</v>
      </c>
      <c r="P1376" s="6" t="str">
        <f t="shared" si="2"/>
        <v>Post-Shift</v>
      </c>
      <c r="Q1376" s="3">
        <f t="shared" si="3"/>
        <v>9</v>
      </c>
    </row>
    <row r="1377">
      <c r="A1377" s="4" t="s">
        <v>215</v>
      </c>
      <c r="B1377" s="2" t="s">
        <v>18</v>
      </c>
      <c r="C1377" s="2" t="s">
        <v>27</v>
      </c>
      <c r="D1377" s="2" t="s">
        <v>45</v>
      </c>
      <c r="E1377" s="2" t="s">
        <v>58</v>
      </c>
      <c r="F1377" s="5">
        <v>74098.0</v>
      </c>
      <c r="G1377" s="5">
        <v>1911.0</v>
      </c>
      <c r="H1377" s="5">
        <v>0.0258</v>
      </c>
      <c r="I1377" s="5">
        <v>2.85</v>
      </c>
      <c r="J1377" s="5">
        <v>5446.35</v>
      </c>
      <c r="K1377" s="5">
        <v>91.0</v>
      </c>
      <c r="L1377" s="5">
        <v>59.85</v>
      </c>
      <c r="M1377" s="5">
        <v>9234.96</v>
      </c>
      <c r="N1377" s="5">
        <v>1.7</v>
      </c>
      <c r="O1377" s="6">
        <f t="shared" si="1"/>
        <v>59.85</v>
      </c>
      <c r="P1377" s="6" t="str">
        <f t="shared" si="2"/>
        <v>Post-Shift</v>
      </c>
      <c r="Q1377" s="3">
        <f t="shared" si="3"/>
        <v>12</v>
      </c>
    </row>
    <row r="1378">
      <c r="A1378" s="4">
        <v>45474.0</v>
      </c>
      <c r="B1378" s="2" t="s">
        <v>23</v>
      </c>
      <c r="C1378" s="2" t="s">
        <v>19</v>
      </c>
      <c r="D1378" s="2" t="s">
        <v>29</v>
      </c>
      <c r="E1378" s="2" t="s">
        <v>25</v>
      </c>
      <c r="F1378" s="5">
        <v>166711.0</v>
      </c>
      <c r="G1378" s="5">
        <v>13670.0</v>
      </c>
      <c r="H1378" s="5">
        <v>0.082</v>
      </c>
      <c r="I1378" s="5">
        <v>1.5</v>
      </c>
      <c r="J1378" s="5">
        <v>20505.0</v>
      </c>
      <c r="K1378" s="5">
        <v>592.0</v>
      </c>
      <c r="L1378" s="5">
        <v>34.64</v>
      </c>
      <c r="M1378" s="5">
        <v>43676.76</v>
      </c>
      <c r="N1378" s="5">
        <v>2.13</v>
      </c>
      <c r="O1378" s="6">
        <f t="shared" si="1"/>
        <v>34.63682432</v>
      </c>
      <c r="P1378" s="6" t="str">
        <f t="shared" si="2"/>
        <v>Post-Shift</v>
      </c>
      <c r="Q1378" s="3">
        <f t="shared" si="3"/>
        <v>2</v>
      </c>
    </row>
    <row r="1379">
      <c r="A1379" s="4" t="s">
        <v>96</v>
      </c>
      <c r="B1379" s="2" t="s">
        <v>18</v>
      </c>
      <c r="C1379" s="2" t="s">
        <v>27</v>
      </c>
      <c r="D1379" s="2" t="s">
        <v>29</v>
      </c>
      <c r="E1379" s="2" t="s">
        <v>21</v>
      </c>
      <c r="F1379" s="5">
        <v>141501.0</v>
      </c>
      <c r="G1379" s="5">
        <v>6452.0</v>
      </c>
      <c r="H1379" s="5">
        <v>0.0456</v>
      </c>
      <c r="I1379" s="5">
        <v>2.97</v>
      </c>
      <c r="J1379" s="5">
        <v>19162.44</v>
      </c>
      <c r="K1379" s="5">
        <v>193.0</v>
      </c>
      <c r="L1379" s="5">
        <v>99.29</v>
      </c>
      <c r="M1379" s="5">
        <v>47970.13</v>
      </c>
      <c r="N1379" s="5">
        <v>2.5</v>
      </c>
      <c r="O1379" s="6">
        <f t="shared" si="1"/>
        <v>99.28725389</v>
      </c>
      <c r="P1379" s="6" t="str">
        <f t="shared" si="2"/>
        <v>Post-Shift</v>
      </c>
      <c r="Q1379" s="3">
        <f t="shared" si="3"/>
        <v>38</v>
      </c>
    </row>
    <row r="1380">
      <c r="A1380" s="4" t="s">
        <v>191</v>
      </c>
      <c r="B1380" s="2" t="s">
        <v>18</v>
      </c>
      <c r="C1380" s="2" t="s">
        <v>27</v>
      </c>
      <c r="D1380" s="2" t="s">
        <v>20</v>
      </c>
      <c r="E1380" s="2" t="s">
        <v>21</v>
      </c>
      <c r="F1380" s="5">
        <v>81303.0</v>
      </c>
      <c r="G1380" s="5">
        <v>4154.0</v>
      </c>
      <c r="H1380" s="5">
        <v>0.0511</v>
      </c>
      <c r="I1380" s="5">
        <v>1.95</v>
      </c>
      <c r="J1380" s="5">
        <v>8100.3</v>
      </c>
      <c r="K1380" s="5">
        <v>121.0</v>
      </c>
      <c r="L1380" s="5">
        <v>66.94</v>
      </c>
      <c r="M1380" s="5">
        <v>35667.19</v>
      </c>
      <c r="N1380" s="5">
        <v>4.4</v>
      </c>
      <c r="O1380" s="6">
        <f t="shared" si="1"/>
        <v>66.9446281</v>
      </c>
      <c r="P1380" s="6" t="str">
        <f t="shared" si="2"/>
        <v>Post-Shift</v>
      </c>
      <c r="Q1380" s="3">
        <f t="shared" si="3"/>
        <v>13</v>
      </c>
    </row>
    <row r="1381">
      <c r="A1381" s="4" t="s">
        <v>157</v>
      </c>
      <c r="B1381" s="2" t="s">
        <v>23</v>
      </c>
      <c r="C1381" s="2" t="s">
        <v>31</v>
      </c>
      <c r="D1381" s="2" t="s">
        <v>32</v>
      </c>
      <c r="E1381" s="2" t="s">
        <v>56</v>
      </c>
      <c r="F1381" s="5">
        <v>83871.0</v>
      </c>
      <c r="G1381" s="5">
        <v>6382.0</v>
      </c>
      <c r="H1381" s="5">
        <v>0.0761</v>
      </c>
      <c r="I1381" s="5">
        <v>1.05</v>
      </c>
      <c r="J1381" s="5">
        <v>6701.1</v>
      </c>
      <c r="K1381" s="5">
        <v>196.0</v>
      </c>
      <c r="L1381" s="5">
        <v>34.19</v>
      </c>
      <c r="M1381" s="5">
        <v>31406.57</v>
      </c>
      <c r="N1381" s="5">
        <v>4.69</v>
      </c>
      <c r="O1381" s="6">
        <f t="shared" si="1"/>
        <v>34.18928571</v>
      </c>
      <c r="P1381" s="6" t="str">
        <f t="shared" si="2"/>
        <v>Post-Shift</v>
      </c>
      <c r="Q1381" s="3">
        <f t="shared" si="3"/>
        <v>2</v>
      </c>
    </row>
    <row r="1382">
      <c r="A1382" s="4">
        <v>45423.0</v>
      </c>
      <c r="B1382" s="2" t="s">
        <v>38</v>
      </c>
      <c r="C1382" s="2" t="s">
        <v>27</v>
      </c>
      <c r="D1382" s="2" t="s">
        <v>29</v>
      </c>
      <c r="E1382" s="2" t="s">
        <v>33</v>
      </c>
      <c r="F1382" s="5">
        <v>178013.0</v>
      </c>
      <c r="G1382" s="5">
        <v>1886.0</v>
      </c>
      <c r="H1382" s="5">
        <v>0.0106</v>
      </c>
      <c r="I1382" s="5">
        <v>1.14</v>
      </c>
      <c r="J1382" s="5">
        <v>2150.04</v>
      </c>
      <c r="K1382" s="5">
        <v>83.0</v>
      </c>
      <c r="L1382" s="5">
        <v>25.9</v>
      </c>
      <c r="M1382" s="5">
        <v>22320.49</v>
      </c>
      <c r="N1382" s="5">
        <v>10.38</v>
      </c>
      <c r="O1382" s="6">
        <f t="shared" si="1"/>
        <v>25.90409639</v>
      </c>
      <c r="P1382" s="6" t="str">
        <f t="shared" si="2"/>
        <v>Baseline</v>
      </c>
      <c r="Q1382" s="3">
        <f t="shared" si="3"/>
        <v>45</v>
      </c>
    </row>
    <row r="1383">
      <c r="A1383" s="4">
        <v>45574.0</v>
      </c>
      <c r="B1383" s="2" t="s">
        <v>38</v>
      </c>
      <c r="C1383" s="2" t="s">
        <v>19</v>
      </c>
      <c r="D1383" s="2" t="s">
        <v>24</v>
      </c>
      <c r="E1383" s="2" t="s">
        <v>56</v>
      </c>
      <c r="F1383" s="5">
        <v>160341.0</v>
      </c>
      <c r="G1383" s="5">
        <v>2228.0</v>
      </c>
      <c r="H1383" s="5">
        <v>0.0139</v>
      </c>
      <c r="I1383" s="5">
        <v>0.86</v>
      </c>
      <c r="J1383" s="5">
        <v>1916.08</v>
      </c>
      <c r="K1383" s="5">
        <v>70.0</v>
      </c>
      <c r="L1383" s="5">
        <v>27.37</v>
      </c>
      <c r="M1383" s="5">
        <v>6302.54</v>
      </c>
      <c r="N1383" s="5">
        <v>3.29</v>
      </c>
      <c r="O1383" s="6">
        <f t="shared" si="1"/>
        <v>27.37257143</v>
      </c>
      <c r="P1383" s="6" t="str">
        <f t="shared" si="2"/>
        <v>Post-Shift</v>
      </c>
      <c r="Q1383" s="3">
        <f t="shared" si="3"/>
        <v>37</v>
      </c>
    </row>
    <row r="1384">
      <c r="A1384" s="4" t="s">
        <v>26</v>
      </c>
      <c r="B1384" s="2" t="s">
        <v>18</v>
      </c>
      <c r="C1384" s="2" t="s">
        <v>31</v>
      </c>
      <c r="D1384" s="2" t="s">
        <v>45</v>
      </c>
      <c r="E1384" s="2" t="s">
        <v>30</v>
      </c>
      <c r="F1384" s="5">
        <v>138135.0</v>
      </c>
      <c r="G1384" s="5">
        <v>7721.0</v>
      </c>
      <c r="H1384" s="5">
        <v>0.0559</v>
      </c>
      <c r="I1384" s="5">
        <v>1.66</v>
      </c>
      <c r="J1384" s="5">
        <v>12816.86</v>
      </c>
      <c r="K1384" s="5">
        <v>112.0</v>
      </c>
      <c r="L1384" s="5">
        <v>114.44</v>
      </c>
      <c r="M1384" s="5">
        <v>4652.6</v>
      </c>
      <c r="N1384" s="5">
        <v>0.36</v>
      </c>
      <c r="O1384" s="6">
        <f t="shared" si="1"/>
        <v>114.43625</v>
      </c>
      <c r="P1384" s="6" t="str">
        <f t="shared" si="2"/>
        <v>Post-Shift</v>
      </c>
      <c r="Q1384" s="3">
        <f t="shared" si="3"/>
        <v>24</v>
      </c>
    </row>
    <row r="1385">
      <c r="A1385" s="4">
        <v>45545.0</v>
      </c>
      <c r="B1385" s="2" t="s">
        <v>38</v>
      </c>
      <c r="C1385" s="2" t="s">
        <v>41</v>
      </c>
      <c r="D1385" s="2" t="s">
        <v>45</v>
      </c>
      <c r="E1385" s="2" t="s">
        <v>33</v>
      </c>
      <c r="F1385" s="5">
        <v>72500.0</v>
      </c>
      <c r="G1385" s="5">
        <v>1341.0</v>
      </c>
      <c r="H1385" s="5">
        <v>0.0185</v>
      </c>
      <c r="I1385" s="5">
        <v>1.55</v>
      </c>
      <c r="J1385" s="5">
        <v>2078.55</v>
      </c>
      <c r="K1385" s="5">
        <v>30.0</v>
      </c>
      <c r="L1385" s="5">
        <v>69.29</v>
      </c>
      <c r="M1385" s="5">
        <v>5770.13</v>
      </c>
      <c r="N1385" s="5">
        <v>2.78</v>
      </c>
      <c r="O1385" s="6">
        <f t="shared" si="1"/>
        <v>69.285</v>
      </c>
      <c r="P1385" s="6" t="str">
        <f t="shared" si="2"/>
        <v>Post-Shift</v>
      </c>
      <c r="Q1385" s="3">
        <f t="shared" si="3"/>
        <v>41</v>
      </c>
    </row>
    <row r="1386">
      <c r="A1386" s="4" t="s">
        <v>113</v>
      </c>
      <c r="B1386" s="2" t="s">
        <v>23</v>
      </c>
      <c r="C1386" s="2" t="s">
        <v>41</v>
      </c>
      <c r="D1386" s="2" t="s">
        <v>29</v>
      </c>
      <c r="E1386" s="2" t="s">
        <v>56</v>
      </c>
      <c r="F1386" s="5">
        <v>104626.0</v>
      </c>
      <c r="G1386" s="5">
        <v>9144.0</v>
      </c>
      <c r="H1386" s="5">
        <v>0.0874</v>
      </c>
      <c r="I1386" s="5">
        <v>1.1</v>
      </c>
      <c r="J1386" s="5">
        <v>10058.4</v>
      </c>
      <c r="K1386" s="5">
        <v>389.0</v>
      </c>
      <c r="L1386" s="5">
        <v>25.86</v>
      </c>
      <c r="M1386" s="5">
        <v>83739.39</v>
      </c>
      <c r="N1386" s="5">
        <v>8.33</v>
      </c>
      <c r="O1386" s="6">
        <f t="shared" si="1"/>
        <v>25.85706941</v>
      </c>
      <c r="P1386" s="6" t="str">
        <f t="shared" si="2"/>
        <v>Post-Shift</v>
      </c>
      <c r="Q1386" s="3">
        <f t="shared" si="3"/>
        <v>5</v>
      </c>
    </row>
    <row r="1387">
      <c r="A1387" s="4">
        <v>45393.0</v>
      </c>
      <c r="B1387" s="2" t="s">
        <v>18</v>
      </c>
      <c r="C1387" s="2" t="s">
        <v>31</v>
      </c>
      <c r="D1387" s="2" t="s">
        <v>20</v>
      </c>
      <c r="E1387" s="2" t="s">
        <v>56</v>
      </c>
      <c r="F1387" s="5">
        <v>70107.0</v>
      </c>
      <c r="G1387" s="5">
        <v>4045.0</v>
      </c>
      <c r="H1387" s="5">
        <v>0.0577</v>
      </c>
      <c r="I1387" s="5">
        <v>2.72</v>
      </c>
      <c r="J1387" s="5">
        <v>11002.4</v>
      </c>
      <c r="K1387" s="5">
        <v>203.0</v>
      </c>
      <c r="L1387" s="5">
        <v>54.2</v>
      </c>
      <c r="M1387" s="5">
        <v>22267.98</v>
      </c>
      <c r="N1387" s="5">
        <v>2.02</v>
      </c>
      <c r="O1387" s="6">
        <f t="shared" si="1"/>
        <v>54.19901478</v>
      </c>
      <c r="P1387" s="6" t="str">
        <f t="shared" si="2"/>
        <v>Baseline</v>
      </c>
      <c r="Q1387" s="3">
        <f t="shared" si="3"/>
        <v>45</v>
      </c>
    </row>
    <row r="1388">
      <c r="A1388" s="4" t="s">
        <v>34</v>
      </c>
      <c r="B1388" s="2" t="s">
        <v>38</v>
      </c>
      <c r="C1388" s="2" t="s">
        <v>19</v>
      </c>
      <c r="D1388" s="2" t="s">
        <v>24</v>
      </c>
      <c r="E1388" s="2" t="s">
        <v>30</v>
      </c>
      <c r="F1388" s="5">
        <v>63952.0</v>
      </c>
      <c r="G1388" s="5">
        <v>1451.0</v>
      </c>
      <c r="H1388" s="5">
        <v>0.0227</v>
      </c>
      <c r="I1388" s="5">
        <v>2.24</v>
      </c>
      <c r="J1388" s="5">
        <v>3250.24</v>
      </c>
      <c r="K1388" s="5">
        <v>86.0</v>
      </c>
      <c r="L1388" s="5">
        <v>37.79</v>
      </c>
      <c r="M1388" s="5">
        <v>25126.44</v>
      </c>
      <c r="N1388" s="5">
        <v>7.73</v>
      </c>
      <c r="O1388" s="6">
        <f t="shared" si="1"/>
        <v>37.79348837</v>
      </c>
      <c r="P1388" s="6" t="str">
        <f t="shared" si="2"/>
        <v>Post-Shift</v>
      </c>
      <c r="Q1388" s="3">
        <f t="shared" si="3"/>
        <v>8</v>
      </c>
    </row>
    <row r="1389">
      <c r="A1389" s="4">
        <v>45416.0</v>
      </c>
      <c r="B1389" s="2" t="s">
        <v>38</v>
      </c>
      <c r="C1389" s="2" t="s">
        <v>31</v>
      </c>
      <c r="D1389" s="2" t="s">
        <v>45</v>
      </c>
      <c r="E1389" s="2" t="s">
        <v>25</v>
      </c>
      <c r="F1389" s="5">
        <v>43148.0</v>
      </c>
      <c r="G1389" s="5">
        <v>979.0</v>
      </c>
      <c r="H1389" s="5">
        <v>0.0227</v>
      </c>
      <c r="I1389" s="5">
        <v>1.11</v>
      </c>
      <c r="J1389" s="5">
        <v>1086.69</v>
      </c>
      <c r="K1389" s="5">
        <v>71.0</v>
      </c>
      <c r="L1389" s="5">
        <v>15.31</v>
      </c>
      <c r="M1389" s="5">
        <v>7719.69</v>
      </c>
      <c r="N1389" s="5">
        <v>7.1</v>
      </c>
      <c r="O1389" s="6">
        <f t="shared" si="1"/>
        <v>15.30549296</v>
      </c>
      <c r="P1389" s="6" t="str">
        <f t="shared" si="2"/>
        <v>Baseline</v>
      </c>
      <c r="Q1389" s="3">
        <f t="shared" si="3"/>
        <v>14</v>
      </c>
    </row>
    <row r="1390">
      <c r="A1390" s="4">
        <v>45446.0</v>
      </c>
      <c r="B1390" s="2" t="s">
        <v>18</v>
      </c>
      <c r="C1390" s="2" t="s">
        <v>31</v>
      </c>
      <c r="D1390" s="2" t="s">
        <v>32</v>
      </c>
      <c r="E1390" s="2" t="s">
        <v>21</v>
      </c>
      <c r="F1390" s="5">
        <v>193326.0</v>
      </c>
      <c r="G1390" s="5">
        <v>12334.0</v>
      </c>
      <c r="H1390" s="5">
        <v>0.0638</v>
      </c>
      <c r="I1390" s="5">
        <v>1.28</v>
      </c>
      <c r="J1390" s="5">
        <v>15787.52</v>
      </c>
      <c r="K1390" s="5">
        <v>715.0</v>
      </c>
      <c r="L1390" s="5">
        <v>22.08</v>
      </c>
      <c r="M1390" s="5">
        <v>196162.9</v>
      </c>
      <c r="N1390" s="5">
        <v>12.43</v>
      </c>
      <c r="O1390" s="6">
        <f t="shared" si="1"/>
        <v>22.08044755</v>
      </c>
      <c r="P1390" s="6" t="str">
        <f t="shared" si="2"/>
        <v>Baseline</v>
      </c>
      <c r="Q1390" s="3">
        <f t="shared" si="3"/>
        <v>10</v>
      </c>
    </row>
    <row r="1391">
      <c r="A1391" s="4" t="s">
        <v>22</v>
      </c>
      <c r="B1391" s="2" t="s">
        <v>38</v>
      </c>
      <c r="C1391" s="2" t="s">
        <v>19</v>
      </c>
      <c r="D1391" s="2" t="s">
        <v>20</v>
      </c>
      <c r="E1391" s="2" t="s">
        <v>30</v>
      </c>
      <c r="F1391" s="5">
        <v>80507.0</v>
      </c>
      <c r="G1391" s="5">
        <v>2318.0</v>
      </c>
      <c r="H1391" s="5">
        <v>0.0288</v>
      </c>
      <c r="I1391" s="5">
        <v>0.71</v>
      </c>
      <c r="J1391" s="5">
        <v>1645.78</v>
      </c>
      <c r="K1391" s="5">
        <v>119.0</v>
      </c>
      <c r="L1391" s="5">
        <v>13.83</v>
      </c>
      <c r="M1391" s="5">
        <v>23887.12</v>
      </c>
      <c r="N1391" s="5">
        <v>14.51</v>
      </c>
      <c r="O1391" s="6">
        <f t="shared" si="1"/>
        <v>13.83008403</v>
      </c>
      <c r="P1391" s="6" t="str">
        <f t="shared" si="2"/>
        <v>Post-Shift</v>
      </c>
      <c r="Q1391" s="3">
        <f t="shared" si="3"/>
        <v>4</v>
      </c>
    </row>
    <row r="1392">
      <c r="A1392" s="4" t="s">
        <v>192</v>
      </c>
      <c r="B1392" s="2" t="s">
        <v>38</v>
      </c>
      <c r="C1392" s="2" t="s">
        <v>19</v>
      </c>
      <c r="D1392" s="2" t="s">
        <v>20</v>
      </c>
      <c r="E1392" s="2" t="s">
        <v>36</v>
      </c>
      <c r="F1392" s="5">
        <v>128556.0</v>
      </c>
      <c r="G1392" s="5">
        <v>4910.0</v>
      </c>
      <c r="H1392" s="5">
        <v>0.0382</v>
      </c>
      <c r="I1392" s="5">
        <v>0.88</v>
      </c>
      <c r="J1392" s="5">
        <v>4320.8</v>
      </c>
      <c r="K1392" s="5">
        <v>55.0</v>
      </c>
      <c r="L1392" s="5">
        <v>78.56</v>
      </c>
      <c r="M1392" s="5">
        <v>10684.27</v>
      </c>
      <c r="N1392" s="5">
        <v>2.47</v>
      </c>
      <c r="O1392" s="6">
        <f t="shared" si="1"/>
        <v>78.56</v>
      </c>
      <c r="P1392" s="6" t="str">
        <f t="shared" si="2"/>
        <v>Post-Shift</v>
      </c>
      <c r="Q1392" s="3">
        <f t="shared" si="3"/>
        <v>4</v>
      </c>
    </row>
    <row r="1393">
      <c r="A1393" s="4">
        <v>45573.0</v>
      </c>
      <c r="B1393" s="2" t="s">
        <v>38</v>
      </c>
      <c r="C1393" s="2" t="s">
        <v>19</v>
      </c>
      <c r="D1393" s="2" t="s">
        <v>29</v>
      </c>
      <c r="E1393" s="2" t="s">
        <v>25</v>
      </c>
      <c r="F1393" s="5">
        <v>29055.0</v>
      </c>
      <c r="G1393" s="5">
        <v>912.0</v>
      </c>
      <c r="H1393" s="5">
        <v>0.0314</v>
      </c>
      <c r="I1393" s="5">
        <v>1.47</v>
      </c>
      <c r="J1393" s="5">
        <v>1340.64</v>
      </c>
      <c r="K1393" s="5">
        <v>41.0</v>
      </c>
      <c r="L1393" s="5">
        <v>32.7</v>
      </c>
      <c r="M1393" s="5">
        <v>6404.23</v>
      </c>
      <c r="N1393" s="5">
        <v>4.78</v>
      </c>
      <c r="O1393" s="6">
        <f t="shared" si="1"/>
        <v>32.69853659</v>
      </c>
      <c r="P1393" s="6" t="str">
        <f t="shared" si="2"/>
        <v>Post-Shift</v>
      </c>
      <c r="Q1393" s="3">
        <f t="shared" si="3"/>
        <v>32</v>
      </c>
    </row>
    <row r="1394">
      <c r="A1394" s="4">
        <v>45355.0</v>
      </c>
      <c r="B1394" s="2" t="s">
        <v>38</v>
      </c>
      <c r="C1394" s="2" t="s">
        <v>27</v>
      </c>
      <c r="D1394" s="2" t="s">
        <v>32</v>
      </c>
      <c r="E1394" s="2" t="s">
        <v>21</v>
      </c>
      <c r="F1394" s="5">
        <v>172517.0</v>
      </c>
      <c r="G1394" s="5">
        <v>3191.0</v>
      </c>
      <c r="H1394" s="5">
        <v>0.0185</v>
      </c>
      <c r="I1394" s="5">
        <v>1.81</v>
      </c>
      <c r="J1394" s="5">
        <v>5775.71</v>
      </c>
      <c r="K1394" s="5">
        <v>96.0</v>
      </c>
      <c r="L1394" s="5">
        <v>60.16</v>
      </c>
      <c r="M1394" s="5">
        <v>13225.69</v>
      </c>
      <c r="N1394" s="5">
        <v>2.29</v>
      </c>
      <c r="O1394" s="6">
        <f t="shared" si="1"/>
        <v>60.16364583</v>
      </c>
      <c r="P1394" s="6" t="str">
        <f t="shared" si="2"/>
        <v>Baseline</v>
      </c>
      <c r="Q1394" s="3">
        <f t="shared" si="3"/>
        <v>14</v>
      </c>
    </row>
    <row r="1395">
      <c r="A1395" s="4" t="s">
        <v>185</v>
      </c>
      <c r="B1395" s="2" t="s">
        <v>38</v>
      </c>
      <c r="C1395" s="2" t="s">
        <v>27</v>
      </c>
      <c r="D1395" s="2" t="s">
        <v>20</v>
      </c>
      <c r="E1395" s="2" t="s">
        <v>36</v>
      </c>
      <c r="F1395" s="5">
        <v>84712.0</v>
      </c>
      <c r="G1395" s="5">
        <v>1473.0</v>
      </c>
      <c r="H1395" s="5">
        <v>0.0174</v>
      </c>
      <c r="I1395" s="5">
        <v>2.27</v>
      </c>
      <c r="J1395" s="5">
        <v>3343.71</v>
      </c>
      <c r="K1395" s="5">
        <v>74.0</v>
      </c>
      <c r="L1395" s="5">
        <v>45.19</v>
      </c>
      <c r="M1395" s="5">
        <v>3310.43</v>
      </c>
      <c r="N1395" s="5">
        <v>0.99</v>
      </c>
      <c r="O1395" s="6">
        <f t="shared" si="1"/>
        <v>45.18527027</v>
      </c>
      <c r="P1395" s="6" t="str">
        <f t="shared" si="2"/>
        <v>Post-Shift</v>
      </c>
      <c r="Q1395" s="3">
        <f t="shared" si="3"/>
        <v>3</v>
      </c>
    </row>
    <row r="1396">
      <c r="A1396" s="4">
        <v>45334.0</v>
      </c>
      <c r="B1396" s="2" t="s">
        <v>18</v>
      </c>
      <c r="C1396" s="2" t="s">
        <v>27</v>
      </c>
      <c r="D1396" s="2" t="s">
        <v>20</v>
      </c>
      <c r="E1396" s="2" t="s">
        <v>56</v>
      </c>
      <c r="F1396" s="5">
        <v>115760.0</v>
      </c>
      <c r="G1396" s="5">
        <v>2558.0</v>
      </c>
      <c r="H1396" s="5">
        <v>0.0221</v>
      </c>
      <c r="I1396" s="5">
        <v>3.19</v>
      </c>
      <c r="J1396" s="5">
        <v>8160.02</v>
      </c>
      <c r="K1396" s="5">
        <v>164.0</v>
      </c>
      <c r="L1396" s="5">
        <v>49.76</v>
      </c>
      <c r="M1396" s="5">
        <v>37092.55</v>
      </c>
      <c r="N1396" s="5">
        <v>4.55</v>
      </c>
      <c r="O1396" s="6">
        <f t="shared" si="1"/>
        <v>49.75621951</v>
      </c>
      <c r="P1396" s="6" t="str">
        <f t="shared" si="2"/>
        <v>Baseline</v>
      </c>
      <c r="Q1396" s="3">
        <f t="shared" si="3"/>
        <v>49</v>
      </c>
    </row>
    <row r="1397">
      <c r="A1397" s="4" t="s">
        <v>171</v>
      </c>
      <c r="B1397" s="2" t="s">
        <v>18</v>
      </c>
      <c r="C1397" s="2" t="s">
        <v>19</v>
      </c>
      <c r="D1397" s="2" t="s">
        <v>20</v>
      </c>
      <c r="E1397" s="2" t="s">
        <v>33</v>
      </c>
      <c r="F1397" s="5">
        <v>187831.0</v>
      </c>
      <c r="G1397" s="5">
        <v>7306.0</v>
      </c>
      <c r="H1397" s="5">
        <v>0.0389</v>
      </c>
      <c r="I1397" s="5">
        <v>1.37</v>
      </c>
      <c r="J1397" s="5">
        <v>10009.22</v>
      </c>
      <c r="K1397" s="5">
        <v>321.0</v>
      </c>
      <c r="L1397" s="5">
        <v>31.18</v>
      </c>
      <c r="M1397" s="5">
        <v>91963.37</v>
      </c>
      <c r="N1397" s="5">
        <v>9.19</v>
      </c>
      <c r="O1397" s="6">
        <f t="shared" si="1"/>
        <v>31.18137072</v>
      </c>
      <c r="P1397" s="6" t="str">
        <f t="shared" si="2"/>
        <v>Post-Shift</v>
      </c>
      <c r="Q1397" s="3">
        <f t="shared" si="3"/>
        <v>16</v>
      </c>
    </row>
    <row r="1398">
      <c r="A1398" s="4" t="s">
        <v>185</v>
      </c>
      <c r="B1398" s="2" t="s">
        <v>38</v>
      </c>
      <c r="C1398" s="2" t="s">
        <v>27</v>
      </c>
      <c r="D1398" s="2" t="s">
        <v>20</v>
      </c>
      <c r="E1398" s="2" t="s">
        <v>25</v>
      </c>
      <c r="F1398" s="5">
        <v>72278.0</v>
      </c>
      <c r="G1398" s="5">
        <v>2421.0</v>
      </c>
      <c r="H1398" s="5">
        <v>0.0335</v>
      </c>
      <c r="I1398" s="5">
        <v>1.29</v>
      </c>
      <c r="J1398" s="5">
        <v>3123.09</v>
      </c>
      <c r="K1398" s="5">
        <v>26.0</v>
      </c>
      <c r="L1398" s="5">
        <v>120.12</v>
      </c>
      <c r="M1398" s="5">
        <v>5625.44</v>
      </c>
      <c r="N1398" s="5">
        <v>1.8</v>
      </c>
      <c r="O1398" s="6">
        <f t="shared" si="1"/>
        <v>120.1188462</v>
      </c>
      <c r="P1398" s="6" t="str">
        <f t="shared" si="2"/>
        <v>Post-Shift</v>
      </c>
      <c r="Q1398" s="3">
        <f t="shared" si="3"/>
        <v>3</v>
      </c>
    </row>
    <row r="1399">
      <c r="A1399" s="4" t="s">
        <v>262</v>
      </c>
      <c r="B1399" s="2" t="s">
        <v>18</v>
      </c>
      <c r="C1399" s="2" t="s">
        <v>19</v>
      </c>
      <c r="D1399" s="2" t="s">
        <v>24</v>
      </c>
      <c r="E1399" s="2" t="s">
        <v>30</v>
      </c>
      <c r="F1399" s="5">
        <v>121107.0</v>
      </c>
      <c r="G1399" s="5">
        <v>3148.0</v>
      </c>
      <c r="H1399" s="5">
        <v>0.026</v>
      </c>
      <c r="I1399" s="5">
        <v>2.39</v>
      </c>
      <c r="J1399" s="5">
        <v>7523.72</v>
      </c>
      <c r="K1399" s="5">
        <v>243.0</v>
      </c>
      <c r="L1399" s="5">
        <v>30.96</v>
      </c>
      <c r="M1399" s="5">
        <v>33241.31</v>
      </c>
      <c r="N1399" s="5">
        <v>4.42</v>
      </c>
      <c r="O1399" s="6">
        <f t="shared" si="1"/>
        <v>30.9618107</v>
      </c>
      <c r="P1399" s="6" t="str">
        <f t="shared" si="2"/>
        <v>Post-Shift</v>
      </c>
      <c r="Q1399" s="3">
        <f t="shared" si="3"/>
        <v>43</v>
      </c>
    </row>
    <row r="1400">
      <c r="A1400" s="4" t="s">
        <v>162</v>
      </c>
      <c r="B1400" s="2" t="s">
        <v>18</v>
      </c>
      <c r="C1400" s="2" t="s">
        <v>31</v>
      </c>
      <c r="D1400" s="2" t="s">
        <v>20</v>
      </c>
      <c r="E1400" s="2" t="s">
        <v>56</v>
      </c>
      <c r="F1400" s="5">
        <v>112930.0</v>
      </c>
      <c r="G1400" s="5">
        <v>2427.0</v>
      </c>
      <c r="H1400" s="5">
        <v>0.0215</v>
      </c>
      <c r="I1400" s="5">
        <v>0.95</v>
      </c>
      <c r="J1400" s="5">
        <v>2305.65</v>
      </c>
      <c r="K1400" s="5">
        <v>53.0</v>
      </c>
      <c r="L1400" s="5">
        <v>43.5</v>
      </c>
      <c r="M1400" s="5">
        <v>10549.62</v>
      </c>
      <c r="N1400" s="5">
        <v>4.58</v>
      </c>
      <c r="O1400" s="6">
        <f t="shared" si="1"/>
        <v>43.50283019</v>
      </c>
      <c r="P1400" s="6" t="str">
        <f t="shared" si="2"/>
        <v>Post-Shift</v>
      </c>
      <c r="Q1400" s="3">
        <f t="shared" si="3"/>
        <v>34</v>
      </c>
    </row>
    <row r="1401">
      <c r="A1401" s="4" t="s">
        <v>57</v>
      </c>
      <c r="B1401" s="2" t="s">
        <v>18</v>
      </c>
      <c r="C1401" s="2" t="s">
        <v>27</v>
      </c>
      <c r="D1401" s="2" t="s">
        <v>32</v>
      </c>
      <c r="E1401" s="2" t="s">
        <v>36</v>
      </c>
      <c r="F1401" s="5">
        <v>94767.0</v>
      </c>
      <c r="G1401" s="5">
        <v>4662.0</v>
      </c>
      <c r="H1401" s="5">
        <v>0.0492</v>
      </c>
      <c r="I1401" s="5">
        <v>2.9</v>
      </c>
      <c r="J1401" s="5">
        <v>13519.8</v>
      </c>
      <c r="K1401" s="5">
        <v>136.0</v>
      </c>
      <c r="L1401" s="5">
        <v>99.41</v>
      </c>
      <c r="M1401" s="5">
        <v>33757.52</v>
      </c>
      <c r="N1401" s="5">
        <v>2.5</v>
      </c>
      <c r="O1401" s="6">
        <f t="shared" si="1"/>
        <v>99.41029412</v>
      </c>
      <c r="P1401" s="6" t="str">
        <f t="shared" si="2"/>
        <v>Post-Shift</v>
      </c>
      <c r="Q1401" s="3">
        <f t="shared" si="3"/>
        <v>50</v>
      </c>
    </row>
    <row r="1402">
      <c r="A1402" s="4" t="s">
        <v>118</v>
      </c>
      <c r="B1402" s="2" t="s">
        <v>23</v>
      </c>
      <c r="C1402" s="2" t="s">
        <v>41</v>
      </c>
      <c r="D1402" s="2" t="s">
        <v>45</v>
      </c>
      <c r="E1402" s="2" t="s">
        <v>56</v>
      </c>
      <c r="F1402" s="5">
        <v>189933.0</v>
      </c>
      <c r="G1402" s="5">
        <v>13295.0</v>
      </c>
      <c r="H1402" s="5">
        <v>0.07</v>
      </c>
      <c r="I1402" s="5">
        <v>1.03</v>
      </c>
      <c r="J1402" s="5">
        <v>13693.85</v>
      </c>
      <c r="K1402" s="5">
        <v>284.0</v>
      </c>
      <c r="L1402" s="5">
        <v>48.22</v>
      </c>
      <c r="M1402" s="5">
        <v>45485.98</v>
      </c>
      <c r="N1402" s="5">
        <v>3.32</v>
      </c>
      <c r="O1402" s="6">
        <f t="shared" si="1"/>
        <v>48.21778169</v>
      </c>
      <c r="P1402" s="6" t="str">
        <f t="shared" si="2"/>
        <v>Post-Shift</v>
      </c>
      <c r="Q1402" s="3">
        <f t="shared" si="3"/>
        <v>44</v>
      </c>
    </row>
    <row r="1403">
      <c r="A1403" s="4" t="s">
        <v>159</v>
      </c>
      <c r="B1403" s="2" t="s">
        <v>38</v>
      </c>
      <c r="C1403" s="2" t="s">
        <v>31</v>
      </c>
      <c r="D1403" s="2" t="s">
        <v>20</v>
      </c>
      <c r="E1403" s="2" t="s">
        <v>36</v>
      </c>
      <c r="F1403" s="5">
        <v>17281.0</v>
      </c>
      <c r="G1403" s="5">
        <v>793.0</v>
      </c>
      <c r="H1403" s="5">
        <v>0.0459</v>
      </c>
      <c r="I1403" s="5">
        <v>1.18</v>
      </c>
      <c r="J1403" s="5">
        <v>935.74</v>
      </c>
      <c r="K1403" s="5">
        <v>46.0</v>
      </c>
      <c r="L1403" s="5">
        <v>20.34</v>
      </c>
      <c r="M1403" s="5">
        <v>12594.97</v>
      </c>
      <c r="N1403" s="5">
        <v>13.46</v>
      </c>
      <c r="O1403" s="6">
        <f t="shared" si="1"/>
        <v>20.34217391</v>
      </c>
      <c r="P1403" s="6" t="str">
        <f t="shared" si="2"/>
        <v>Post-Shift</v>
      </c>
      <c r="Q1403" s="3">
        <f t="shared" si="3"/>
        <v>38</v>
      </c>
    </row>
    <row r="1404">
      <c r="A1404" s="4">
        <v>45599.0</v>
      </c>
      <c r="B1404" s="2" t="s">
        <v>18</v>
      </c>
      <c r="C1404" s="2" t="s">
        <v>27</v>
      </c>
      <c r="D1404" s="2" t="s">
        <v>20</v>
      </c>
      <c r="E1404" s="2" t="s">
        <v>25</v>
      </c>
      <c r="F1404" s="5">
        <v>41388.0</v>
      </c>
      <c r="G1404" s="5">
        <v>964.0</v>
      </c>
      <c r="H1404" s="5">
        <v>0.0233</v>
      </c>
      <c r="I1404" s="5">
        <v>3.04</v>
      </c>
      <c r="J1404" s="5">
        <v>2930.56</v>
      </c>
      <c r="K1404" s="5">
        <v>72.0</v>
      </c>
      <c r="L1404" s="5">
        <v>40.7</v>
      </c>
      <c r="M1404" s="5">
        <v>19679.4</v>
      </c>
      <c r="N1404" s="5">
        <v>6.72</v>
      </c>
      <c r="O1404" s="6">
        <f t="shared" si="1"/>
        <v>40.70222222</v>
      </c>
      <c r="P1404" s="6" t="str">
        <f t="shared" si="2"/>
        <v>Post-Shift</v>
      </c>
      <c r="Q1404" s="3">
        <f t="shared" si="3"/>
        <v>11</v>
      </c>
    </row>
    <row r="1405">
      <c r="A1405" s="4">
        <v>45546.0</v>
      </c>
      <c r="B1405" s="2" t="s">
        <v>18</v>
      </c>
      <c r="C1405" s="2" t="s">
        <v>31</v>
      </c>
      <c r="D1405" s="2" t="s">
        <v>24</v>
      </c>
      <c r="E1405" s="2" t="s">
        <v>30</v>
      </c>
      <c r="F1405" s="5">
        <v>52083.0</v>
      </c>
      <c r="G1405" s="5">
        <v>2781.0</v>
      </c>
      <c r="H1405" s="5">
        <v>0.0534</v>
      </c>
      <c r="I1405" s="5">
        <v>2.64</v>
      </c>
      <c r="J1405" s="5">
        <v>7341.84</v>
      </c>
      <c r="K1405" s="5">
        <v>160.0</v>
      </c>
      <c r="L1405" s="5">
        <v>45.89</v>
      </c>
      <c r="M1405" s="5">
        <v>39686.47</v>
      </c>
      <c r="N1405" s="5">
        <v>5.41</v>
      </c>
      <c r="O1405" s="6">
        <f t="shared" si="1"/>
        <v>45.8865</v>
      </c>
      <c r="P1405" s="6" t="str">
        <f t="shared" si="2"/>
        <v>Post-Shift</v>
      </c>
      <c r="Q1405" s="3">
        <f t="shared" si="3"/>
        <v>45</v>
      </c>
    </row>
    <row r="1406">
      <c r="A1406" s="4">
        <v>45334.0</v>
      </c>
      <c r="B1406" s="2" t="s">
        <v>18</v>
      </c>
      <c r="C1406" s="2" t="s">
        <v>27</v>
      </c>
      <c r="D1406" s="2" t="s">
        <v>45</v>
      </c>
      <c r="E1406" s="2" t="s">
        <v>21</v>
      </c>
      <c r="F1406" s="5">
        <v>110109.0</v>
      </c>
      <c r="G1406" s="5">
        <v>2378.0</v>
      </c>
      <c r="H1406" s="5">
        <v>0.0216</v>
      </c>
      <c r="I1406" s="5">
        <v>3.19</v>
      </c>
      <c r="J1406" s="5">
        <v>7585.82</v>
      </c>
      <c r="K1406" s="5">
        <v>41.0</v>
      </c>
      <c r="L1406" s="5">
        <v>185.02</v>
      </c>
      <c r="M1406" s="5">
        <v>6931.99</v>
      </c>
      <c r="N1406" s="5">
        <v>0.91</v>
      </c>
      <c r="O1406" s="6">
        <f t="shared" si="1"/>
        <v>185.02</v>
      </c>
      <c r="P1406" s="6" t="str">
        <f t="shared" si="2"/>
        <v>Baseline</v>
      </c>
      <c r="Q1406" s="3">
        <f t="shared" si="3"/>
        <v>49</v>
      </c>
    </row>
    <row r="1407">
      <c r="A1407" s="4" t="s">
        <v>160</v>
      </c>
      <c r="B1407" s="2" t="s">
        <v>23</v>
      </c>
      <c r="C1407" s="2" t="s">
        <v>41</v>
      </c>
      <c r="D1407" s="2" t="s">
        <v>20</v>
      </c>
      <c r="E1407" s="2" t="s">
        <v>36</v>
      </c>
      <c r="F1407" s="5">
        <v>73743.0</v>
      </c>
      <c r="G1407" s="5">
        <v>1991.0</v>
      </c>
      <c r="H1407" s="5">
        <v>0.027</v>
      </c>
      <c r="I1407" s="5">
        <v>1.77</v>
      </c>
      <c r="J1407" s="5">
        <v>3524.07</v>
      </c>
      <c r="K1407" s="5">
        <v>155.0</v>
      </c>
      <c r="L1407" s="5">
        <v>22.74</v>
      </c>
      <c r="M1407" s="5">
        <v>29721.14</v>
      </c>
      <c r="N1407" s="5">
        <v>8.43</v>
      </c>
      <c r="O1407" s="6">
        <f t="shared" si="1"/>
        <v>22.73593548</v>
      </c>
      <c r="P1407" s="6" t="str">
        <f t="shared" si="2"/>
        <v>Post-Shift</v>
      </c>
      <c r="Q1407" s="3">
        <f t="shared" si="3"/>
        <v>30</v>
      </c>
    </row>
    <row r="1408">
      <c r="A1408" s="4" t="s">
        <v>165</v>
      </c>
      <c r="B1408" s="2" t="s">
        <v>18</v>
      </c>
      <c r="C1408" s="2" t="s">
        <v>31</v>
      </c>
      <c r="D1408" s="2" t="s">
        <v>29</v>
      </c>
      <c r="E1408" s="2" t="s">
        <v>58</v>
      </c>
      <c r="F1408" s="5">
        <v>79189.0</v>
      </c>
      <c r="G1408" s="5">
        <v>4315.0</v>
      </c>
      <c r="H1408" s="5">
        <v>0.0545</v>
      </c>
      <c r="I1408" s="5">
        <v>0.92</v>
      </c>
      <c r="J1408" s="5">
        <v>3969.8</v>
      </c>
      <c r="K1408" s="5">
        <v>197.0</v>
      </c>
      <c r="L1408" s="5">
        <v>20.15</v>
      </c>
      <c r="M1408" s="5">
        <v>21995.7</v>
      </c>
      <c r="N1408" s="5">
        <v>5.54</v>
      </c>
      <c r="O1408" s="6">
        <f t="shared" si="1"/>
        <v>20.15126904</v>
      </c>
      <c r="P1408" s="6" t="str">
        <f t="shared" si="2"/>
        <v>Post-Shift</v>
      </c>
      <c r="Q1408" s="3">
        <f t="shared" si="3"/>
        <v>31</v>
      </c>
    </row>
    <row r="1409">
      <c r="A1409" s="4" t="s">
        <v>108</v>
      </c>
      <c r="B1409" s="2" t="s">
        <v>38</v>
      </c>
      <c r="C1409" s="2" t="s">
        <v>19</v>
      </c>
      <c r="D1409" s="2" t="s">
        <v>20</v>
      </c>
      <c r="E1409" s="2" t="s">
        <v>30</v>
      </c>
      <c r="F1409" s="5">
        <v>179943.0</v>
      </c>
      <c r="G1409" s="5">
        <v>4174.0</v>
      </c>
      <c r="H1409" s="5">
        <v>0.0232</v>
      </c>
      <c r="I1409" s="5">
        <v>2.2</v>
      </c>
      <c r="J1409" s="5">
        <v>9182.8</v>
      </c>
      <c r="K1409" s="5">
        <v>289.0</v>
      </c>
      <c r="L1409" s="5">
        <v>31.77</v>
      </c>
      <c r="M1409" s="5">
        <v>32129.87</v>
      </c>
      <c r="N1409" s="5">
        <v>3.5</v>
      </c>
      <c r="O1409" s="6">
        <f t="shared" si="1"/>
        <v>31.77439446</v>
      </c>
      <c r="P1409" s="6" t="str">
        <f t="shared" si="2"/>
        <v>Post-Shift</v>
      </c>
      <c r="Q1409" s="3">
        <f t="shared" si="3"/>
        <v>50</v>
      </c>
    </row>
    <row r="1410">
      <c r="A1410" s="4">
        <v>45507.0</v>
      </c>
      <c r="B1410" s="2" t="s">
        <v>18</v>
      </c>
      <c r="C1410" s="2" t="s">
        <v>19</v>
      </c>
      <c r="D1410" s="2" t="s">
        <v>45</v>
      </c>
      <c r="E1410" s="2" t="s">
        <v>36</v>
      </c>
      <c r="F1410" s="5">
        <v>22414.0</v>
      </c>
      <c r="G1410" s="5">
        <v>472.0</v>
      </c>
      <c r="H1410" s="5">
        <v>0.0211</v>
      </c>
      <c r="I1410" s="5">
        <v>2.51</v>
      </c>
      <c r="J1410" s="5">
        <v>1184.72</v>
      </c>
      <c r="K1410" s="5">
        <v>34.0</v>
      </c>
      <c r="L1410" s="5">
        <v>34.84</v>
      </c>
      <c r="M1410" s="5">
        <v>7160.99</v>
      </c>
      <c r="N1410" s="5">
        <v>6.04</v>
      </c>
      <c r="O1410" s="6">
        <f t="shared" si="1"/>
        <v>34.84470588</v>
      </c>
      <c r="P1410" s="6" t="str">
        <f t="shared" si="2"/>
        <v>Post-Shift</v>
      </c>
      <c r="Q1410" s="3">
        <f t="shared" si="3"/>
        <v>10</v>
      </c>
    </row>
    <row r="1411">
      <c r="A1411" s="4">
        <v>45484.0</v>
      </c>
      <c r="B1411" s="2" t="s">
        <v>38</v>
      </c>
      <c r="C1411" s="2" t="s">
        <v>27</v>
      </c>
      <c r="D1411" s="2" t="s">
        <v>32</v>
      </c>
      <c r="E1411" s="2" t="s">
        <v>58</v>
      </c>
      <c r="F1411" s="5">
        <v>107299.0</v>
      </c>
      <c r="G1411" s="5">
        <v>2585.0</v>
      </c>
      <c r="H1411" s="5">
        <v>0.0241</v>
      </c>
      <c r="I1411" s="5">
        <v>1.32</v>
      </c>
      <c r="J1411" s="5">
        <v>3412.2</v>
      </c>
      <c r="K1411" s="5">
        <v>110.0</v>
      </c>
      <c r="L1411" s="5">
        <v>31.02</v>
      </c>
      <c r="M1411" s="5">
        <v>23820.26</v>
      </c>
      <c r="N1411" s="5">
        <v>6.98</v>
      </c>
      <c r="O1411" s="6">
        <f t="shared" si="1"/>
        <v>31.02</v>
      </c>
      <c r="P1411" s="6" t="str">
        <f t="shared" si="2"/>
        <v>Post-Shift</v>
      </c>
      <c r="Q1411" s="3">
        <f t="shared" si="3"/>
        <v>45</v>
      </c>
    </row>
    <row r="1412">
      <c r="A1412" s="4">
        <v>45355.0</v>
      </c>
      <c r="B1412" s="2" t="s">
        <v>23</v>
      </c>
      <c r="C1412" s="2" t="s">
        <v>31</v>
      </c>
      <c r="D1412" s="2" t="s">
        <v>32</v>
      </c>
      <c r="E1412" s="2" t="s">
        <v>58</v>
      </c>
      <c r="F1412" s="5">
        <v>68815.0</v>
      </c>
      <c r="G1412" s="5">
        <v>3172.0</v>
      </c>
      <c r="H1412" s="5">
        <v>0.0461</v>
      </c>
      <c r="I1412" s="5">
        <v>0.79</v>
      </c>
      <c r="J1412" s="5">
        <v>2505.88</v>
      </c>
      <c r="K1412" s="5">
        <v>76.0</v>
      </c>
      <c r="L1412" s="5">
        <v>32.97</v>
      </c>
      <c r="M1412" s="5">
        <v>2602.57</v>
      </c>
      <c r="N1412" s="5">
        <v>1.04</v>
      </c>
      <c r="O1412" s="6">
        <f t="shared" si="1"/>
        <v>32.97210526</v>
      </c>
      <c r="P1412" s="6" t="str">
        <f t="shared" si="2"/>
        <v>Baseline</v>
      </c>
      <c r="Q1412" s="3">
        <f t="shared" si="3"/>
        <v>14</v>
      </c>
    </row>
    <row r="1413">
      <c r="A1413" s="4" t="s">
        <v>256</v>
      </c>
      <c r="B1413" s="2" t="s">
        <v>18</v>
      </c>
      <c r="C1413" s="2" t="s">
        <v>41</v>
      </c>
      <c r="D1413" s="2" t="s">
        <v>24</v>
      </c>
      <c r="E1413" s="2" t="s">
        <v>33</v>
      </c>
      <c r="F1413" s="5">
        <v>164457.0</v>
      </c>
      <c r="G1413" s="5">
        <v>8321.0</v>
      </c>
      <c r="H1413" s="5">
        <v>0.0506</v>
      </c>
      <c r="I1413" s="5">
        <v>1.76</v>
      </c>
      <c r="J1413" s="5">
        <v>14644.96</v>
      </c>
      <c r="K1413" s="5">
        <v>610.0</v>
      </c>
      <c r="L1413" s="5">
        <v>24.01</v>
      </c>
      <c r="M1413" s="5">
        <v>27104.12</v>
      </c>
      <c r="N1413" s="5">
        <v>1.85</v>
      </c>
      <c r="O1413" s="6">
        <f t="shared" si="1"/>
        <v>24.00813115</v>
      </c>
      <c r="P1413" s="6" t="str">
        <f t="shared" si="2"/>
        <v>Post-Shift</v>
      </c>
      <c r="Q1413" s="3">
        <f t="shared" si="3"/>
        <v>43</v>
      </c>
    </row>
    <row r="1414">
      <c r="A1414" s="4" t="s">
        <v>252</v>
      </c>
      <c r="B1414" s="2" t="s">
        <v>18</v>
      </c>
      <c r="C1414" s="2" t="s">
        <v>41</v>
      </c>
      <c r="D1414" s="2" t="s">
        <v>45</v>
      </c>
      <c r="E1414" s="2" t="s">
        <v>56</v>
      </c>
      <c r="F1414" s="5">
        <v>105477.0</v>
      </c>
      <c r="G1414" s="5">
        <v>6391.0</v>
      </c>
      <c r="H1414" s="5">
        <v>0.0606</v>
      </c>
      <c r="I1414" s="5">
        <v>1.84</v>
      </c>
      <c r="J1414" s="5">
        <v>11759.44</v>
      </c>
      <c r="K1414" s="5">
        <v>116.0</v>
      </c>
      <c r="L1414" s="5">
        <v>101.37</v>
      </c>
      <c r="M1414" s="5">
        <v>17001.07</v>
      </c>
      <c r="N1414" s="5">
        <v>1.45</v>
      </c>
      <c r="O1414" s="6">
        <f t="shared" si="1"/>
        <v>101.3744828</v>
      </c>
      <c r="P1414" s="6" t="str">
        <f t="shared" si="2"/>
        <v>Post-Shift</v>
      </c>
      <c r="Q1414" s="3">
        <f t="shared" si="3"/>
        <v>47</v>
      </c>
    </row>
    <row r="1415">
      <c r="A1415" s="4">
        <v>45424.0</v>
      </c>
      <c r="B1415" s="2" t="s">
        <v>18</v>
      </c>
      <c r="C1415" s="2" t="s">
        <v>27</v>
      </c>
      <c r="D1415" s="2" t="s">
        <v>20</v>
      </c>
      <c r="E1415" s="2" t="s">
        <v>25</v>
      </c>
      <c r="F1415" s="5">
        <v>160816.0</v>
      </c>
      <c r="G1415" s="5">
        <v>9745.0</v>
      </c>
      <c r="H1415" s="5">
        <v>0.0606</v>
      </c>
      <c r="I1415" s="5">
        <v>1.22</v>
      </c>
      <c r="J1415" s="5">
        <v>11888.9</v>
      </c>
      <c r="K1415" s="5">
        <v>553.0</v>
      </c>
      <c r="L1415" s="5">
        <v>21.5</v>
      </c>
      <c r="M1415" s="5">
        <v>62922.41</v>
      </c>
      <c r="N1415" s="5">
        <v>5.29</v>
      </c>
      <c r="O1415" s="6">
        <f t="shared" si="1"/>
        <v>21.49891501</v>
      </c>
      <c r="P1415" s="6" t="str">
        <f t="shared" si="2"/>
        <v>Baseline</v>
      </c>
      <c r="Q1415" s="3">
        <f t="shared" si="3"/>
        <v>49</v>
      </c>
    </row>
    <row r="1416">
      <c r="A1416" s="4">
        <v>45331.0</v>
      </c>
      <c r="B1416" s="2" t="s">
        <v>18</v>
      </c>
      <c r="C1416" s="2" t="s">
        <v>41</v>
      </c>
      <c r="D1416" s="2" t="s">
        <v>29</v>
      </c>
      <c r="E1416" s="2" t="s">
        <v>25</v>
      </c>
      <c r="F1416" s="5">
        <v>23904.0</v>
      </c>
      <c r="G1416" s="5">
        <v>609.0</v>
      </c>
      <c r="H1416" s="5">
        <v>0.0255</v>
      </c>
      <c r="I1416" s="5">
        <v>1.66</v>
      </c>
      <c r="J1416" s="5">
        <v>1010.94</v>
      </c>
      <c r="K1416" s="5">
        <v>35.0</v>
      </c>
      <c r="L1416" s="5">
        <v>28.88</v>
      </c>
      <c r="M1416" s="5">
        <v>7211.31</v>
      </c>
      <c r="N1416" s="5">
        <v>7.13</v>
      </c>
      <c r="O1416" s="6">
        <f t="shared" si="1"/>
        <v>28.884</v>
      </c>
      <c r="P1416" s="6" t="str">
        <f t="shared" si="2"/>
        <v>Baseline</v>
      </c>
      <c r="Q1416" s="3">
        <f t="shared" si="3"/>
        <v>36</v>
      </c>
    </row>
    <row r="1417">
      <c r="A1417" s="4" t="s">
        <v>55</v>
      </c>
      <c r="B1417" s="2" t="s">
        <v>38</v>
      </c>
      <c r="C1417" s="2" t="s">
        <v>41</v>
      </c>
      <c r="D1417" s="2" t="s">
        <v>32</v>
      </c>
      <c r="E1417" s="2" t="s">
        <v>30</v>
      </c>
      <c r="F1417" s="5">
        <v>60448.0</v>
      </c>
      <c r="G1417" s="5">
        <v>1493.0</v>
      </c>
      <c r="H1417" s="5">
        <v>0.0247</v>
      </c>
      <c r="I1417" s="5">
        <v>2.29</v>
      </c>
      <c r="J1417" s="5">
        <v>3418.97</v>
      </c>
      <c r="K1417" s="5">
        <v>89.0</v>
      </c>
      <c r="L1417" s="5">
        <v>38.42</v>
      </c>
      <c r="M1417" s="5">
        <v>24577.78</v>
      </c>
      <c r="N1417" s="5">
        <v>7.19</v>
      </c>
      <c r="O1417" s="6">
        <f t="shared" si="1"/>
        <v>38.41539326</v>
      </c>
      <c r="P1417" s="6" t="str">
        <f t="shared" si="2"/>
        <v>Post-Shift</v>
      </c>
      <c r="Q1417" s="3">
        <f t="shared" si="3"/>
        <v>53</v>
      </c>
    </row>
    <row r="1418">
      <c r="A1418" s="4" t="s">
        <v>92</v>
      </c>
      <c r="B1418" s="2" t="s">
        <v>23</v>
      </c>
      <c r="C1418" s="2" t="s">
        <v>27</v>
      </c>
      <c r="D1418" s="2" t="s">
        <v>20</v>
      </c>
      <c r="E1418" s="2" t="s">
        <v>21</v>
      </c>
      <c r="F1418" s="5">
        <v>138332.0</v>
      </c>
      <c r="G1418" s="5">
        <v>9558.0</v>
      </c>
      <c r="H1418" s="5">
        <v>0.0691</v>
      </c>
      <c r="I1418" s="5">
        <v>0.35</v>
      </c>
      <c r="J1418" s="5">
        <v>3345.3</v>
      </c>
      <c r="K1418" s="5">
        <v>195.0</v>
      </c>
      <c r="L1418" s="5">
        <v>17.16</v>
      </c>
      <c r="M1418" s="5">
        <v>26087.06</v>
      </c>
      <c r="N1418" s="5">
        <v>7.8</v>
      </c>
      <c r="O1418" s="6">
        <f t="shared" si="1"/>
        <v>17.15538462</v>
      </c>
      <c r="P1418" s="6" t="str">
        <f t="shared" si="2"/>
        <v>Post-Shift</v>
      </c>
      <c r="Q1418" s="3">
        <f t="shared" si="3"/>
        <v>34</v>
      </c>
    </row>
    <row r="1419">
      <c r="A1419" s="4">
        <v>45629.0</v>
      </c>
      <c r="B1419" s="2" t="s">
        <v>18</v>
      </c>
      <c r="C1419" s="2" t="s">
        <v>27</v>
      </c>
      <c r="D1419" s="2" t="s">
        <v>32</v>
      </c>
      <c r="E1419" s="2" t="s">
        <v>56</v>
      </c>
      <c r="F1419" s="5">
        <v>112399.0</v>
      </c>
      <c r="G1419" s="5">
        <v>3585.0</v>
      </c>
      <c r="H1419" s="5">
        <v>0.0319</v>
      </c>
      <c r="I1419" s="5">
        <v>3.11</v>
      </c>
      <c r="J1419" s="5">
        <v>11149.35</v>
      </c>
      <c r="K1419" s="5">
        <v>91.0</v>
      </c>
      <c r="L1419" s="5">
        <v>122.52</v>
      </c>
      <c r="M1419" s="5">
        <v>20140.14</v>
      </c>
      <c r="N1419" s="5">
        <v>1.81</v>
      </c>
      <c r="O1419" s="6">
        <f t="shared" si="1"/>
        <v>122.5203297</v>
      </c>
      <c r="P1419" s="6" t="str">
        <f t="shared" si="2"/>
        <v>Post-Shift</v>
      </c>
      <c r="Q1419" s="3">
        <f t="shared" si="3"/>
        <v>11</v>
      </c>
    </row>
    <row r="1420">
      <c r="A1420" s="4" t="s">
        <v>241</v>
      </c>
      <c r="B1420" s="2" t="s">
        <v>18</v>
      </c>
      <c r="C1420" s="2" t="s">
        <v>27</v>
      </c>
      <c r="D1420" s="2" t="s">
        <v>45</v>
      </c>
      <c r="E1420" s="2" t="s">
        <v>33</v>
      </c>
      <c r="F1420" s="5">
        <v>180069.0</v>
      </c>
      <c r="G1420" s="5">
        <v>5780.0</v>
      </c>
      <c r="H1420" s="5">
        <v>0.0321</v>
      </c>
      <c r="I1420" s="5">
        <v>1.47</v>
      </c>
      <c r="J1420" s="5">
        <v>8496.6</v>
      </c>
      <c r="K1420" s="5">
        <v>272.0</v>
      </c>
      <c r="L1420" s="5">
        <v>31.24</v>
      </c>
      <c r="M1420" s="5">
        <v>74348.97</v>
      </c>
      <c r="N1420" s="5">
        <v>8.75</v>
      </c>
      <c r="O1420" s="6">
        <f t="shared" si="1"/>
        <v>31.2375</v>
      </c>
      <c r="P1420" s="6" t="str">
        <f t="shared" si="2"/>
        <v>Post-Shift</v>
      </c>
      <c r="Q1420" s="3">
        <f t="shared" si="3"/>
        <v>7</v>
      </c>
    </row>
    <row r="1421">
      <c r="A1421" s="4" t="s">
        <v>95</v>
      </c>
      <c r="B1421" s="2" t="s">
        <v>38</v>
      </c>
      <c r="C1421" s="2" t="s">
        <v>31</v>
      </c>
      <c r="D1421" s="2" t="s">
        <v>20</v>
      </c>
      <c r="E1421" s="2" t="s">
        <v>30</v>
      </c>
      <c r="F1421" s="5">
        <v>155354.0</v>
      </c>
      <c r="G1421" s="5">
        <v>3371.0</v>
      </c>
      <c r="H1421" s="5">
        <v>0.0217</v>
      </c>
      <c r="I1421" s="5">
        <v>1.27</v>
      </c>
      <c r="J1421" s="5">
        <v>4281.17</v>
      </c>
      <c r="K1421" s="5">
        <v>100.0</v>
      </c>
      <c r="L1421" s="5">
        <v>42.81</v>
      </c>
      <c r="M1421" s="5">
        <v>7916.95</v>
      </c>
      <c r="N1421" s="5">
        <v>1.85</v>
      </c>
      <c r="O1421" s="6">
        <f t="shared" si="1"/>
        <v>42.8117</v>
      </c>
      <c r="P1421" s="6" t="str">
        <f t="shared" si="2"/>
        <v>Post-Shift</v>
      </c>
      <c r="Q1421" s="3">
        <f t="shared" si="3"/>
        <v>39</v>
      </c>
    </row>
    <row r="1422">
      <c r="A1422" s="4" t="s">
        <v>225</v>
      </c>
      <c r="B1422" s="2" t="s">
        <v>38</v>
      </c>
      <c r="C1422" s="2" t="s">
        <v>31</v>
      </c>
      <c r="D1422" s="2" t="s">
        <v>20</v>
      </c>
      <c r="E1422" s="2" t="s">
        <v>21</v>
      </c>
      <c r="F1422" s="5">
        <v>163564.0</v>
      </c>
      <c r="G1422" s="5">
        <v>1946.0</v>
      </c>
      <c r="H1422" s="5">
        <v>0.0119</v>
      </c>
      <c r="I1422" s="5">
        <v>0.66</v>
      </c>
      <c r="J1422" s="5">
        <v>1284.36</v>
      </c>
      <c r="K1422" s="5">
        <v>72.0</v>
      </c>
      <c r="L1422" s="5">
        <v>17.84</v>
      </c>
      <c r="M1422" s="5">
        <v>6787.22</v>
      </c>
      <c r="N1422" s="5">
        <v>5.28</v>
      </c>
      <c r="O1422" s="6">
        <f t="shared" si="1"/>
        <v>17.83833333</v>
      </c>
      <c r="P1422" s="6" t="str">
        <f t="shared" si="2"/>
        <v>Post-Shift</v>
      </c>
      <c r="Q1422" s="3">
        <f t="shared" si="3"/>
        <v>20</v>
      </c>
    </row>
    <row r="1423">
      <c r="A1423" s="4">
        <v>45597.0</v>
      </c>
      <c r="B1423" s="2" t="s">
        <v>23</v>
      </c>
      <c r="C1423" s="2" t="s">
        <v>41</v>
      </c>
      <c r="D1423" s="2" t="s">
        <v>20</v>
      </c>
      <c r="E1423" s="2" t="s">
        <v>25</v>
      </c>
      <c r="F1423" s="5">
        <v>146587.0</v>
      </c>
      <c r="G1423" s="5">
        <v>5995.0</v>
      </c>
      <c r="H1423" s="5">
        <v>0.0409</v>
      </c>
      <c r="I1423" s="5">
        <v>1.52</v>
      </c>
      <c r="J1423" s="5">
        <v>9112.4</v>
      </c>
      <c r="K1423" s="5">
        <v>161.0</v>
      </c>
      <c r="L1423" s="5">
        <v>56.6</v>
      </c>
      <c r="M1423" s="5">
        <v>27684.26</v>
      </c>
      <c r="N1423" s="5">
        <v>3.04</v>
      </c>
      <c r="O1423" s="6">
        <f t="shared" si="1"/>
        <v>56.59875776</v>
      </c>
      <c r="P1423" s="6" t="str">
        <f t="shared" si="2"/>
        <v>Post-Shift</v>
      </c>
      <c r="Q1423" s="3">
        <f t="shared" si="3"/>
        <v>2</v>
      </c>
    </row>
    <row r="1424">
      <c r="A1424" s="4" t="s">
        <v>172</v>
      </c>
      <c r="B1424" s="2" t="s">
        <v>18</v>
      </c>
      <c r="C1424" s="2" t="s">
        <v>41</v>
      </c>
      <c r="D1424" s="2" t="s">
        <v>29</v>
      </c>
      <c r="E1424" s="2" t="s">
        <v>30</v>
      </c>
      <c r="F1424" s="5">
        <v>79843.0</v>
      </c>
      <c r="G1424" s="5">
        <v>2427.0</v>
      </c>
      <c r="H1424" s="5">
        <v>0.0304</v>
      </c>
      <c r="I1424" s="5">
        <v>1.43</v>
      </c>
      <c r="J1424" s="5">
        <v>3470.61</v>
      </c>
      <c r="K1424" s="5">
        <v>127.0</v>
      </c>
      <c r="L1424" s="5">
        <v>27.33</v>
      </c>
      <c r="M1424" s="5">
        <v>27833.99</v>
      </c>
      <c r="N1424" s="5">
        <v>8.02</v>
      </c>
      <c r="O1424" s="6">
        <f t="shared" si="1"/>
        <v>27.3276378</v>
      </c>
      <c r="P1424" s="6" t="str">
        <f t="shared" si="2"/>
        <v>Post-Shift</v>
      </c>
      <c r="Q1424" s="3">
        <f t="shared" si="3"/>
        <v>13</v>
      </c>
    </row>
    <row r="1425">
      <c r="A1425" s="4">
        <v>45606.0</v>
      </c>
      <c r="B1425" s="2" t="s">
        <v>38</v>
      </c>
      <c r="C1425" s="2" t="s">
        <v>27</v>
      </c>
      <c r="D1425" s="2" t="s">
        <v>32</v>
      </c>
      <c r="E1425" s="2" t="s">
        <v>36</v>
      </c>
      <c r="F1425" s="5">
        <v>128245.0</v>
      </c>
      <c r="G1425" s="5">
        <v>2949.0</v>
      </c>
      <c r="H1425" s="5">
        <v>0.023</v>
      </c>
      <c r="I1425" s="5">
        <v>1.59</v>
      </c>
      <c r="J1425" s="5">
        <v>4688.91</v>
      </c>
      <c r="K1425" s="5">
        <v>85.0</v>
      </c>
      <c r="L1425" s="5">
        <v>55.16</v>
      </c>
      <c r="M1425" s="5">
        <v>8616.72</v>
      </c>
      <c r="N1425" s="5">
        <v>1.84</v>
      </c>
      <c r="O1425" s="6">
        <f t="shared" si="1"/>
        <v>55.16364706</v>
      </c>
      <c r="P1425" s="6" t="str">
        <f t="shared" si="2"/>
        <v>Post-Shift</v>
      </c>
      <c r="Q1425" s="3">
        <f t="shared" si="3"/>
        <v>41</v>
      </c>
    </row>
    <row r="1426">
      <c r="A1426" s="4" t="s">
        <v>217</v>
      </c>
      <c r="B1426" s="2" t="s">
        <v>18</v>
      </c>
      <c r="C1426" s="2" t="s">
        <v>31</v>
      </c>
      <c r="D1426" s="2" t="s">
        <v>20</v>
      </c>
      <c r="E1426" s="2" t="s">
        <v>58</v>
      </c>
      <c r="F1426" s="5">
        <v>161252.0</v>
      </c>
      <c r="G1426" s="5">
        <v>8046.0</v>
      </c>
      <c r="H1426" s="5">
        <v>0.0499</v>
      </c>
      <c r="I1426" s="5">
        <v>3.05</v>
      </c>
      <c r="J1426" s="5">
        <v>24540.3</v>
      </c>
      <c r="K1426" s="5">
        <v>550.0</v>
      </c>
      <c r="L1426" s="5">
        <v>44.62</v>
      </c>
      <c r="M1426" s="5">
        <v>130994.6</v>
      </c>
      <c r="N1426" s="5">
        <v>5.34</v>
      </c>
      <c r="O1426" s="6">
        <f t="shared" si="1"/>
        <v>44.61872727</v>
      </c>
      <c r="P1426" s="6" t="str">
        <f t="shared" si="2"/>
        <v>Post-Shift</v>
      </c>
      <c r="Q1426" s="3">
        <f t="shared" si="3"/>
        <v>39</v>
      </c>
    </row>
    <row r="1427">
      <c r="A1427" s="4" t="s">
        <v>234</v>
      </c>
      <c r="B1427" s="2" t="s">
        <v>23</v>
      </c>
      <c r="C1427" s="2" t="s">
        <v>31</v>
      </c>
      <c r="D1427" s="2" t="s">
        <v>32</v>
      </c>
      <c r="E1427" s="2" t="s">
        <v>33</v>
      </c>
      <c r="F1427" s="5">
        <v>107262.0</v>
      </c>
      <c r="G1427" s="5">
        <v>5127.0</v>
      </c>
      <c r="H1427" s="5">
        <v>0.0478</v>
      </c>
      <c r="I1427" s="5">
        <v>1.24</v>
      </c>
      <c r="J1427" s="5">
        <v>6357.48</v>
      </c>
      <c r="K1427" s="5">
        <v>343.0</v>
      </c>
      <c r="L1427" s="5">
        <v>18.53</v>
      </c>
      <c r="M1427" s="5">
        <v>93405.13</v>
      </c>
      <c r="N1427" s="5">
        <v>14.69</v>
      </c>
      <c r="O1427" s="6">
        <f t="shared" si="1"/>
        <v>18.53492711</v>
      </c>
      <c r="P1427" s="6" t="str">
        <f t="shared" si="2"/>
        <v>Post-Shift</v>
      </c>
      <c r="Q1427" s="3">
        <f t="shared" si="3"/>
        <v>4</v>
      </c>
    </row>
    <row r="1428">
      <c r="A1428" s="4" t="s">
        <v>65</v>
      </c>
      <c r="B1428" s="2" t="s">
        <v>38</v>
      </c>
      <c r="C1428" s="2" t="s">
        <v>27</v>
      </c>
      <c r="D1428" s="2" t="s">
        <v>32</v>
      </c>
      <c r="E1428" s="2" t="s">
        <v>33</v>
      </c>
      <c r="F1428" s="5">
        <v>22139.0</v>
      </c>
      <c r="G1428" s="5">
        <v>458.0</v>
      </c>
      <c r="H1428" s="5">
        <v>0.0207</v>
      </c>
      <c r="I1428" s="5">
        <v>0.43</v>
      </c>
      <c r="J1428" s="5">
        <v>196.94</v>
      </c>
      <c r="K1428" s="5">
        <v>8.0</v>
      </c>
      <c r="L1428" s="5">
        <v>24.62</v>
      </c>
      <c r="M1428" s="5">
        <v>2367.39</v>
      </c>
      <c r="N1428" s="5">
        <v>12.02</v>
      </c>
      <c r="O1428" s="6">
        <f t="shared" si="1"/>
        <v>24.6175</v>
      </c>
      <c r="P1428" s="6" t="str">
        <f t="shared" si="2"/>
        <v>Post-Shift</v>
      </c>
      <c r="Q1428" s="3">
        <f t="shared" si="3"/>
        <v>21</v>
      </c>
    </row>
    <row r="1429">
      <c r="A1429" s="4" t="s">
        <v>40</v>
      </c>
      <c r="B1429" s="2" t="s">
        <v>38</v>
      </c>
      <c r="C1429" s="2" t="s">
        <v>31</v>
      </c>
      <c r="D1429" s="2" t="s">
        <v>32</v>
      </c>
      <c r="E1429" s="2" t="s">
        <v>56</v>
      </c>
      <c r="F1429" s="5">
        <v>30618.0</v>
      </c>
      <c r="G1429" s="5">
        <v>719.0</v>
      </c>
      <c r="H1429" s="5">
        <v>0.0235</v>
      </c>
      <c r="I1429" s="5">
        <v>1.27</v>
      </c>
      <c r="J1429" s="5">
        <v>913.13</v>
      </c>
      <c r="K1429" s="5">
        <v>40.0</v>
      </c>
      <c r="L1429" s="5">
        <v>22.83</v>
      </c>
      <c r="M1429" s="5">
        <v>6289.61</v>
      </c>
      <c r="N1429" s="5">
        <v>6.89</v>
      </c>
      <c r="O1429" s="6">
        <f t="shared" si="1"/>
        <v>22.82825</v>
      </c>
      <c r="P1429" s="6" t="str">
        <f t="shared" si="2"/>
        <v>Post-Shift</v>
      </c>
      <c r="Q1429" s="3">
        <f t="shared" si="3"/>
        <v>16</v>
      </c>
    </row>
    <row r="1430">
      <c r="A1430" s="4">
        <v>45638.0</v>
      </c>
      <c r="B1430" s="2" t="s">
        <v>18</v>
      </c>
      <c r="C1430" s="2" t="s">
        <v>19</v>
      </c>
      <c r="D1430" s="2" t="s">
        <v>29</v>
      </c>
      <c r="E1430" s="2" t="s">
        <v>36</v>
      </c>
      <c r="F1430" s="5">
        <v>78606.0</v>
      </c>
      <c r="G1430" s="5">
        <v>3914.0</v>
      </c>
      <c r="H1430" s="5">
        <v>0.0498</v>
      </c>
      <c r="I1430" s="5">
        <v>1.23</v>
      </c>
      <c r="J1430" s="5">
        <v>4814.22</v>
      </c>
      <c r="K1430" s="5">
        <v>88.0</v>
      </c>
      <c r="L1430" s="5">
        <v>54.71</v>
      </c>
      <c r="M1430" s="5">
        <v>6101.96</v>
      </c>
      <c r="N1430" s="5">
        <v>1.27</v>
      </c>
      <c r="O1430" s="6">
        <f t="shared" si="1"/>
        <v>54.70704545</v>
      </c>
      <c r="P1430" s="6" t="str">
        <f t="shared" si="2"/>
        <v>Post-Shift</v>
      </c>
      <c r="Q1430" s="3">
        <f t="shared" si="3"/>
        <v>50</v>
      </c>
    </row>
    <row r="1431">
      <c r="A1431" s="4" t="s">
        <v>34</v>
      </c>
      <c r="B1431" s="2" t="s">
        <v>18</v>
      </c>
      <c r="C1431" s="2" t="s">
        <v>41</v>
      </c>
      <c r="D1431" s="2" t="s">
        <v>32</v>
      </c>
      <c r="E1431" s="2" t="s">
        <v>33</v>
      </c>
      <c r="F1431" s="5">
        <v>31885.0</v>
      </c>
      <c r="G1431" s="5">
        <v>1613.0</v>
      </c>
      <c r="H1431" s="5">
        <v>0.0506</v>
      </c>
      <c r="I1431" s="5">
        <v>1.01</v>
      </c>
      <c r="J1431" s="5">
        <v>1629.13</v>
      </c>
      <c r="K1431" s="5">
        <v>67.0</v>
      </c>
      <c r="L1431" s="5">
        <v>24.32</v>
      </c>
      <c r="M1431" s="5">
        <v>19023.45</v>
      </c>
      <c r="N1431" s="5">
        <v>11.68</v>
      </c>
      <c r="O1431" s="6">
        <f t="shared" si="1"/>
        <v>24.31537313</v>
      </c>
      <c r="P1431" s="6" t="str">
        <f t="shared" si="2"/>
        <v>Post-Shift</v>
      </c>
      <c r="Q1431" s="3">
        <f t="shared" si="3"/>
        <v>8</v>
      </c>
    </row>
    <row r="1432">
      <c r="A1432" s="4" t="s">
        <v>100</v>
      </c>
      <c r="B1432" s="2" t="s">
        <v>23</v>
      </c>
      <c r="C1432" s="2" t="s">
        <v>31</v>
      </c>
      <c r="D1432" s="2" t="s">
        <v>24</v>
      </c>
      <c r="E1432" s="2" t="s">
        <v>36</v>
      </c>
      <c r="F1432" s="5">
        <v>11713.0</v>
      </c>
      <c r="G1432" s="5">
        <v>334.0</v>
      </c>
      <c r="H1432" s="5">
        <v>0.0286</v>
      </c>
      <c r="I1432" s="5">
        <v>1.46</v>
      </c>
      <c r="J1432" s="5">
        <v>487.64</v>
      </c>
      <c r="K1432" s="5">
        <v>13.0</v>
      </c>
      <c r="L1432" s="5">
        <v>37.51</v>
      </c>
      <c r="M1432" s="5">
        <v>2344.33</v>
      </c>
      <c r="N1432" s="5">
        <v>4.81</v>
      </c>
      <c r="O1432" s="6">
        <f t="shared" si="1"/>
        <v>37.51076923</v>
      </c>
      <c r="P1432" s="6" t="str">
        <f t="shared" si="2"/>
        <v>Post-Shift</v>
      </c>
      <c r="Q1432" s="3">
        <f t="shared" si="3"/>
        <v>34</v>
      </c>
    </row>
    <row r="1433">
      <c r="A1433" s="4">
        <v>45386.0</v>
      </c>
      <c r="B1433" s="2" t="s">
        <v>38</v>
      </c>
      <c r="C1433" s="2" t="s">
        <v>31</v>
      </c>
      <c r="D1433" s="2" t="s">
        <v>45</v>
      </c>
      <c r="E1433" s="2" t="s">
        <v>25</v>
      </c>
      <c r="F1433" s="5">
        <v>26637.0</v>
      </c>
      <c r="G1433" s="5">
        <v>479.0</v>
      </c>
      <c r="H1433" s="5">
        <v>0.018</v>
      </c>
      <c r="I1433" s="5">
        <v>0.83</v>
      </c>
      <c r="J1433" s="5">
        <v>397.57</v>
      </c>
      <c r="K1433" s="5">
        <v>35.0</v>
      </c>
      <c r="L1433" s="5">
        <v>11.36</v>
      </c>
      <c r="M1433" s="5">
        <v>1488.52</v>
      </c>
      <c r="N1433" s="5">
        <v>3.74</v>
      </c>
      <c r="O1433" s="6">
        <f t="shared" si="1"/>
        <v>11.35914286</v>
      </c>
      <c r="P1433" s="6" t="str">
        <f t="shared" si="2"/>
        <v>Baseline</v>
      </c>
      <c r="Q1433" s="3">
        <f t="shared" si="3"/>
        <v>14</v>
      </c>
    </row>
    <row r="1434">
      <c r="A1434" s="4" t="s">
        <v>261</v>
      </c>
      <c r="B1434" s="2" t="s">
        <v>18</v>
      </c>
      <c r="C1434" s="2" t="s">
        <v>41</v>
      </c>
      <c r="D1434" s="2" t="s">
        <v>24</v>
      </c>
      <c r="E1434" s="2" t="s">
        <v>56</v>
      </c>
      <c r="F1434" s="5">
        <v>44387.0</v>
      </c>
      <c r="G1434" s="5">
        <v>1886.0</v>
      </c>
      <c r="H1434" s="5">
        <v>0.0425</v>
      </c>
      <c r="I1434" s="5">
        <v>2.81</v>
      </c>
      <c r="J1434" s="5">
        <v>5299.66</v>
      </c>
      <c r="K1434" s="5">
        <v>112.0</v>
      </c>
      <c r="L1434" s="5">
        <v>47.32</v>
      </c>
      <c r="M1434" s="5">
        <v>16115.2</v>
      </c>
      <c r="N1434" s="5">
        <v>3.04</v>
      </c>
      <c r="O1434" s="6">
        <f t="shared" si="1"/>
        <v>47.31839286</v>
      </c>
      <c r="P1434" s="6" t="str">
        <f t="shared" si="2"/>
        <v>Post-Shift</v>
      </c>
      <c r="Q1434" s="3">
        <f t="shared" si="3"/>
        <v>31</v>
      </c>
    </row>
    <row r="1435">
      <c r="A1435" s="4">
        <v>45352.0</v>
      </c>
      <c r="B1435" s="2" t="s">
        <v>38</v>
      </c>
      <c r="C1435" s="2" t="s">
        <v>19</v>
      </c>
      <c r="D1435" s="2" t="s">
        <v>45</v>
      </c>
      <c r="E1435" s="2" t="s">
        <v>25</v>
      </c>
      <c r="F1435" s="5">
        <v>91392.0</v>
      </c>
      <c r="G1435" s="5">
        <v>2705.0</v>
      </c>
      <c r="H1435" s="5">
        <v>0.0296</v>
      </c>
      <c r="I1435" s="5">
        <v>2.04</v>
      </c>
      <c r="J1435" s="5">
        <v>5518.2</v>
      </c>
      <c r="K1435" s="5">
        <v>87.0</v>
      </c>
      <c r="L1435" s="5">
        <v>63.43</v>
      </c>
      <c r="M1435" s="5">
        <v>12147.08</v>
      </c>
      <c r="N1435" s="5">
        <v>2.2</v>
      </c>
      <c r="O1435" s="6">
        <f t="shared" si="1"/>
        <v>63.42758621</v>
      </c>
      <c r="P1435" s="6" t="str">
        <f t="shared" si="2"/>
        <v>Baseline</v>
      </c>
      <c r="Q1435" s="3">
        <f t="shared" si="3"/>
        <v>1</v>
      </c>
    </row>
    <row r="1436">
      <c r="A1436" s="4" t="s">
        <v>189</v>
      </c>
      <c r="B1436" s="2" t="s">
        <v>23</v>
      </c>
      <c r="C1436" s="2" t="s">
        <v>19</v>
      </c>
      <c r="D1436" s="2" t="s">
        <v>24</v>
      </c>
      <c r="E1436" s="2" t="s">
        <v>25</v>
      </c>
      <c r="F1436" s="5">
        <v>31727.0</v>
      </c>
      <c r="G1436" s="5">
        <v>2233.0</v>
      </c>
      <c r="H1436" s="5">
        <v>0.0704</v>
      </c>
      <c r="I1436" s="5">
        <v>0.46</v>
      </c>
      <c r="J1436" s="5">
        <v>1027.18</v>
      </c>
      <c r="K1436" s="5">
        <v>74.0</v>
      </c>
      <c r="L1436" s="5">
        <v>13.88</v>
      </c>
      <c r="M1436" s="5">
        <v>9946.57</v>
      </c>
      <c r="N1436" s="5">
        <v>9.68</v>
      </c>
      <c r="O1436" s="6">
        <f t="shared" si="1"/>
        <v>13.88081081</v>
      </c>
      <c r="P1436" s="6" t="str">
        <f t="shared" si="2"/>
        <v>Post-Shift</v>
      </c>
      <c r="Q1436" s="3">
        <f t="shared" si="3"/>
        <v>39</v>
      </c>
    </row>
    <row r="1437">
      <c r="A1437" s="4" t="s">
        <v>97</v>
      </c>
      <c r="B1437" s="2" t="s">
        <v>38</v>
      </c>
      <c r="C1437" s="2" t="s">
        <v>31</v>
      </c>
      <c r="D1437" s="2" t="s">
        <v>32</v>
      </c>
      <c r="E1437" s="2" t="s">
        <v>33</v>
      </c>
      <c r="F1437" s="5">
        <v>154676.0</v>
      </c>
      <c r="G1437" s="5">
        <v>1624.0</v>
      </c>
      <c r="H1437" s="5">
        <v>0.0105</v>
      </c>
      <c r="I1437" s="5">
        <v>1.69</v>
      </c>
      <c r="J1437" s="5">
        <v>2744.56</v>
      </c>
      <c r="K1437" s="5">
        <v>26.0</v>
      </c>
      <c r="L1437" s="5">
        <v>105.56</v>
      </c>
      <c r="M1437" s="5">
        <v>1813.36</v>
      </c>
      <c r="N1437" s="5">
        <v>0.66</v>
      </c>
      <c r="O1437" s="6">
        <f t="shared" si="1"/>
        <v>105.56</v>
      </c>
      <c r="P1437" s="6" t="str">
        <f t="shared" si="2"/>
        <v>Post-Shift</v>
      </c>
      <c r="Q1437" s="3">
        <f t="shared" si="3"/>
        <v>34</v>
      </c>
    </row>
    <row r="1438">
      <c r="A1438" s="4" t="s">
        <v>37</v>
      </c>
      <c r="B1438" s="2" t="s">
        <v>38</v>
      </c>
      <c r="C1438" s="2" t="s">
        <v>31</v>
      </c>
      <c r="D1438" s="2" t="s">
        <v>45</v>
      </c>
      <c r="E1438" s="2" t="s">
        <v>25</v>
      </c>
      <c r="F1438" s="5">
        <v>122710.0</v>
      </c>
      <c r="G1438" s="5">
        <v>5129.0</v>
      </c>
      <c r="H1438" s="5">
        <v>0.0418</v>
      </c>
      <c r="I1438" s="5">
        <v>1.02</v>
      </c>
      <c r="J1438" s="5">
        <v>5231.58</v>
      </c>
      <c r="K1438" s="5">
        <v>157.0</v>
      </c>
      <c r="L1438" s="5">
        <v>33.32</v>
      </c>
      <c r="M1438" s="5">
        <v>24344.87</v>
      </c>
      <c r="N1438" s="5">
        <v>4.65</v>
      </c>
      <c r="O1438" s="6">
        <f t="shared" si="1"/>
        <v>33.32216561</v>
      </c>
      <c r="P1438" s="6" t="str">
        <f t="shared" si="2"/>
        <v>Post-Shift</v>
      </c>
      <c r="Q1438" s="3">
        <f t="shared" si="3"/>
        <v>33</v>
      </c>
    </row>
    <row r="1439">
      <c r="A1439" s="4" t="s">
        <v>130</v>
      </c>
      <c r="B1439" s="2" t="s">
        <v>23</v>
      </c>
      <c r="C1439" s="2" t="s">
        <v>19</v>
      </c>
      <c r="D1439" s="2" t="s">
        <v>24</v>
      </c>
      <c r="E1439" s="2" t="s">
        <v>36</v>
      </c>
      <c r="F1439" s="5">
        <v>194117.0</v>
      </c>
      <c r="G1439" s="5">
        <v>16422.0</v>
      </c>
      <c r="H1439" s="5">
        <v>0.0846</v>
      </c>
      <c r="I1439" s="5">
        <v>1.33</v>
      </c>
      <c r="J1439" s="5">
        <v>21841.26</v>
      </c>
      <c r="K1439" s="5">
        <v>1133.0</v>
      </c>
      <c r="L1439" s="5">
        <v>19.28</v>
      </c>
      <c r="M1439" s="5">
        <v>121361.1</v>
      </c>
      <c r="N1439" s="5">
        <v>5.56</v>
      </c>
      <c r="O1439" s="6">
        <f t="shared" si="1"/>
        <v>19.27736981</v>
      </c>
      <c r="P1439" s="6" t="str">
        <f t="shared" si="2"/>
        <v>Post-Shift</v>
      </c>
      <c r="Q1439" s="3">
        <f t="shared" si="3"/>
        <v>52</v>
      </c>
    </row>
    <row r="1440">
      <c r="A1440" s="4">
        <v>45353.0</v>
      </c>
      <c r="B1440" s="2" t="s">
        <v>23</v>
      </c>
      <c r="C1440" s="2" t="s">
        <v>31</v>
      </c>
      <c r="D1440" s="2" t="s">
        <v>29</v>
      </c>
      <c r="E1440" s="2" t="s">
        <v>58</v>
      </c>
      <c r="F1440" s="5">
        <v>23043.0</v>
      </c>
      <c r="G1440" s="5">
        <v>1534.0</v>
      </c>
      <c r="H1440" s="5">
        <v>0.0666</v>
      </c>
      <c r="I1440" s="5">
        <v>1.36</v>
      </c>
      <c r="J1440" s="5">
        <v>2086.24</v>
      </c>
      <c r="K1440" s="5">
        <v>119.0</v>
      </c>
      <c r="L1440" s="5">
        <v>17.53</v>
      </c>
      <c r="M1440" s="5">
        <v>6284.67</v>
      </c>
      <c r="N1440" s="5">
        <v>3.01</v>
      </c>
      <c r="O1440" s="6">
        <f t="shared" si="1"/>
        <v>17.53142857</v>
      </c>
      <c r="P1440" s="6" t="str">
        <f t="shared" si="2"/>
        <v>Baseline</v>
      </c>
      <c r="Q1440" s="3">
        <f t="shared" si="3"/>
        <v>5</v>
      </c>
    </row>
    <row r="1441">
      <c r="A1441" s="4" t="s">
        <v>220</v>
      </c>
      <c r="B1441" s="2" t="s">
        <v>18</v>
      </c>
      <c r="C1441" s="2" t="s">
        <v>19</v>
      </c>
      <c r="D1441" s="2" t="s">
        <v>20</v>
      </c>
      <c r="E1441" s="2" t="s">
        <v>30</v>
      </c>
      <c r="F1441" s="5">
        <v>21198.0</v>
      </c>
      <c r="G1441" s="5">
        <v>703.0</v>
      </c>
      <c r="H1441" s="5">
        <v>0.0332</v>
      </c>
      <c r="I1441" s="5">
        <v>1.96</v>
      </c>
      <c r="J1441" s="5">
        <v>1377.88</v>
      </c>
      <c r="K1441" s="5">
        <v>28.0</v>
      </c>
      <c r="L1441" s="5">
        <v>49.21</v>
      </c>
      <c r="M1441" s="5">
        <v>6226.83</v>
      </c>
      <c r="N1441" s="5">
        <v>4.52</v>
      </c>
      <c r="O1441" s="6">
        <f t="shared" si="1"/>
        <v>49.21</v>
      </c>
      <c r="P1441" s="6" t="str">
        <f t="shared" si="2"/>
        <v>Post-Shift</v>
      </c>
      <c r="Q1441" s="3">
        <f t="shared" si="3"/>
        <v>8</v>
      </c>
    </row>
    <row r="1442">
      <c r="A1442" s="4" t="s">
        <v>193</v>
      </c>
      <c r="B1442" s="2" t="s">
        <v>38</v>
      </c>
      <c r="C1442" s="2" t="s">
        <v>41</v>
      </c>
      <c r="D1442" s="2" t="s">
        <v>29</v>
      </c>
      <c r="E1442" s="2" t="s">
        <v>56</v>
      </c>
      <c r="F1442" s="5">
        <v>132208.0</v>
      </c>
      <c r="G1442" s="5">
        <v>3133.0</v>
      </c>
      <c r="H1442" s="5">
        <v>0.0237</v>
      </c>
      <c r="I1442" s="5">
        <v>1.57</v>
      </c>
      <c r="J1442" s="5">
        <v>4918.81</v>
      </c>
      <c r="K1442" s="5">
        <v>183.0</v>
      </c>
      <c r="L1442" s="5">
        <v>26.88</v>
      </c>
      <c r="M1442" s="5">
        <v>53669.78</v>
      </c>
      <c r="N1442" s="5">
        <v>10.91</v>
      </c>
      <c r="O1442" s="6">
        <f t="shared" si="1"/>
        <v>26.87874317</v>
      </c>
      <c r="P1442" s="6" t="str">
        <f t="shared" si="2"/>
        <v>Post-Shift</v>
      </c>
      <c r="Q1442" s="3">
        <f t="shared" si="3"/>
        <v>25</v>
      </c>
    </row>
    <row r="1443">
      <c r="A1443" s="4" t="s">
        <v>241</v>
      </c>
      <c r="B1443" s="2" t="s">
        <v>38</v>
      </c>
      <c r="C1443" s="2" t="s">
        <v>31</v>
      </c>
      <c r="D1443" s="2" t="s">
        <v>20</v>
      </c>
      <c r="E1443" s="2" t="s">
        <v>56</v>
      </c>
      <c r="F1443" s="5">
        <v>19040.0</v>
      </c>
      <c r="G1443" s="5">
        <v>784.0</v>
      </c>
      <c r="H1443" s="5">
        <v>0.0412</v>
      </c>
      <c r="I1443" s="5">
        <v>1.93</v>
      </c>
      <c r="J1443" s="5">
        <v>1513.12</v>
      </c>
      <c r="K1443" s="5">
        <v>39.0</v>
      </c>
      <c r="L1443" s="5">
        <v>38.8</v>
      </c>
      <c r="M1443" s="5">
        <v>5591.9</v>
      </c>
      <c r="N1443" s="5">
        <v>3.7</v>
      </c>
      <c r="O1443" s="6">
        <f t="shared" si="1"/>
        <v>38.79794872</v>
      </c>
      <c r="P1443" s="6" t="str">
        <f t="shared" si="2"/>
        <v>Post-Shift</v>
      </c>
      <c r="Q1443" s="3">
        <f t="shared" si="3"/>
        <v>7</v>
      </c>
    </row>
    <row r="1444">
      <c r="A1444" s="4" t="s">
        <v>238</v>
      </c>
      <c r="B1444" s="2" t="s">
        <v>18</v>
      </c>
      <c r="C1444" s="2" t="s">
        <v>41</v>
      </c>
      <c r="D1444" s="2" t="s">
        <v>29</v>
      </c>
      <c r="E1444" s="2" t="s">
        <v>56</v>
      </c>
      <c r="F1444" s="5">
        <v>157270.0</v>
      </c>
      <c r="G1444" s="5">
        <v>5535.0</v>
      </c>
      <c r="H1444" s="5">
        <v>0.0352</v>
      </c>
      <c r="I1444" s="5">
        <v>1.0</v>
      </c>
      <c r="J1444" s="5">
        <v>5535.0</v>
      </c>
      <c r="K1444" s="5">
        <v>356.0</v>
      </c>
      <c r="L1444" s="5">
        <v>15.55</v>
      </c>
      <c r="M1444" s="5">
        <v>86412.59</v>
      </c>
      <c r="N1444" s="5">
        <v>15.61</v>
      </c>
      <c r="O1444" s="6">
        <f t="shared" si="1"/>
        <v>15.54775281</v>
      </c>
      <c r="P1444" s="6" t="str">
        <f t="shared" si="2"/>
        <v>Post-Shift</v>
      </c>
      <c r="Q1444" s="3">
        <f t="shared" si="3"/>
        <v>11</v>
      </c>
    </row>
    <row r="1445">
      <c r="A1445" s="4">
        <v>45474.0</v>
      </c>
      <c r="B1445" s="2" t="s">
        <v>18</v>
      </c>
      <c r="C1445" s="2" t="s">
        <v>27</v>
      </c>
      <c r="D1445" s="2" t="s">
        <v>45</v>
      </c>
      <c r="E1445" s="2" t="s">
        <v>25</v>
      </c>
      <c r="F1445" s="5">
        <v>33433.0</v>
      </c>
      <c r="G1445" s="5">
        <v>1698.0</v>
      </c>
      <c r="H1445" s="5">
        <v>0.0508</v>
      </c>
      <c r="I1445" s="5">
        <v>2.93</v>
      </c>
      <c r="J1445" s="5">
        <v>4975.14</v>
      </c>
      <c r="K1445" s="5">
        <v>60.0</v>
      </c>
      <c r="L1445" s="5">
        <v>82.92</v>
      </c>
      <c r="M1445" s="5">
        <v>4216.81</v>
      </c>
      <c r="N1445" s="5">
        <v>0.85</v>
      </c>
      <c r="O1445" s="6">
        <f t="shared" si="1"/>
        <v>82.919</v>
      </c>
      <c r="P1445" s="6" t="str">
        <f t="shared" si="2"/>
        <v>Post-Shift</v>
      </c>
      <c r="Q1445" s="3">
        <f t="shared" si="3"/>
        <v>2</v>
      </c>
    </row>
    <row r="1446">
      <c r="A1446" s="4" t="s">
        <v>112</v>
      </c>
      <c r="B1446" s="2" t="s">
        <v>38</v>
      </c>
      <c r="C1446" s="2" t="s">
        <v>27</v>
      </c>
      <c r="D1446" s="2" t="s">
        <v>20</v>
      </c>
      <c r="E1446" s="2" t="s">
        <v>33</v>
      </c>
      <c r="F1446" s="5">
        <v>94786.0</v>
      </c>
      <c r="G1446" s="5">
        <v>2682.0</v>
      </c>
      <c r="H1446" s="5">
        <v>0.0283</v>
      </c>
      <c r="I1446" s="5">
        <v>1.5</v>
      </c>
      <c r="J1446" s="5">
        <v>4023.0</v>
      </c>
      <c r="K1446" s="5">
        <v>155.0</v>
      </c>
      <c r="L1446" s="5">
        <v>25.95</v>
      </c>
      <c r="M1446" s="5">
        <v>6510.51</v>
      </c>
      <c r="N1446" s="5">
        <v>1.62</v>
      </c>
      <c r="O1446" s="6">
        <f t="shared" si="1"/>
        <v>25.95483871</v>
      </c>
      <c r="P1446" s="6" t="str">
        <f t="shared" si="2"/>
        <v>Post-Shift</v>
      </c>
      <c r="Q1446" s="3">
        <f t="shared" si="3"/>
        <v>13</v>
      </c>
    </row>
    <row r="1447">
      <c r="A1447" s="4" t="s">
        <v>221</v>
      </c>
      <c r="B1447" s="2" t="s">
        <v>38</v>
      </c>
      <c r="C1447" s="2" t="s">
        <v>41</v>
      </c>
      <c r="D1447" s="2" t="s">
        <v>45</v>
      </c>
      <c r="E1447" s="2" t="s">
        <v>58</v>
      </c>
      <c r="F1447" s="5">
        <v>144895.0</v>
      </c>
      <c r="G1447" s="5">
        <v>2158.0</v>
      </c>
      <c r="H1447" s="5">
        <v>0.0149</v>
      </c>
      <c r="I1447" s="5">
        <v>1.92</v>
      </c>
      <c r="J1447" s="5">
        <v>4143.36</v>
      </c>
      <c r="K1447" s="5">
        <v>151.0</v>
      </c>
      <c r="L1447" s="5">
        <v>27.44</v>
      </c>
      <c r="M1447" s="5">
        <v>25541.81</v>
      </c>
      <c r="N1447" s="5">
        <v>6.16</v>
      </c>
      <c r="O1447" s="6">
        <f t="shared" si="1"/>
        <v>27.4394702</v>
      </c>
      <c r="P1447" s="6" t="str">
        <f t="shared" si="2"/>
        <v>Post-Shift</v>
      </c>
      <c r="Q1447" s="3">
        <f t="shared" si="3"/>
        <v>17</v>
      </c>
    </row>
    <row r="1448">
      <c r="A1448" s="4">
        <v>45577.0</v>
      </c>
      <c r="B1448" s="2" t="s">
        <v>38</v>
      </c>
      <c r="C1448" s="2" t="s">
        <v>41</v>
      </c>
      <c r="D1448" s="2" t="s">
        <v>20</v>
      </c>
      <c r="E1448" s="2" t="s">
        <v>33</v>
      </c>
      <c r="F1448" s="5">
        <v>57996.0</v>
      </c>
      <c r="G1448" s="5">
        <v>1705.0</v>
      </c>
      <c r="H1448" s="5">
        <v>0.0294</v>
      </c>
      <c r="I1448" s="5">
        <v>2.04</v>
      </c>
      <c r="J1448" s="5">
        <v>3478.2</v>
      </c>
      <c r="K1448" s="5">
        <v>127.0</v>
      </c>
      <c r="L1448" s="5">
        <v>27.39</v>
      </c>
      <c r="M1448" s="5">
        <v>26935.06</v>
      </c>
      <c r="N1448" s="5">
        <v>7.74</v>
      </c>
      <c r="O1448" s="6">
        <f t="shared" si="1"/>
        <v>27.38740157</v>
      </c>
      <c r="P1448" s="6" t="str">
        <f t="shared" si="2"/>
        <v>Post-Shift</v>
      </c>
      <c r="Q1448" s="3">
        <f t="shared" si="3"/>
        <v>50</v>
      </c>
    </row>
    <row r="1449">
      <c r="A1449" s="4">
        <v>45331.0</v>
      </c>
      <c r="B1449" s="2" t="s">
        <v>18</v>
      </c>
      <c r="C1449" s="2" t="s">
        <v>31</v>
      </c>
      <c r="D1449" s="2" t="s">
        <v>29</v>
      </c>
      <c r="E1449" s="2" t="s">
        <v>36</v>
      </c>
      <c r="F1449" s="5">
        <v>154631.0</v>
      </c>
      <c r="G1449" s="5">
        <v>4793.0</v>
      </c>
      <c r="H1449" s="5">
        <v>0.031</v>
      </c>
      <c r="I1449" s="5">
        <v>3.14</v>
      </c>
      <c r="J1449" s="5">
        <v>15050.02</v>
      </c>
      <c r="K1449" s="5">
        <v>155.0</v>
      </c>
      <c r="L1449" s="5">
        <v>97.1</v>
      </c>
      <c r="M1449" s="5">
        <v>15403.3</v>
      </c>
      <c r="N1449" s="5">
        <v>1.02</v>
      </c>
      <c r="O1449" s="6">
        <f t="shared" si="1"/>
        <v>97.09690323</v>
      </c>
      <c r="P1449" s="6" t="str">
        <f t="shared" si="2"/>
        <v>Baseline</v>
      </c>
      <c r="Q1449" s="3">
        <f t="shared" si="3"/>
        <v>36</v>
      </c>
    </row>
    <row r="1450">
      <c r="A1450" s="4" t="s">
        <v>89</v>
      </c>
      <c r="B1450" s="2" t="s">
        <v>38</v>
      </c>
      <c r="C1450" s="2" t="s">
        <v>27</v>
      </c>
      <c r="D1450" s="2" t="s">
        <v>32</v>
      </c>
      <c r="E1450" s="2" t="s">
        <v>33</v>
      </c>
      <c r="F1450" s="5">
        <v>56209.0</v>
      </c>
      <c r="G1450" s="5">
        <v>1405.0</v>
      </c>
      <c r="H1450" s="5">
        <v>0.025</v>
      </c>
      <c r="I1450" s="5">
        <v>2.39</v>
      </c>
      <c r="J1450" s="5">
        <v>3357.95</v>
      </c>
      <c r="K1450" s="5">
        <v>94.0</v>
      </c>
      <c r="L1450" s="5">
        <v>35.72</v>
      </c>
      <c r="M1450" s="5">
        <v>20195.05</v>
      </c>
      <c r="N1450" s="5">
        <v>6.01</v>
      </c>
      <c r="O1450" s="6">
        <f t="shared" si="1"/>
        <v>35.72287234</v>
      </c>
      <c r="P1450" s="6" t="str">
        <f t="shared" si="2"/>
        <v>Post-Shift</v>
      </c>
      <c r="Q1450" s="3">
        <f t="shared" si="3"/>
        <v>9</v>
      </c>
    </row>
    <row r="1451">
      <c r="A1451" s="4">
        <v>45450.0</v>
      </c>
      <c r="B1451" s="2" t="s">
        <v>23</v>
      </c>
      <c r="C1451" s="2" t="s">
        <v>27</v>
      </c>
      <c r="D1451" s="2" t="s">
        <v>32</v>
      </c>
      <c r="E1451" s="2" t="s">
        <v>36</v>
      </c>
      <c r="F1451" s="5">
        <v>187411.0</v>
      </c>
      <c r="G1451" s="5">
        <v>15667.0</v>
      </c>
      <c r="H1451" s="5">
        <v>0.0836</v>
      </c>
      <c r="I1451" s="5">
        <v>0.43</v>
      </c>
      <c r="J1451" s="5">
        <v>6736.81</v>
      </c>
      <c r="K1451" s="5">
        <v>996.0</v>
      </c>
      <c r="L1451" s="5">
        <v>6.76</v>
      </c>
      <c r="M1451" s="5">
        <v>51799.95</v>
      </c>
      <c r="N1451" s="5">
        <v>7.69</v>
      </c>
      <c r="O1451" s="6">
        <f t="shared" si="1"/>
        <v>6.763865462</v>
      </c>
      <c r="P1451" s="6" t="str">
        <f t="shared" si="2"/>
        <v>Baseline</v>
      </c>
      <c r="Q1451" s="3">
        <f t="shared" si="3"/>
        <v>27</v>
      </c>
    </row>
    <row r="1452">
      <c r="A1452" s="4">
        <v>45574.0</v>
      </c>
      <c r="B1452" s="2" t="s">
        <v>18</v>
      </c>
      <c r="C1452" s="2" t="s">
        <v>27</v>
      </c>
      <c r="D1452" s="2" t="s">
        <v>20</v>
      </c>
      <c r="E1452" s="2" t="s">
        <v>56</v>
      </c>
      <c r="F1452" s="5">
        <v>46583.0</v>
      </c>
      <c r="G1452" s="5">
        <v>2319.0</v>
      </c>
      <c r="H1452" s="5">
        <v>0.0498</v>
      </c>
      <c r="I1452" s="5">
        <v>2.76</v>
      </c>
      <c r="J1452" s="5">
        <v>6400.44</v>
      </c>
      <c r="K1452" s="5">
        <v>50.0</v>
      </c>
      <c r="L1452" s="5">
        <v>128.01</v>
      </c>
      <c r="M1452" s="5">
        <v>11413.39</v>
      </c>
      <c r="N1452" s="5">
        <v>1.78</v>
      </c>
      <c r="O1452" s="6">
        <f t="shared" si="1"/>
        <v>128.0088</v>
      </c>
      <c r="P1452" s="6" t="str">
        <f t="shared" si="2"/>
        <v>Post-Shift</v>
      </c>
      <c r="Q1452" s="3">
        <f t="shared" si="3"/>
        <v>37</v>
      </c>
    </row>
    <row r="1453">
      <c r="A1453" s="4">
        <v>45538.0</v>
      </c>
      <c r="B1453" s="2" t="s">
        <v>38</v>
      </c>
      <c r="C1453" s="2" t="s">
        <v>41</v>
      </c>
      <c r="D1453" s="2" t="s">
        <v>45</v>
      </c>
      <c r="E1453" s="2" t="s">
        <v>36</v>
      </c>
      <c r="F1453" s="5">
        <v>17438.0</v>
      </c>
      <c r="G1453" s="5">
        <v>371.0</v>
      </c>
      <c r="H1453" s="5">
        <v>0.0213</v>
      </c>
      <c r="I1453" s="5">
        <v>1.63</v>
      </c>
      <c r="J1453" s="5">
        <v>604.73</v>
      </c>
      <c r="K1453" s="5">
        <v>19.0</v>
      </c>
      <c r="L1453" s="5">
        <v>31.83</v>
      </c>
      <c r="M1453" s="5">
        <v>902.7</v>
      </c>
      <c r="N1453" s="5">
        <v>1.49</v>
      </c>
      <c r="O1453" s="6">
        <f t="shared" si="1"/>
        <v>31.82789474</v>
      </c>
      <c r="P1453" s="6" t="str">
        <f t="shared" si="2"/>
        <v>Post-Shift</v>
      </c>
      <c r="Q1453" s="3">
        <f t="shared" si="3"/>
        <v>10</v>
      </c>
    </row>
    <row r="1454">
      <c r="A1454" s="4">
        <v>45599.0</v>
      </c>
      <c r="B1454" s="2" t="s">
        <v>18</v>
      </c>
      <c r="C1454" s="2" t="s">
        <v>27</v>
      </c>
      <c r="D1454" s="2" t="s">
        <v>32</v>
      </c>
      <c r="E1454" s="2" t="s">
        <v>21</v>
      </c>
      <c r="F1454" s="5">
        <v>122784.0</v>
      </c>
      <c r="G1454" s="5">
        <v>6237.0</v>
      </c>
      <c r="H1454" s="5">
        <v>0.0508</v>
      </c>
      <c r="I1454" s="5">
        <v>2.69</v>
      </c>
      <c r="J1454" s="5">
        <v>16777.53</v>
      </c>
      <c r="K1454" s="5">
        <v>134.0</v>
      </c>
      <c r="L1454" s="5">
        <v>125.21</v>
      </c>
      <c r="M1454" s="5">
        <v>15407.61</v>
      </c>
      <c r="N1454" s="5">
        <v>0.92</v>
      </c>
      <c r="O1454" s="6">
        <f t="shared" si="1"/>
        <v>125.2054478</v>
      </c>
      <c r="P1454" s="6" t="str">
        <f t="shared" si="2"/>
        <v>Post-Shift</v>
      </c>
      <c r="Q1454" s="3">
        <f t="shared" si="3"/>
        <v>11</v>
      </c>
    </row>
    <row r="1455">
      <c r="A1455" s="4">
        <v>45513.0</v>
      </c>
      <c r="B1455" s="2" t="s">
        <v>38</v>
      </c>
      <c r="C1455" s="2" t="s">
        <v>31</v>
      </c>
      <c r="D1455" s="2" t="s">
        <v>24</v>
      </c>
      <c r="E1455" s="2" t="s">
        <v>33</v>
      </c>
      <c r="F1455" s="5">
        <v>151730.0</v>
      </c>
      <c r="G1455" s="5">
        <v>2063.0</v>
      </c>
      <c r="H1455" s="5">
        <v>0.0136</v>
      </c>
      <c r="I1455" s="5">
        <v>0.74</v>
      </c>
      <c r="J1455" s="5">
        <v>1526.62</v>
      </c>
      <c r="K1455" s="5">
        <v>32.0</v>
      </c>
      <c r="L1455" s="5">
        <v>47.71</v>
      </c>
      <c r="M1455" s="5">
        <v>6146.93</v>
      </c>
      <c r="N1455" s="5">
        <v>4.03</v>
      </c>
      <c r="O1455" s="6">
        <f t="shared" si="1"/>
        <v>47.706875</v>
      </c>
      <c r="P1455" s="6" t="str">
        <f t="shared" si="2"/>
        <v>Post-Shift</v>
      </c>
      <c r="Q1455" s="3">
        <f t="shared" si="3"/>
        <v>37</v>
      </c>
    </row>
    <row r="1456">
      <c r="A1456" s="4" t="s">
        <v>53</v>
      </c>
      <c r="B1456" s="2" t="s">
        <v>18</v>
      </c>
      <c r="C1456" s="2" t="s">
        <v>19</v>
      </c>
      <c r="D1456" s="2" t="s">
        <v>20</v>
      </c>
      <c r="E1456" s="2" t="s">
        <v>56</v>
      </c>
      <c r="F1456" s="5">
        <v>83498.0</v>
      </c>
      <c r="G1456" s="5">
        <v>3531.0</v>
      </c>
      <c r="H1456" s="5">
        <v>0.0423</v>
      </c>
      <c r="I1456" s="5">
        <v>1.03</v>
      </c>
      <c r="J1456" s="5">
        <v>3636.93</v>
      </c>
      <c r="K1456" s="5">
        <v>234.0</v>
      </c>
      <c r="L1456" s="5">
        <v>15.54</v>
      </c>
      <c r="M1456" s="5">
        <v>36561.1</v>
      </c>
      <c r="N1456" s="5">
        <v>10.05</v>
      </c>
      <c r="O1456" s="6">
        <f t="shared" si="1"/>
        <v>15.5424359</v>
      </c>
      <c r="P1456" s="6" t="str">
        <f t="shared" si="2"/>
        <v>Post-Shift</v>
      </c>
      <c r="Q1456" s="3">
        <f t="shared" si="3"/>
        <v>34</v>
      </c>
    </row>
    <row r="1457">
      <c r="A1457" s="4" t="s">
        <v>262</v>
      </c>
      <c r="B1457" s="2" t="s">
        <v>23</v>
      </c>
      <c r="C1457" s="2" t="s">
        <v>31</v>
      </c>
      <c r="D1457" s="2" t="s">
        <v>20</v>
      </c>
      <c r="E1457" s="2" t="s">
        <v>25</v>
      </c>
      <c r="F1457" s="5">
        <v>194060.0</v>
      </c>
      <c r="G1457" s="5">
        <v>11721.0</v>
      </c>
      <c r="H1457" s="5">
        <v>0.0604</v>
      </c>
      <c r="I1457" s="5">
        <v>1.73</v>
      </c>
      <c r="J1457" s="5">
        <v>20277.33</v>
      </c>
      <c r="K1457" s="5">
        <v>504.0</v>
      </c>
      <c r="L1457" s="5">
        <v>40.23</v>
      </c>
      <c r="M1457" s="5">
        <v>76238.77</v>
      </c>
      <c r="N1457" s="5">
        <v>3.76</v>
      </c>
      <c r="O1457" s="6">
        <f t="shared" si="1"/>
        <v>40.23279762</v>
      </c>
      <c r="P1457" s="6" t="str">
        <f t="shared" si="2"/>
        <v>Post-Shift</v>
      </c>
      <c r="Q1457" s="3">
        <f t="shared" si="3"/>
        <v>43</v>
      </c>
    </row>
    <row r="1458">
      <c r="A1458" s="4" t="s">
        <v>161</v>
      </c>
      <c r="B1458" s="2" t="s">
        <v>18</v>
      </c>
      <c r="C1458" s="2" t="s">
        <v>31</v>
      </c>
      <c r="D1458" s="2" t="s">
        <v>45</v>
      </c>
      <c r="E1458" s="2" t="s">
        <v>33</v>
      </c>
      <c r="F1458" s="5">
        <v>30118.0</v>
      </c>
      <c r="G1458" s="5">
        <v>951.0</v>
      </c>
      <c r="H1458" s="5">
        <v>0.0316</v>
      </c>
      <c r="I1458" s="5">
        <v>3.28</v>
      </c>
      <c r="J1458" s="5">
        <v>3119.28</v>
      </c>
      <c r="K1458" s="5">
        <v>30.0</v>
      </c>
      <c r="L1458" s="5">
        <v>103.98</v>
      </c>
      <c r="M1458" s="5">
        <v>2408.76</v>
      </c>
      <c r="N1458" s="5">
        <v>0.77</v>
      </c>
      <c r="O1458" s="6">
        <f t="shared" si="1"/>
        <v>103.976</v>
      </c>
      <c r="P1458" s="6" t="str">
        <f t="shared" si="2"/>
        <v>Post-Shift</v>
      </c>
      <c r="Q1458" s="3">
        <f t="shared" si="3"/>
        <v>12</v>
      </c>
    </row>
    <row r="1459">
      <c r="A1459" s="4">
        <v>45415.0</v>
      </c>
      <c r="B1459" s="2" t="s">
        <v>38</v>
      </c>
      <c r="C1459" s="2" t="s">
        <v>19</v>
      </c>
      <c r="D1459" s="2" t="s">
        <v>29</v>
      </c>
      <c r="E1459" s="2" t="s">
        <v>30</v>
      </c>
      <c r="F1459" s="5">
        <v>88904.0</v>
      </c>
      <c r="G1459" s="5">
        <v>1724.0</v>
      </c>
      <c r="H1459" s="5">
        <v>0.0194</v>
      </c>
      <c r="I1459" s="5">
        <v>1.0</v>
      </c>
      <c r="J1459" s="5">
        <v>1724.0</v>
      </c>
      <c r="K1459" s="5">
        <v>59.0</v>
      </c>
      <c r="L1459" s="5">
        <v>29.22</v>
      </c>
      <c r="M1459" s="5">
        <v>8894.16</v>
      </c>
      <c r="N1459" s="5">
        <v>5.16</v>
      </c>
      <c r="O1459" s="6">
        <f t="shared" si="1"/>
        <v>29.22033898</v>
      </c>
      <c r="P1459" s="6" t="str">
        <f t="shared" si="2"/>
        <v>Baseline</v>
      </c>
      <c r="Q1459" s="3">
        <f t="shared" si="3"/>
        <v>10</v>
      </c>
    </row>
    <row r="1460">
      <c r="A1460" s="4" t="s">
        <v>248</v>
      </c>
      <c r="B1460" s="2" t="s">
        <v>18</v>
      </c>
      <c r="C1460" s="2" t="s">
        <v>41</v>
      </c>
      <c r="D1460" s="2" t="s">
        <v>29</v>
      </c>
      <c r="E1460" s="2" t="s">
        <v>58</v>
      </c>
      <c r="F1460" s="5">
        <v>119911.0</v>
      </c>
      <c r="G1460" s="5">
        <v>4592.0</v>
      </c>
      <c r="H1460" s="5">
        <v>0.0383</v>
      </c>
      <c r="I1460" s="5">
        <v>2.83</v>
      </c>
      <c r="J1460" s="5">
        <v>12995.36</v>
      </c>
      <c r="K1460" s="5">
        <v>163.0</v>
      </c>
      <c r="L1460" s="5">
        <v>79.73</v>
      </c>
      <c r="M1460" s="5">
        <v>24856.01</v>
      </c>
      <c r="N1460" s="5">
        <v>1.91</v>
      </c>
      <c r="O1460" s="6">
        <f t="shared" si="1"/>
        <v>79.72613497</v>
      </c>
      <c r="P1460" s="6" t="str">
        <f t="shared" si="2"/>
        <v>Post-Shift</v>
      </c>
      <c r="Q1460" s="3">
        <f t="shared" si="3"/>
        <v>51</v>
      </c>
    </row>
    <row r="1461">
      <c r="A1461" s="4" t="s">
        <v>120</v>
      </c>
      <c r="B1461" s="2" t="s">
        <v>38</v>
      </c>
      <c r="C1461" s="2" t="s">
        <v>19</v>
      </c>
      <c r="D1461" s="2" t="s">
        <v>24</v>
      </c>
      <c r="E1461" s="2" t="s">
        <v>25</v>
      </c>
      <c r="F1461" s="5">
        <v>184702.0</v>
      </c>
      <c r="G1461" s="5">
        <v>5134.0</v>
      </c>
      <c r="H1461" s="5">
        <v>0.0278</v>
      </c>
      <c r="I1461" s="5">
        <v>2.01</v>
      </c>
      <c r="J1461" s="5">
        <v>10319.34</v>
      </c>
      <c r="K1461" s="5">
        <v>70.0</v>
      </c>
      <c r="L1461" s="5">
        <v>147.42</v>
      </c>
      <c r="M1461" s="5">
        <v>16883.49</v>
      </c>
      <c r="N1461" s="5">
        <v>1.64</v>
      </c>
      <c r="O1461" s="6">
        <f t="shared" si="1"/>
        <v>147.4191429</v>
      </c>
      <c r="P1461" s="6" t="str">
        <f t="shared" si="2"/>
        <v>Post-Shift</v>
      </c>
      <c r="Q1461" s="3">
        <f t="shared" si="3"/>
        <v>21</v>
      </c>
    </row>
    <row r="1462">
      <c r="A1462" s="4">
        <v>45600.0</v>
      </c>
      <c r="B1462" s="2" t="s">
        <v>38</v>
      </c>
      <c r="C1462" s="2" t="s">
        <v>27</v>
      </c>
      <c r="D1462" s="2" t="s">
        <v>20</v>
      </c>
      <c r="E1462" s="2" t="s">
        <v>30</v>
      </c>
      <c r="F1462" s="5">
        <v>5209.0</v>
      </c>
      <c r="G1462" s="5">
        <v>198.0</v>
      </c>
      <c r="H1462" s="5">
        <v>0.0381</v>
      </c>
      <c r="I1462" s="5">
        <v>0.7</v>
      </c>
      <c r="J1462" s="5">
        <v>138.6</v>
      </c>
      <c r="K1462" s="5">
        <v>3.0</v>
      </c>
      <c r="L1462" s="5">
        <v>46.2</v>
      </c>
      <c r="M1462" s="5">
        <v>490.6</v>
      </c>
      <c r="N1462" s="5">
        <v>3.54</v>
      </c>
      <c r="O1462" s="6">
        <f t="shared" si="1"/>
        <v>46.2</v>
      </c>
      <c r="P1462" s="6" t="str">
        <f t="shared" si="2"/>
        <v>Post-Shift</v>
      </c>
      <c r="Q1462" s="3">
        <f t="shared" si="3"/>
        <v>15</v>
      </c>
    </row>
    <row r="1463">
      <c r="A1463" s="4" t="s">
        <v>194</v>
      </c>
      <c r="B1463" s="2" t="s">
        <v>38</v>
      </c>
      <c r="C1463" s="2" t="s">
        <v>41</v>
      </c>
      <c r="D1463" s="2" t="s">
        <v>45</v>
      </c>
      <c r="E1463" s="2" t="s">
        <v>56</v>
      </c>
      <c r="F1463" s="5">
        <v>88717.0</v>
      </c>
      <c r="G1463" s="5">
        <v>816.0</v>
      </c>
      <c r="H1463" s="5">
        <v>0.0092</v>
      </c>
      <c r="I1463" s="5">
        <v>1.87</v>
      </c>
      <c r="J1463" s="5">
        <v>1525.92</v>
      </c>
      <c r="K1463" s="5">
        <v>46.0</v>
      </c>
      <c r="L1463" s="5">
        <v>33.17</v>
      </c>
      <c r="M1463" s="5">
        <v>4879.02</v>
      </c>
      <c r="N1463" s="5">
        <v>3.2</v>
      </c>
      <c r="O1463" s="6">
        <f t="shared" si="1"/>
        <v>33.17217391</v>
      </c>
      <c r="P1463" s="6" t="str">
        <f t="shared" si="2"/>
        <v>Post-Shift</v>
      </c>
      <c r="Q1463" s="3">
        <f t="shared" si="3"/>
        <v>25</v>
      </c>
    </row>
    <row r="1464">
      <c r="A1464" s="4">
        <v>45451.0</v>
      </c>
      <c r="B1464" s="2" t="s">
        <v>18</v>
      </c>
      <c r="C1464" s="2" t="s">
        <v>31</v>
      </c>
      <c r="D1464" s="2" t="s">
        <v>45</v>
      </c>
      <c r="E1464" s="2" t="s">
        <v>56</v>
      </c>
      <c r="F1464" s="5">
        <v>146788.0</v>
      </c>
      <c r="G1464" s="5">
        <v>6003.0</v>
      </c>
      <c r="H1464" s="5">
        <v>0.0409</v>
      </c>
      <c r="I1464" s="5">
        <v>2.42</v>
      </c>
      <c r="J1464" s="5">
        <v>14527.26</v>
      </c>
      <c r="K1464" s="5">
        <v>476.0</v>
      </c>
      <c r="L1464" s="5">
        <v>30.52</v>
      </c>
      <c r="M1464" s="5">
        <v>104420.1</v>
      </c>
      <c r="N1464" s="5">
        <v>7.19</v>
      </c>
      <c r="O1464" s="6">
        <f t="shared" si="1"/>
        <v>30.51945378</v>
      </c>
      <c r="P1464" s="6" t="str">
        <f t="shared" si="2"/>
        <v>Baseline</v>
      </c>
      <c r="Q1464" s="3">
        <f t="shared" si="3"/>
        <v>32</v>
      </c>
    </row>
    <row r="1465">
      <c r="A1465" s="4" t="s">
        <v>236</v>
      </c>
      <c r="B1465" s="2" t="s">
        <v>18</v>
      </c>
      <c r="C1465" s="2" t="s">
        <v>27</v>
      </c>
      <c r="D1465" s="2" t="s">
        <v>32</v>
      </c>
      <c r="E1465" s="2" t="s">
        <v>58</v>
      </c>
      <c r="F1465" s="5">
        <v>89052.0</v>
      </c>
      <c r="G1465" s="5">
        <v>2591.0</v>
      </c>
      <c r="H1465" s="5">
        <v>0.0291</v>
      </c>
      <c r="I1465" s="5">
        <v>3.66</v>
      </c>
      <c r="J1465" s="5">
        <v>9483.06</v>
      </c>
      <c r="K1465" s="5">
        <v>190.0</v>
      </c>
      <c r="L1465" s="5">
        <v>49.91</v>
      </c>
      <c r="M1465" s="5">
        <v>12653.72</v>
      </c>
      <c r="N1465" s="5">
        <v>1.33</v>
      </c>
      <c r="O1465" s="6">
        <f t="shared" si="1"/>
        <v>49.91084211</v>
      </c>
      <c r="P1465" s="6" t="str">
        <f t="shared" si="2"/>
        <v>Post-Shift</v>
      </c>
      <c r="Q1465" s="3">
        <f t="shared" si="3"/>
        <v>5</v>
      </c>
    </row>
    <row r="1466">
      <c r="A1466" s="4" t="s">
        <v>124</v>
      </c>
      <c r="B1466" s="2" t="s">
        <v>18</v>
      </c>
      <c r="C1466" s="2" t="s">
        <v>31</v>
      </c>
      <c r="D1466" s="2" t="s">
        <v>45</v>
      </c>
      <c r="E1466" s="2" t="s">
        <v>33</v>
      </c>
      <c r="F1466" s="5">
        <v>46971.0</v>
      </c>
      <c r="G1466" s="5">
        <v>2437.0</v>
      </c>
      <c r="H1466" s="5">
        <v>0.0519</v>
      </c>
      <c r="I1466" s="5">
        <v>2.04</v>
      </c>
      <c r="J1466" s="5">
        <v>4971.48</v>
      </c>
      <c r="K1466" s="5">
        <v>141.0</v>
      </c>
      <c r="L1466" s="5">
        <v>35.26</v>
      </c>
      <c r="M1466" s="5">
        <v>14817.7</v>
      </c>
      <c r="N1466" s="5">
        <v>2.98</v>
      </c>
      <c r="O1466" s="6">
        <f t="shared" si="1"/>
        <v>35.2587234</v>
      </c>
      <c r="P1466" s="6" t="str">
        <f t="shared" si="2"/>
        <v>Post-Shift</v>
      </c>
      <c r="Q1466" s="3">
        <f t="shared" si="3"/>
        <v>44</v>
      </c>
    </row>
    <row r="1467">
      <c r="A1467" s="4" t="s">
        <v>217</v>
      </c>
      <c r="B1467" s="2" t="s">
        <v>38</v>
      </c>
      <c r="C1467" s="2" t="s">
        <v>31</v>
      </c>
      <c r="D1467" s="2" t="s">
        <v>45</v>
      </c>
      <c r="E1467" s="2" t="s">
        <v>25</v>
      </c>
      <c r="F1467" s="5">
        <v>185419.0</v>
      </c>
      <c r="G1467" s="5">
        <v>7750.0</v>
      </c>
      <c r="H1467" s="5">
        <v>0.0418</v>
      </c>
      <c r="I1467" s="5">
        <v>1.38</v>
      </c>
      <c r="J1467" s="5">
        <v>10695.0</v>
      </c>
      <c r="K1467" s="5">
        <v>400.0</v>
      </c>
      <c r="L1467" s="5">
        <v>26.74</v>
      </c>
      <c r="M1467" s="5">
        <v>13470.33</v>
      </c>
      <c r="N1467" s="5">
        <v>1.26</v>
      </c>
      <c r="O1467" s="6">
        <f t="shared" si="1"/>
        <v>26.7375</v>
      </c>
      <c r="P1467" s="6" t="str">
        <f t="shared" si="2"/>
        <v>Post-Shift</v>
      </c>
      <c r="Q1467" s="3">
        <f t="shared" si="3"/>
        <v>39</v>
      </c>
    </row>
    <row r="1468">
      <c r="A1468" s="4" t="s">
        <v>186</v>
      </c>
      <c r="B1468" s="2" t="s">
        <v>18</v>
      </c>
      <c r="C1468" s="2" t="s">
        <v>41</v>
      </c>
      <c r="D1468" s="2" t="s">
        <v>24</v>
      </c>
      <c r="E1468" s="2" t="s">
        <v>21</v>
      </c>
      <c r="F1468" s="5">
        <v>36391.0</v>
      </c>
      <c r="G1468" s="5">
        <v>1684.0</v>
      </c>
      <c r="H1468" s="5">
        <v>0.0463</v>
      </c>
      <c r="I1468" s="5">
        <v>3.59</v>
      </c>
      <c r="J1468" s="5">
        <v>6045.56</v>
      </c>
      <c r="K1468" s="5">
        <v>18.0</v>
      </c>
      <c r="L1468" s="5">
        <v>335.86</v>
      </c>
      <c r="M1468" s="5">
        <v>4868.51</v>
      </c>
      <c r="N1468" s="5">
        <v>0.81</v>
      </c>
      <c r="O1468" s="6">
        <f t="shared" si="1"/>
        <v>335.8644444</v>
      </c>
      <c r="P1468" s="6" t="str">
        <f t="shared" si="2"/>
        <v>Post-Shift</v>
      </c>
      <c r="Q1468" s="3">
        <f t="shared" si="3"/>
        <v>26</v>
      </c>
    </row>
    <row r="1469">
      <c r="A1469" s="4">
        <v>45355.0</v>
      </c>
      <c r="B1469" s="2" t="s">
        <v>18</v>
      </c>
      <c r="C1469" s="2" t="s">
        <v>41</v>
      </c>
      <c r="D1469" s="2" t="s">
        <v>24</v>
      </c>
      <c r="E1469" s="2" t="s">
        <v>56</v>
      </c>
      <c r="F1469" s="5">
        <v>169575.0</v>
      </c>
      <c r="G1469" s="5">
        <v>3730.0</v>
      </c>
      <c r="H1469" s="5">
        <v>0.022</v>
      </c>
      <c r="I1469" s="5">
        <v>2.71</v>
      </c>
      <c r="J1469" s="5">
        <v>10108.3</v>
      </c>
      <c r="K1469" s="5">
        <v>284.0</v>
      </c>
      <c r="L1469" s="5">
        <v>35.59</v>
      </c>
      <c r="M1469" s="5">
        <v>8952.89</v>
      </c>
      <c r="N1469" s="5">
        <v>0.89</v>
      </c>
      <c r="O1469" s="6">
        <f t="shared" si="1"/>
        <v>35.59260563</v>
      </c>
      <c r="P1469" s="6" t="str">
        <f t="shared" si="2"/>
        <v>Baseline</v>
      </c>
      <c r="Q1469" s="3">
        <f t="shared" si="3"/>
        <v>14</v>
      </c>
    </row>
    <row r="1470">
      <c r="A1470" s="4" t="s">
        <v>146</v>
      </c>
      <c r="B1470" s="2" t="s">
        <v>18</v>
      </c>
      <c r="C1470" s="2" t="s">
        <v>27</v>
      </c>
      <c r="D1470" s="2" t="s">
        <v>45</v>
      </c>
      <c r="E1470" s="2" t="s">
        <v>25</v>
      </c>
      <c r="F1470" s="5">
        <v>146656.0</v>
      </c>
      <c r="G1470" s="5">
        <v>5719.0</v>
      </c>
      <c r="H1470" s="5">
        <v>0.039</v>
      </c>
      <c r="I1470" s="5">
        <v>1.75</v>
      </c>
      <c r="J1470" s="5">
        <v>10008.25</v>
      </c>
      <c r="K1470" s="5">
        <v>357.0</v>
      </c>
      <c r="L1470" s="5">
        <v>28.03</v>
      </c>
      <c r="M1470" s="5">
        <v>62250.35</v>
      </c>
      <c r="N1470" s="5">
        <v>6.22</v>
      </c>
      <c r="O1470" s="6">
        <f t="shared" si="1"/>
        <v>28.03431373</v>
      </c>
      <c r="P1470" s="6" t="str">
        <f t="shared" si="2"/>
        <v>Post-Shift</v>
      </c>
      <c r="Q1470" s="3">
        <f t="shared" si="3"/>
        <v>30</v>
      </c>
    </row>
    <row r="1471">
      <c r="A1471" s="4" t="s">
        <v>116</v>
      </c>
      <c r="B1471" s="2" t="s">
        <v>18</v>
      </c>
      <c r="C1471" s="2" t="s">
        <v>41</v>
      </c>
      <c r="D1471" s="2" t="s">
        <v>20</v>
      </c>
      <c r="E1471" s="2" t="s">
        <v>33</v>
      </c>
      <c r="F1471" s="5">
        <v>116972.0</v>
      </c>
      <c r="G1471" s="5">
        <v>6269.0</v>
      </c>
      <c r="H1471" s="5">
        <v>0.0536</v>
      </c>
      <c r="I1471" s="5">
        <v>2.83</v>
      </c>
      <c r="J1471" s="5">
        <v>17741.27</v>
      </c>
      <c r="K1471" s="5">
        <v>83.0</v>
      </c>
      <c r="L1471" s="5">
        <v>213.75</v>
      </c>
      <c r="M1471" s="5">
        <v>8852.61</v>
      </c>
      <c r="N1471" s="5">
        <v>0.5</v>
      </c>
      <c r="O1471" s="6">
        <f t="shared" si="1"/>
        <v>213.750241</v>
      </c>
      <c r="P1471" s="6" t="str">
        <f t="shared" si="2"/>
        <v>Post-Shift</v>
      </c>
      <c r="Q1471" s="3">
        <f t="shared" si="3"/>
        <v>21</v>
      </c>
    </row>
    <row r="1472">
      <c r="A1472" s="4" t="s">
        <v>252</v>
      </c>
      <c r="B1472" s="2" t="s">
        <v>38</v>
      </c>
      <c r="C1472" s="2" t="s">
        <v>19</v>
      </c>
      <c r="D1472" s="2" t="s">
        <v>32</v>
      </c>
      <c r="E1472" s="2" t="s">
        <v>36</v>
      </c>
      <c r="F1472" s="5">
        <v>45664.0</v>
      </c>
      <c r="G1472" s="5">
        <v>516.0</v>
      </c>
      <c r="H1472" s="5">
        <v>0.0113</v>
      </c>
      <c r="I1472" s="5">
        <v>1.67</v>
      </c>
      <c r="J1472" s="5">
        <v>861.72</v>
      </c>
      <c r="K1472" s="5">
        <v>34.0</v>
      </c>
      <c r="L1472" s="5">
        <v>25.34</v>
      </c>
      <c r="M1472" s="5">
        <v>7132.56</v>
      </c>
      <c r="N1472" s="5">
        <v>8.28</v>
      </c>
      <c r="O1472" s="6">
        <f t="shared" si="1"/>
        <v>25.34470588</v>
      </c>
      <c r="P1472" s="6" t="str">
        <f t="shared" si="2"/>
        <v>Post-Shift</v>
      </c>
      <c r="Q1472" s="3">
        <f t="shared" si="3"/>
        <v>47</v>
      </c>
    </row>
    <row r="1473">
      <c r="A1473" s="4" t="s">
        <v>105</v>
      </c>
      <c r="B1473" s="2" t="s">
        <v>38</v>
      </c>
      <c r="C1473" s="2" t="s">
        <v>31</v>
      </c>
      <c r="D1473" s="2" t="s">
        <v>32</v>
      </c>
      <c r="E1473" s="2" t="s">
        <v>25</v>
      </c>
      <c r="F1473" s="5">
        <v>125759.0</v>
      </c>
      <c r="G1473" s="5">
        <v>2804.0</v>
      </c>
      <c r="H1473" s="5">
        <v>0.0223</v>
      </c>
      <c r="I1473" s="5">
        <v>1.75</v>
      </c>
      <c r="J1473" s="5">
        <v>4907.0</v>
      </c>
      <c r="K1473" s="5">
        <v>164.0</v>
      </c>
      <c r="L1473" s="5">
        <v>29.92</v>
      </c>
      <c r="M1473" s="5">
        <v>46752.65</v>
      </c>
      <c r="N1473" s="5">
        <v>9.53</v>
      </c>
      <c r="O1473" s="6">
        <f t="shared" si="1"/>
        <v>29.92073171</v>
      </c>
      <c r="P1473" s="6" t="str">
        <f t="shared" si="2"/>
        <v>Post-Shift</v>
      </c>
      <c r="Q1473" s="3">
        <f t="shared" si="3"/>
        <v>51</v>
      </c>
    </row>
    <row r="1474">
      <c r="A1474" s="4" t="s">
        <v>190</v>
      </c>
      <c r="B1474" s="2" t="s">
        <v>18</v>
      </c>
      <c r="C1474" s="2" t="s">
        <v>31</v>
      </c>
      <c r="D1474" s="2" t="s">
        <v>24</v>
      </c>
      <c r="E1474" s="2" t="s">
        <v>21</v>
      </c>
      <c r="F1474" s="5">
        <v>26529.0</v>
      </c>
      <c r="G1474" s="5">
        <v>1106.0</v>
      </c>
      <c r="H1474" s="5">
        <v>0.0417</v>
      </c>
      <c r="I1474" s="5">
        <v>1.78</v>
      </c>
      <c r="J1474" s="5">
        <v>1968.68</v>
      </c>
      <c r="K1474" s="5">
        <v>78.0</v>
      </c>
      <c r="L1474" s="5">
        <v>25.24</v>
      </c>
      <c r="M1474" s="5">
        <v>2995.39</v>
      </c>
      <c r="N1474" s="5">
        <v>1.52</v>
      </c>
      <c r="O1474" s="6">
        <f t="shared" si="1"/>
        <v>25.23948718</v>
      </c>
      <c r="P1474" s="6" t="str">
        <f t="shared" si="2"/>
        <v>Post-Shift</v>
      </c>
      <c r="Q1474" s="3">
        <f t="shared" si="3"/>
        <v>13</v>
      </c>
    </row>
    <row r="1475">
      <c r="A1475" s="4" t="s">
        <v>108</v>
      </c>
      <c r="B1475" s="2" t="s">
        <v>23</v>
      </c>
      <c r="C1475" s="2" t="s">
        <v>31</v>
      </c>
      <c r="D1475" s="2" t="s">
        <v>24</v>
      </c>
      <c r="E1475" s="2" t="s">
        <v>56</v>
      </c>
      <c r="F1475" s="5">
        <v>114863.0</v>
      </c>
      <c r="G1475" s="5">
        <v>5766.0</v>
      </c>
      <c r="H1475" s="5">
        <v>0.0502</v>
      </c>
      <c r="I1475" s="5">
        <v>1.63</v>
      </c>
      <c r="J1475" s="5">
        <v>9398.58</v>
      </c>
      <c r="K1475" s="5">
        <v>89.0</v>
      </c>
      <c r="L1475" s="5">
        <v>105.6</v>
      </c>
      <c r="M1475" s="5">
        <v>22499.92</v>
      </c>
      <c r="N1475" s="5">
        <v>2.39</v>
      </c>
      <c r="O1475" s="6">
        <f t="shared" si="1"/>
        <v>105.6020225</v>
      </c>
      <c r="P1475" s="6" t="str">
        <f t="shared" si="2"/>
        <v>Post-Shift</v>
      </c>
      <c r="Q1475" s="3">
        <f t="shared" si="3"/>
        <v>50</v>
      </c>
    </row>
    <row r="1476">
      <c r="A1476" s="4" t="s">
        <v>256</v>
      </c>
      <c r="B1476" s="2" t="s">
        <v>38</v>
      </c>
      <c r="C1476" s="2" t="s">
        <v>41</v>
      </c>
      <c r="D1476" s="2" t="s">
        <v>29</v>
      </c>
      <c r="E1476" s="2" t="s">
        <v>30</v>
      </c>
      <c r="F1476" s="5">
        <v>171353.0</v>
      </c>
      <c r="G1476" s="5">
        <v>5534.0</v>
      </c>
      <c r="H1476" s="5">
        <v>0.0323</v>
      </c>
      <c r="I1476" s="5">
        <v>1.86</v>
      </c>
      <c r="J1476" s="5">
        <v>10293.24</v>
      </c>
      <c r="K1476" s="5">
        <v>221.0</v>
      </c>
      <c r="L1476" s="5">
        <v>46.58</v>
      </c>
      <c r="M1476" s="5">
        <v>52725.19</v>
      </c>
      <c r="N1476" s="5">
        <v>5.12</v>
      </c>
      <c r="O1476" s="6">
        <f t="shared" si="1"/>
        <v>46.57574661</v>
      </c>
      <c r="P1476" s="6" t="str">
        <f t="shared" si="2"/>
        <v>Post-Shift</v>
      </c>
      <c r="Q1476" s="3">
        <f t="shared" si="3"/>
        <v>43</v>
      </c>
    </row>
    <row r="1477">
      <c r="A1477" s="4" t="s">
        <v>130</v>
      </c>
      <c r="B1477" s="2" t="s">
        <v>38</v>
      </c>
      <c r="C1477" s="2" t="s">
        <v>31</v>
      </c>
      <c r="D1477" s="2" t="s">
        <v>24</v>
      </c>
      <c r="E1477" s="2" t="s">
        <v>25</v>
      </c>
      <c r="F1477" s="5">
        <v>49522.0</v>
      </c>
      <c r="G1477" s="5">
        <v>1554.0</v>
      </c>
      <c r="H1477" s="5">
        <v>0.0314</v>
      </c>
      <c r="I1477" s="5">
        <v>1.71</v>
      </c>
      <c r="J1477" s="5">
        <v>2657.34</v>
      </c>
      <c r="K1477" s="5">
        <v>23.0</v>
      </c>
      <c r="L1477" s="5">
        <v>115.54</v>
      </c>
      <c r="M1477" s="5">
        <v>1909.73</v>
      </c>
      <c r="N1477" s="5">
        <v>0.72</v>
      </c>
      <c r="O1477" s="6">
        <f t="shared" si="1"/>
        <v>115.5365217</v>
      </c>
      <c r="P1477" s="6" t="str">
        <f t="shared" si="2"/>
        <v>Post-Shift</v>
      </c>
      <c r="Q1477" s="3">
        <f t="shared" si="3"/>
        <v>52</v>
      </c>
    </row>
    <row r="1478">
      <c r="A1478" s="4">
        <v>45356.0</v>
      </c>
      <c r="B1478" s="2" t="s">
        <v>18</v>
      </c>
      <c r="C1478" s="2" t="s">
        <v>19</v>
      </c>
      <c r="D1478" s="2" t="s">
        <v>29</v>
      </c>
      <c r="E1478" s="2" t="s">
        <v>56</v>
      </c>
      <c r="F1478" s="5">
        <v>136135.0</v>
      </c>
      <c r="G1478" s="5">
        <v>7936.0</v>
      </c>
      <c r="H1478" s="5">
        <v>0.0583</v>
      </c>
      <c r="I1478" s="5">
        <v>1.36</v>
      </c>
      <c r="J1478" s="5">
        <v>10792.96</v>
      </c>
      <c r="K1478" s="5">
        <v>406.0</v>
      </c>
      <c r="L1478" s="5">
        <v>26.58</v>
      </c>
      <c r="M1478" s="5">
        <v>40442.85</v>
      </c>
      <c r="N1478" s="5">
        <v>3.75</v>
      </c>
      <c r="O1478" s="6">
        <f t="shared" si="1"/>
        <v>26.58364532</v>
      </c>
      <c r="P1478" s="6" t="str">
        <f t="shared" si="2"/>
        <v>Baseline</v>
      </c>
      <c r="Q1478" s="3">
        <f t="shared" si="3"/>
        <v>18</v>
      </c>
    </row>
    <row r="1479">
      <c r="A1479" s="4">
        <v>45601.0</v>
      </c>
      <c r="B1479" s="2" t="s">
        <v>38</v>
      </c>
      <c r="C1479" s="2" t="s">
        <v>27</v>
      </c>
      <c r="D1479" s="2" t="s">
        <v>29</v>
      </c>
      <c r="E1479" s="2" t="s">
        <v>25</v>
      </c>
      <c r="F1479" s="5">
        <v>172108.0</v>
      </c>
      <c r="G1479" s="5">
        <v>6109.0</v>
      </c>
      <c r="H1479" s="5">
        <v>0.0355</v>
      </c>
      <c r="I1479" s="5">
        <v>2.28</v>
      </c>
      <c r="J1479" s="5">
        <v>13928.52</v>
      </c>
      <c r="K1479" s="5">
        <v>435.0</v>
      </c>
      <c r="L1479" s="5">
        <v>32.02</v>
      </c>
      <c r="M1479" s="5">
        <v>13163.33</v>
      </c>
      <c r="N1479" s="5">
        <v>0.95</v>
      </c>
      <c r="O1479" s="6">
        <f t="shared" si="1"/>
        <v>32.01958621</v>
      </c>
      <c r="P1479" s="6" t="str">
        <f t="shared" si="2"/>
        <v>Post-Shift</v>
      </c>
      <c r="Q1479" s="3">
        <f t="shared" si="3"/>
        <v>19</v>
      </c>
    </row>
    <row r="1480">
      <c r="A1480" s="4" t="s">
        <v>256</v>
      </c>
      <c r="B1480" s="2" t="s">
        <v>23</v>
      </c>
      <c r="C1480" s="2" t="s">
        <v>27</v>
      </c>
      <c r="D1480" s="2" t="s">
        <v>24</v>
      </c>
      <c r="E1480" s="2" t="s">
        <v>56</v>
      </c>
      <c r="F1480" s="5">
        <v>193151.0</v>
      </c>
      <c r="G1480" s="5">
        <v>12168.0</v>
      </c>
      <c r="H1480" s="5">
        <v>0.063</v>
      </c>
      <c r="I1480" s="5">
        <v>1.13</v>
      </c>
      <c r="J1480" s="5">
        <v>13749.84</v>
      </c>
      <c r="K1480" s="5">
        <v>612.0</v>
      </c>
      <c r="L1480" s="5">
        <v>22.47</v>
      </c>
      <c r="M1480" s="5">
        <v>109401.0</v>
      </c>
      <c r="N1480" s="5">
        <v>7.96</v>
      </c>
      <c r="O1480" s="6">
        <f t="shared" si="1"/>
        <v>22.46705882</v>
      </c>
      <c r="P1480" s="6" t="str">
        <f t="shared" si="2"/>
        <v>Post-Shift</v>
      </c>
      <c r="Q1480" s="3">
        <f t="shared" si="3"/>
        <v>43</v>
      </c>
    </row>
    <row r="1481">
      <c r="A1481" s="4" t="s">
        <v>154</v>
      </c>
      <c r="B1481" s="2" t="s">
        <v>23</v>
      </c>
      <c r="C1481" s="2" t="s">
        <v>41</v>
      </c>
      <c r="D1481" s="2" t="s">
        <v>24</v>
      </c>
      <c r="E1481" s="2" t="s">
        <v>36</v>
      </c>
      <c r="F1481" s="5">
        <v>102519.0</v>
      </c>
      <c r="G1481" s="5">
        <v>4285.0</v>
      </c>
      <c r="H1481" s="5">
        <v>0.0418</v>
      </c>
      <c r="I1481" s="5">
        <v>1.2</v>
      </c>
      <c r="J1481" s="5">
        <v>5142.0</v>
      </c>
      <c r="K1481" s="5">
        <v>137.0</v>
      </c>
      <c r="L1481" s="5">
        <v>37.53</v>
      </c>
      <c r="M1481" s="5">
        <v>26733.75</v>
      </c>
      <c r="N1481" s="5">
        <v>5.2</v>
      </c>
      <c r="O1481" s="6">
        <f t="shared" si="1"/>
        <v>37.53284672</v>
      </c>
      <c r="P1481" s="6" t="str">
        <f t="shared" si="2"/>
        <v>Post-Shift</v>
      </c>
      <c r="Q1481" s="3">
        <f t="shared" si="3"/>
        <v>25</v>
      </c>
    </row>
    <row r="1482">
      <c r="A1482" s="4">
        <v>45452.0</v>
      </c>
      <c r="B1482" s="2" t="s">
        <v>18</v>
      </c>
      <c r="C1482" s="2" t="s">
        <v>31</v>
      </c>
      <c r="D1482" s="2" t="s">
        <v>29</v>
      </c>
      <c r="E1482" s="2" t="s">
        <v>33</v>
      </c>
      <c r="F1482" s="5">
        <v>36092.0</v>
      </c>
      <c r="G1482" s="5">
        <v>1050.0</v>
      </c>
      <c r="H1482" s="5">
        <v>0.0291</v>
      </c>
      <c r="I1482" s="5">
        <v>3.68</v>
      </c>
      <c r="J1482" s="5">
        <v>3864.0</v>
      </c>
      <c r="K1482" s="5">
        <v>34.0</v>
      </c>
      <c r="L1482" s="5">
        <v>113.65</v>
      </c>
      <c r="M1482" s="5">
        <v>1685.69</v>
      </c>
      <c r="N1482" s="5">
        <v>0.44</v>
      </c>
      <c r="O1482" s="6">
        <f t="shared" si="1"/>
        <v>113.6470588</v>
      </c>
      <c r="P1482" s="6" t="str">
        <f t="shared" si="2"/>
        <v>Baseline</v>
      </c>
      <c r="Q1482" s="3">
        <f t="shared" si="3"/>
        <v>36</v>
      </c>
    </row>
    <row r="1483">
      <c r="A1483" s="4">
        <v>45300.0</v>
      </c>
      <c r="B1483" s="2" t="s">
        <v>23</v>
      </c>
      <c r="C1483" s="2" t="s">
        <v>27</v>
      </c>
      <c r="D1483" s="2" t="s">
        <v>24</v>
      </c>
      <c r="E1483" s="2" t="s">
        <v>58</v>
      </c>
      <c r="F1483" s="5">
        <v>6628.0</v>
      </c>
      <c r="G1483" s="5">
        <v>261.0</v>
      </c>
      <c r="H1483" s="5">
        <v>0.0395</v>
      </c>
      <c r="I1483" s="5">
        <v>1.28</v>
      </c>
      <c r="J1483" s="5">
        <v>334.08</v>
      </c>
      <c r="K1483" s="5">
        <v>11.0</v>
      </c>
      <c r="L1483" s="5">
        <v>30.37</v>
      </c>
      <c r="M1483" s="5">
        <v>2224.48</v>
      </c>
      <c r="N1483" s="5">
        <v>6.66</v>
      </c>
      <c r="O1483" s="6">
        <f t="shared" si="1"/>
        <v>30.37090909</v>
      </c>
      <c r="P1483" s="6" t="str">
        <f t="shared" si="2"/>
        <v>Baseline</v>
      </c>
      <c r="Q1483" s="3">
        <f t="shared" si="3"/>
        <v>36</v>
      </c>
    </row>
    <row r="1484">
      <c r="A1484" s="4" t="s">
        <v>201</v>
      </c>
      <c r="B1484" s="2" t="s">
        <v>38</v>
      </c>
      <c r="C1484" s="2" t="s">
        <v>27</v>
      </c>
      <c r="D1484" s="2" t="s">
        <v>32</v>
      </c>
      <c r="E1484" s="2" t="s">
        <v>25</v>
      </c>
      <c r="F1484" s="5">
        <v>28593.0</v>
      </c>
      <c r="G1484" s="5">
        <v>694.0</v>
      </c>
      <c r="H1484" s="5">
        <v>0.0243</v>
      </c>
      <c r="I1484" s="5">
        <v>1.58</v>
      </c>
      <c r="J1484" s="5">
        <v>1096.52</v>
      </c>
      <c r="K1484" s="5">
        <v>7.0</v>
      </c>
      <c r="L1484" s="5">
        <v>156.65</v>
      </c>
      <c r="M1484" s="5">
        <v>2098.0</v>
      </c>
      <c r="N1484" s="5">
        <v>1.91</v>
      </c>
      <c r="O1484" s="6">
        <f t="shared" si="1"/>
        <v>156.6457143</v>
      </c>
      <c r="P1484" s="6" t="str">
        <f t="shared" si="2"/>
        <v>Post-Shift</v>
      </c>
      <c r="Q1484" s="3">
        <f t="shared" si="3"/>
        <v>12</v>
      </c>
    </row>
    <row r="1485">
      <c r="A1485" s="4">
        <v>45357.0</v>
      </c>
      <c r="B1485" s="2" t="s">
        <v>38</v>
      </c>
      <c r="C1485" s="2" t="s">
        <v>19</v>
      </c>
      <c r="D1485" s="2" t="s">
        <v>24</v>
      </c>
      <c r="E1485" s="2" t="s">
        <v>33</v>
      </c>
      <c r="F1485" s="5">
        <v>186845.0</v>
      </c>
      <c r="G1485" s="5">
        <v>4204.0</v>
      </c>
      <c r="H1485" s="5">
        <v>0.0225</v>
      </c>
      <c r="I1485" s="5">
        <v>1.81</v>
      </c>
      <c r="J1485" s="5">
        <v>7609.24</v>
      </c>
      <c r="K1485" s="5">
        <v>275.0</v>
      </c>
      <c r="L1485" s="5">
        <v>27.67</v>
      </c>
      <c r="M1485" s="5">
        <v>24004.25</v>
      </c>
      <c r="N1485" s="5">
        <v>3.15</v>
      </c>
      <c r="O1485" s="6">
        <f t="shared" si="1"/>
        <v>27.66996364</v>
      </c>
      <c r="P1485" s="6" t="str">
        <f t="shared" si="2"/>
        <v>Baseline</v>
      </c>
      <c r="Q1485" s="3">
        <f t="shared" si="3"/>
        <v>23</v>
      </c>
    </row>
    <row r="1486">
      <c r="A1486" s="4" t="s">
        <v>37</v>
      </c>
      <c r="B1486" s="2" t="s">
        <v>38</v>
      </c>
      <c r="C1486" s="2" t="s">
        <v>19</v>
      </c>
      <c r="D1486" s="2" t="s">
        <v>20</v>
      </c>
      <c r="E1486" s="2" t="s">
        <v>30</v>
      </c>
      <c r="F1486" s="5">
        <v>25930.0</v>
      </c>
      <c r="G1486" s="5">
        <v>609.0</v>
      </c>
      <c r="H1486" s="5">
        <v>0.0235</v>
      </c>
      <c r="I1486" s="5">
        <v>0.55</v>
      </c>
      <c r="J1486" s="5">
        <v>334.95</v>
      </c>
      <c r="K1486" s="5">
        <v>7.0</v>
      </c>
      <c r="L1486" s="5">
        <v>47.85</v>
      </c>
      <c r="M1486" s="5">
        <v>509.29</v>
      </c>
      <c r="N1486" s="5">
        <v>1.52</v>
      </c>
      <c r="O1486" s="6">
        <f t="shared" si="1"/>
        <v>47.85</v>
      </c>
      <c r="P1486" s="6" t="str">
        <f t="shared" si="2"/>
        <v>Post-Shift</v>
      </c>
      <c r="Q1486" s="3">
        <f t="shared" si="3"/>
        <v>33</v>
      </c>
    </row>
    <row r="1487">
      <c r="A1487" s="4" t="s">
        <v>103</v>
      </c>
      <c r="B1487" s="2" t="s">
        <v>18</v>
      </c>
      <c r="C1487" s="2" t="s">
        <v>41</v>
      </c>
      <c r="D1487" s="2" t="s">
        <v>20</v>
      </c>
      <c r="E1487" s="2" t="s">
        <v>21</v>
      </c>
      <c r="F1487" s="5">
        <v>114914.0</v>
      </c>
      <c r="G1487" s="5">
        <v>3803.0</v>
      </c>
      <c r="H1487" s="5">
        <v>0.0331</v>
      </c>
      <c r="I1487" s="5">
        <v>2.69</v>
      </c>
      <c r="J1487" s="5">
        <v>10230.07</v>
      </c>
      <c r="K1487" s="5">
        <v>224.0</v>
      </c>
      <c r="L1487" s="5">
        <v>45.67</v>
      </c>
      <c r="M1487" s="5">
        <v>67007.76</v>
      </c>
      <c r="N1487" s="5">
        <v>6.55</v>
      </c>
      <c r="O1487" s="6">
        <f t="shared" si="1"/>
        <v>45.66995536</v>
      </c>
      <c r="P1487" s="6" t="str">
        <f t="shared" si="2"/>
        <v>Post-Shift</v>
      </c>
      <c r="Q1487" s="3">
        <f t="shared" si="3"/>
        <v>43</v>
      </c>
    </row>
    <row r="1488">
      <c r="A1488" s="4" t="s">
        <v>95</v>
      </c>
      <c r="B1488" s="2" t="s">
        <v>18</v>
      </c>
      <c r="C1488" s="2" t="s">
        <v>41</v>
      </c>
      <c r="D1488" s="2" t="s">
        <v>24</v>
      </c>
      <c r="E1488" s="2" t="s">
        <v>58</v>
      </c>
      <c r="F1488" s="5">
        <v>34652.0</v>
      </c>
      <c r="G1488" s="5">
        <v>866.0</v>
      </c>
      <c r="H1488" s="5">
        <v>0.025</v>
      </c>
      <c r="I1488" s="5">
        <v>1.57</v>
      </c>
      <c r="J1488" s="5">
        <v>1359.62</v>
      </c>
      <c r="K1488" s="5">
        <v>43.0</v>
      </c>
      <c r="L1488" s="5">
        <v>31.62</v>
      </c>
      <c r="M1488" s="5">
        <v>2728.57</v>
      </c>
      <c r="N1488" s="5">
        <v>2.01</v>
      </c>
      <c r="O1488" s="6">
        <f t="shared" si="1"/>
        <v>31.61906977</v>
      </c>
      <c r="P1488" s="6" t="str">
        <f t="shared" si="2"/>
        <v>Post-Shift</v>
      </c>
      <c r="Q1488" s="3">
        <f t="shared" si="3"/>
        <v>39</v>
      </c>
    </row>
    <row r="1489">
      <c r="A1489" s="4" t="s">
        <v>249</v>
      </c>
      <c r="B1489" s="2" t="s">
        <v>18</v>
      </c>
      <c r="C1489" s="2" t="s">
        <v>41</v>
      </c>
      <c r="D1489" s="2" t="s">
        <v>24</v>
      </c>
      <c r="E1489" s="2" t="s">
        <v>56</v>
      </c>
      <c r="F1489" s="5">
        <v>136585.0</v>
      </c>
      <c r="G1489" s="5">
        <v>5668.0</v>
      </c>
      <c r="H1489" s="5">
        <v>0.0415</v>
      </c>
      <c r="I1489" s="5">
        <v>2.89</v>
      </c>
      <c r="J1489" s="5">
        <v>16380.52</v>
      </c>
      <c r="K1489" s="5">
        <v>120.0</v>
      </c>
      <c r="L1489" s="5">
        <v>136.5</v>
      </c>
      <c r="M1489" s="5">
        <v>20065.19</v>
      </c>
      <c r="N1489" s="5">
        <v>1.22</v>
      </c>
      <c r="O1489" s="6">
        <f t="shared" si="1"/>
        <v>136.5043333</v>
      </c>
      <c r="P1489" s="6" t="str">
        <f t="shared" si="2"/>
        <v>Post-Shift</v>
      </c>
      <c r="Q1489" s="3">
        <f t="shared" si="3"/>
        <v>8</v>
      </c>
    </row>
    <row r="1490">
      <c r="A1490" s="4" t="s">
        <v>214</v>
      </c>
      <c r="B1490" s="2" t="s">
        <v>18</v>
      </c>
      <c r="C1490" s="2" t="s">
        <v>41</v>
      </c>
      <c r="D1490" s="2" t="s">
        <v>29</v>
      </c>
      <c r="E1490" s="2" t="s">
        <v>36</v>
      </c>
      <c r="F1490" s="5">
        <v>192822.0</v>
      </c>
      <c r="G1490" s="5">
        <v>6228.0</v>
      </c>
      <c r="H1490" s="5">
        <v>0.0323</v>
      </c>
      <c r="I1490" s="5">
        <v>3.35</v>
      </c>
      <c r="J1490" s="5">
        <v>20863.8</v>
      </c>
      <c r="K1490" s="5">
        <v>87.0</v>
      </c>
      <c r="L1490" s="5">
        <v>239.81</v>
      </c>
      <c r="M1490" s="5">
        <v>18207.05</v>
      </c>
      <c r="N1490" s="5">
        <v>0.87</v>
      </c>
      <c r="O1490" s="6">
        <f t="shared" si="1"/>
        <v>239.8137931</v>
      </c>
      <c r="P1490" s="6" t="str">
        <f t="shared" si="2"/>
        <v>Post-Shift</v>
      </c>
      <c r="Q1490" s="3">
        <f t="shared" si="3"/>
        <v>47</v>
      </c>
    </row>
    <row r="1491">
      <c r="A1491" s="4" t="s">
        <v>55</v>
      </c>
      <c r="B1491" s="2" t="s">
        <v>18</v>
      </c>
      <c r="C1491" s="2" t="s">
        <v>19</v>
      </c>
      <c r="D1491" s="2" t="s">
        <v>29</v>
      </c>
      <c r="E1491" s="2" t="s">
        <v>25</v>
      </c>
      <c r="F1491" s="5">
        <v>63738.0</v>
      </c>
      <c r="G1491" s="5">
        <v>1306.0</v>
      </c>
      <c r="H1491" s="5">
        <v>0.0205</v>
      </c>
      <c r="I1491" s="5">
        <v>0.93</v>
      </c>
      <c r="J1491" s="5">
        <v>1214.58</v>
      </c>
      <c r="K1491" s="5">
        <v>87.0</v>
      </c>
      <c r="L1491" s="5">
        <v>13.96</v>
      </c>
      <c r="M1491" s="5">
        <v>16951.52</v>
      </c>
      <c r="N1491" s="5">
        <v>13.96</v>
      </c>
      <c r="O1491" s="6">
        <f t="shared" si="1"/>
        <v>13.96068966</v>
      </c>
      <c r="P1491" s="6" t="str">
        <f t="shared" si="2"/>
        <v>Post-Shift</v>
      </c>
      <c r="Q1491" s="3">
        <f t="shared" si="3"/>
        <v>53</v>
      </c>
    </row>
    <row r="1492">
      <c r="A1492" s="4" t="s">
        <v>89</v>
      </c>
      <c r="B1492" s="2" t="s">
        <v>18</v>
      </c>
      <c r="C1492" s="2" t="s">
        <v>19</v>
      </c>
      <c r="D1492" s="2" t="s">
        <v>20</v>
      </c>
      <c r="E1492" s="2" t="s">
        <v>56</v>
      </c>
      <c r="F1492" s="5">
        <v>28267.0</v>
      </c>
      <c r="G1492" s="5">
        <v>1769.0</v>
      </c>
      <c r="H1492" s="5">
        <v>0.0626</v>
      </c>
      <c r="I1492" s="5">
        <v>2.59</v>
      </c>
      <c r="J1492" s="5">
        <v>4581.71</v>
      </c>
      <c r="K1492" s="5">
        <v>33.0</v>
      </c>
      <c r="L1492" s="5">
        <v>138.84</v>
      </c>
      <c r="M1492" s="5">
        <v>1968.12</v>
      </c>
      <c r="N1492" s="5">
        <v>0.43</v>
      </c>
      <c r="O1492" s="6">
        <f t="shared" si="1"/>
        <v>138.839697</v>
      </c>
      <c r="P1492" s="6" t="str">
        <f t="shared" si="2"/>
        <v>Post-Shift</v>
      </c>
      <c r="Q1492" s="3">
        <f t="shared" si="3"/>
        <v>9</v>
      </c>
    </row>
    <row r="1493">
      <c r="A1493" s="4">
        <v>45386.0</v>
      </c>
      <c r="B1493" s="2" t="s">
        <v>38</v>
      </c>
      <c r="C1493" s="2" t="s">
        <v>41</v>
      </c>
      <c r="D1493" s="2" t="s">
        <v>20</v>
      </c>
      <c r="E1493" s="2" t="s">
        <v>58</v>
      </c>
      <c r="F1493" s="5">
        <v>42606.0</v>
      </c>
      <c r="G1493" s="5">
        <v>1495.0</v>
      </c>
      <c r="H1493" s="5">
        <v>0.0351</v>
      </c>
      <c r="I1493" s="5">
        <v>0.77</v>
      </c>
      <c r="J1493" s="5">
        <v>1151.15</v>
      </c>
      <c r="K1493" s="5">
        <v>96.0</v>
      </c>
      <c r="L1493" s="5">
        <v>11.99</v>
      </c>
      <c r="M1493" s="5">
        <v>14890.27</v>
      </c>
      <c r="N1493" s="5">
        <v>12.94</v>
      </c>
      <c r="O1493" s="6">
        <f t="shared" si="1"/>
        <v>11.99114583</v>
      </c>
      <c r="P1493" s="6" t="str">
        <f t="shared" si="2"/>
        <v>Baseline</v>
      </c>
      <c r="Q1493" s="3">
        <f t="shared" si="3"/>
        <v>14</v>
      </c>
    </row>
    <row r="1494">
      <c r="A1494" s="4" t="s">
        <v>22</v>
      </c>
      <c r="B1494" s="2" t="s">
        <v>23</v>
      </c>
      <c r="C1494" s="2" t="s">
        <v>41</v>
      </c>
      <c r="D1494" s="2" t="s">
        <v>29</v>
      </c>
      <c r="E1494" s="2" t="s">
        <v>36</v>
      </c>
      <c r="F1494" s="5">
        <v>120409.0</v>
      </c>
      <c r="G1494" s="5">
        <v>8356.0</v>
      </c>
      <c r="H1494" s="5">
        <v>0.0694</v>
      </c>
      <c r="I1494" s="5">
        <v>0.96</v>
      </c>
      <c r="J1494" s="5">
        <v>8021.76</v>
      </c>
      <c r="K1494" s="5">
        <v>663.0</v>
      </c>
      <c r="L1494" s="5">
        <v>12.1</v>
      </c>
      <c r="M1494" s="5">
        <v>50787.7</v>
      </c>
      <c r="N1494" s="5">
        <v>6.33</v>
      </c>
      <c r="O1494" s="6">
        <f t="shared" si="1"/>
        <v>12.09918552</v>
      </c>
      <c r="P1494" s="6" t="str">
        <f t="shared" si="2"/>
        <v>Post-Shift</v>
      </c>
      <c r="Q1494" s="3">
        <f t="shared" si="3"/>
        <v>4</v>
      </c>
    </row>
    <row r="1495">
      <c r="A1495" s="4">
        <v>45387.0</v>
      </c>
      <c r="B1495" s="2" t="s">
        <v>23</v>
      </c>
      <c r="C1495" s="2" t="s">
        <v>41</v>
      </c>
      <c r="D1495" s="2" t="s">
        <v>24</v>
      </c>
      <c r="E1495" s="2" t="s">
        <v>33</v>
      </c>
      <c r="F1495" s="5">
        <v>120210.0</v>
      </c>
      <c r="G1495" s="5">
        <v>6455.0</v>
      </c>
      <c r="H1495" s="5">
        <v>0.0537</v>
      </c>
      <c r="I1495" s="5">
        <v>1.78</v>
      </c>
      <c r="J1495" s="5">
        <v>11489.9</v>
      </c>
      <c r="K1495" s="5">
        <v>289.0</v>
      </c>
      <c r="L1495" s="5">
        <v>39.76</v>
      </c>
      <c r="M1495" s="5">
        <v>23286.47</v>
      </c>
      <c r="N1495" s="5">
        <v>2.03</v>
      </c>
      <c r="O1495" s="6">
        <f t="shared" si="1"/>
        <v>39.75743945</v>
      </c>
      <c r="P1495" s="6" t="str">
        <f t="shared" si="2"/>
        <v>Baseline</v>
      </c>
      <c r="Q1495" s="3">
        <f t="shared" si="3"/>
        <v>18</v>
      </c>
    </row>
    <row r="1496">
      <c r="A1496" s="4">
        <v>45481.0</v>
      </c>
      <c r="B1496" s="2" t="s">
        <v>38</v>
      </c>
      <c r="C1496" s="2" t="s">
        <v>19</v>
      </c>
      <c r="D1496" s="2" t="s">
        <v>29</v>
      </c>
      <c r="E1496" s="2" t="s">
        <v>21</v>
      </c>
      <c r="F1496" s="5">
        <v>96360.0</v>
      </c>
      <c r="G1496" s="5">
        <v>3247.0</v>
      </c>
      <c r="H1496" s="5">
        <v>0.0337</v>
      </c>
      <c r="I1496" s="5">
        <v>0.43</v>
      </c>
      <c r="J1496" s="5">
        <v>1396.21</v>
      </c>
      <c r="K1496" s="5">
        <v>211.0</v>
      </c>
      <c r="L1496" s="5">
        <v>6.62</v>
      </c>
      <c r="M1496" s="5">
        <v>50567.51</v>
      </c>
      <c r="N1496" s="5">
        <v>36.22</v>
      </c>
      <c r="O1496" s="6">
        <f t="shared" si="1"/>
        <v>6.617109005</v>
      </c>
      <c r="P1496" s="6" t="str">
        <f t="shared" si="2"/>
        <v>Post-Shift</v>
      </c>
      <c r="Q1496" s="3">
        <f t="shared" si="3"/>
        <v>32</v>
      </c>
    </row>
    <row r="1497">
      <c r="A1497" s="4" t="s">
        <v>44</v>
      </c>
      <c r="B1497" s="2" t="s">
        <v>23</v>
      </c>
      <c r="C1497" s="2" t="s">
        <v>31</v>
      </c>
      <c r="D1497" s="2" t="s">
        <v>24</v>
      </c>
      <c r="E1497" s="2" t="s">
        <v>36</v>
      </c>
      <c r="F1497" s="5">
        <v>186006.0</v>
      </c>
      <c r="G1497" s="5">
        <v>9002.0</v>
      </c>
      <c r="H1497" s="5">
        <v>0.0484</v>
      </c>
      <c r="I1497" s="5">
        <v>1.52</v>
      </c>
      <c r="J1497" s="5">
        <v>13683.04</v>
      </c>
      <c r="K1497" s="5">
        <v>266.0</v>
      </c>
      <c r="L1497" s="5">
        <v>51.44</v>
      </c>
      <c r="M1497" s="5">
        <v>31194.26</v>
      </c>
      <c r="N1497" s="5">
        <v>2.28</v>
      </c>
      <c r="O1497" s="6">
        <f t="shared" si="1"/>
        <v>51.44</v>
      </c>
      <c r="P1497" s="6" t="str">
        <f t="shared" si="2"/>
        <v>Post-Shift</v>
      </c>
      <c r="Q1497" s="3">
        <f t="shared" si="3"/>
        <v>17</v>
      </c>
    </row>
    <row r="1498">
      <c r="A1498" s="4" t="s">
        <v>66</v>
      </c>
      <c r="B1498" s="2" t="s">
        <v>18</v>
      </c>
      <c r="C1498" s="2" t="s">
        <v>31</v>
      </c>
      <c r="D1498" s="2" t="s">
        <v>45</v>
      </c>
      <c r="E1498" s="2" t="s">
        <v>33</v>
      </c>
      <c r="F1498" s="5">
        <v>34036.0</v>
      </c>
      <c r="G1498" s="5">
        <v>2086.0</v>
      </c>
      <c r="H1498" s="5">
        <v>0.0613</v>
      </c>
      <c r="I1498" s="5">
        <v>3.45</v>
      </c>
      <c r="J1498" s="5">
        <v>7196.7</v>
      </c>
      <c r="K1498" s="5">
        <v>110.0</v>
      </c>
      <c r="L1498" s="5">
        <v>65.42</v>
      </c>
      <c r="M1498" s="5">
        <v>21503.08</v>
      </c>
      <c r="N1498" s="5">
        <v>2.99</v>
      </c>
      <c r="O1498" s="6">
        <f t="shared" si="1"/>
        <v>65.42454545</v>
      </c>
      <c r="P1498" s="6" t="str">
        <f t="shared" si="2"/>
        <v>Post-Shift</v>
      </c>
      <c r="Q1498" s="3">
        <f t="shared" si="3"/>
        <v>42</v>
      </c>
    </row>
    <row r="1499">
      <c r="A1499" s="4">
        <v>45567.0</v>
      </c>
      <c r="B1499" s="2" t="s">
        <v>23</v>
      </c>
      <c r="C1499" s="2" t="s">
        <v>31</v>
      </c>
      <c r="D1499" s="2" t="s">
        <v>32</v>
      </c>
      <c r="E1499" s="2" t="s">
        <v>30</v>
      </c>
      <c r="F1499" s="5">
        <v>116709.0</v>
      </c>
      <c r="G1499" s="5">
        <v>6640.0</v>
      </c>
      <c r="H1499" s="5">
        <v>0.0569</v>
      </c>
      <c r="I1499" s="5">
        <v>1.97</v>
      </c>
      <c r="J1499" s="5">
        <v>13080.8</v>
      </c>
      <c r="K1499" s="5">
        <v>304.0</v>
      </c>
      <c r="L1499" s="5">
        <v>43.03</v>
      </c>
      <c r="M1499" s="5">
        <v>83458.18</v>
      </c>
      <c r="N1499" s="5">
        <v>6.38</v>
      </c>
      <c r="O1499" s="6">
        <f t="shared" si="1"/>
        <v>43.02894737</v>
      </c>
      <c r="P1499" s="6" t="str">
        <f t="shared" si="2"/>
        <v>Post-Shift</v>
      </c>
      <c r="Q1499" s="3">
        <f t="shared" si="3"/>
        <v>6</v>
      </c>
    </row>
    <row r="1500">
      <c r="A1500" s="4">
        <v>45418.0</v>
      </c>
      <c r="B1500" s="2" t="s">
        <v>38</v>
      </c>
      <c r="C1500" s="2" t="s">
        <v>31</v>
      </c>
      <c r="D1500" s="2" t="s">
        <v>24</v>
      </c>
      <c r="E1500" s="2" t="s">
        <v>25</v>
      </c>
      <c r="F1500" s="5">
        <v>98276.0</v>
      </c>
      <c r="G1500" s="5">
        <v>2368.0</v>
      </c>
      <c r="H1500" s="5">
        <v>0.0241</v>
      </c>
      <c r="I1500" s="5">
        <v>1.41</v>
      </c>
      <c r="J1500" s="5">
        <v>3338.88</v>
      </c>
      <c r="K1500" s="5">
        <v>115.0</v>
      </c>
      <c r="L1500" s="5">
        <v>29.03</v>
      </c>
      <c r="M1500" s="5">
        <v>21637.86</v>
      </c>
      <c r="N1500" s="5">
        <v>6.48</v>
      </c>
      <c r="O1500" s="6">
        <f t="shared" si="1"/>
        <v>29.03373913</v>
      </c>
      <c r="P1500" s="6" t="str">
        <f t="shared" si="2"/>
        <v>Baseline</v>
      </c>
      <c r="Q1500" s="3">
        <f t="shared" si="3"/>
        <v>23</v>
      </c>
    </row>
    <row r="1501">
      <c r="A1501" s="4" t="s">
        <v>255</v>
      </c>
      <c r="B1501" s="2" t="s">
        <v>18</v>
      </c>
      <c r="C1501" s="2" t="s">
        <v>31</v>
      </c>
      <c r="D1501" s="2" t="s">
        <v>24</v>
      </c>
      <c r="E1501" s="2" t="s">
        <v>25</v>
      </c>
      <c r="F1501" s="5">
        <v>162353.0</v>
      </c>
      <c r="G1501" s="5">
        <v>3977.0</v>
      </c>
      <c r="H1501" s="5">
        <v>0.0245</v>
      </c>
      <c r="I1501" s="5">
        <v>1.45</v>
      </c>
      <c r="J1501" s="5">
        <v>5766.65</v>
      </c>
      <c r="K1501" s="5">
        <v>57.0</v>
      </c>
      <c r="L1501" s="5">
        <v>101.17</v>
      </c>
      <c r="M1501" s="5">
        <v>15175.48</v>
      </c>
      <c r="N1501" s="5">
        <v>2.63</v>
      </c>
      <c r="O1501" s="6">
        <f t="shared" si="1"/>
        <v>101.1692982</v>
      </c>
      <c r="P1501" s="6" t="str">
        <f t="shared" si="2"/>
        <v>Post-Shift</v>
      </c>
      <c r="Q1501" s="3">
        <f t="shared" si="3"/>
        <v>38</v>
      </c>
    </row>
    <row r="1502">
      <c r="A1502" s="4">
        <v>45424.0</v>
      </c>
      <c r="B1502" s="2" t="s">
        <v>38</v>
      </c>
      <c r="C1502" s="2" t="s">
        <v>19</v>
      </c>
      <c r="D1502" s="2" t="s">
        <v>32</v>
      </c>
      <c r="E1502" s="2" t="s">
        <v>25</v>
      </c>
      <c r="F1502" s="5">
        <v>129790.0</v>
      </c>
      <c r="G1502" s="5">
        <v>5697.0</v>
      </c>
      <c r="H1502" s="5">
        <v>0.0439</v>
      </c>
      <c r="I1502" s="5">
        <v>0.52</v>
      </c>
      <c r="J1502" s="5">
        <v>2962.44</v>
      </c>
      <c r="K1502" s="5">
        <v>223.0</v>
      </c>
      <c r="L1502" s="5">
        <v>13.28</v>
      </c>
      <c r="M1502" s="5">
        <v>58627.34</v>
      </c>
      <c r="N1502" s="5">
        <v>19.79</v>
      </c>
      <c r="O1502" s="6">
        <f t="shared" si="1"/>
        <v>13.2844843</v>
      </c>
      <c r="P1502" s="6" t="str">
        <f t="shared" si="2"/>
        <v>Baseline</v>
      </c>
      <c r="Q1502" s="3">
        <f t="shared" si="3"/>
        <v>49</v>
      </c>
    </row>
    <row r="1503">
      <c r="A1503" s="4" t="s">
        <v>248</v>
      </c>
      <c r="B1503" s="2" t="s">
        <v>18</v>
      </c>
      <c r="C1503" s="2" t="s">
        <v>27</v>
      </c>
      <c r="D1503" s="2" t="s">
        <v>29</v>
      </c>
      <c r="E1503" s="2" t="s">
        <v>56</v>
      </c>
      <c r="F1503" s="5">
        <v>184982.0</v>
      </c>
      <c r="G1503" s="5">
        <v>4772.0</v>
      </c>
      <c r="H1503" s="5">
        <v>0.0258</v>
      </c>
      <c r="I1503" s="5">
        <v>3.08</v>
      </c>
      <c r="J1503" s="5">
        <v>14697.76</v>
      </c>
      <c r="K1503" s="5">
        <v>141.0</v>
      </c>
      <c r="L1503" s="5">
        <v>104.24</v>
      </c>
      <c r="M1503" s="5">
        <v>26098.46</v>
      </c>
      <c r="N1503" s="5">
        <v>1.78</v>
      </c>
      <c r="O1503" s="6">
        <f t="shared" si="1"/>
        <v>104.2394326</v>
      </c>
      <c r="P1503" s="6" t="str">
        <f t="shared" si="2"/>
        <v>Post-Shift</v>
      </c>
      <c r="Q1503" s="3">
        <f t="shared" si="3"/>
        <v>51</v>
      </c>
    </row>
    <row r="1504">
      <c r="A1504" s="4" t="s">
        <v>69</v>
      </c>
      <c r="B1504" s="2" t="s">
        <v>18</v>
      </c>
      <c r="C1504" s="2" t="s">
        <v>19</v>
      </c>
      <c r="D1504" s="2" t="s">
        <v>20</v>
      </c>
      <c r="E1504" s="2" t="s">
        <v>25</v>
      </c>
      <c r="F1504" s="5">
        <v>166673.0</v>
      </c>
      <c r="G1504" s="5">
        <v>4733.0</v>
      </c>
      <c r="H1504" s="5">
        <v>0.0284</v>
      </c>
      <c r="I1504" s="5">
        <v>0.84</v>
      </c>
      <c r="J1504" s="5">
        <v>3975.72</v>
      </c>
      <c r="K1504" s="5">
        <v>336.0</v>
      </c>
      <c r="L1504" s="5">
        <v>11.83</v>
      </c>
      <c r="M1504" s="5">
        <v>98987.51</v>
      </c>
      <c r="N1504" s="5">
        <v>24.9</v>
      </c>
      <c r="O1504" s="6">
        <f t="shared" si="1"/>
        <v>11.8325</v>
      </c>
      <c r="P1504" s="6" t="str">
        <f t="shared" si="2"/>
        <v>Post-Shift</v>
      </c>
      <c r="Q1504" s="3">
        <f t="shared" si="3"/>
        <v>33</v>
      </c>
    </row>
    <row r="1505">
      <c r="A1505" s="4">
        <v>45418.0</v>
      </c>
      <c r="B1505" s="2" t="s">
        <v>18</v>
      </c>
      <c r="C1505" s="2" t="s">
        <v>27</v>
      </c>
      <c r="D1505" s="2" t="s">
        <v>24</v>
      </c>
      <c r="E1505" s="2" t="s">
        <v>21</v>
      </c>
      <c r="F1505" s="5">
        <v>109148.0</v>
      </c>
      <c r="G1505" s="5">
        <v>3951.0</v>
      </c>
      <c r="H1505" s="5">
        <v>0.0362</v>
      </c>
      <c r="I1505" s="5">
        <v>1.79</v>
      </c>
      <c r="J1505" s="5">
        <v>7072.29</v>
      </c>
      <c r="K1505" s="5">
        <v>249.0</v>
      </c>
      <c r="L1505" s="5">
        <v>28.4</v>
      </c>
      <c r="M1505" s="5">
        <v>56329.34</v>
      </c>
      <c r="N1505" s="5">
        <v>7.96</v>
      </c>
      <c r="O1505" s="6">
        <f t="shared" si="1"/>
        <v>28.40277108</v>
      </c>
      <c r="P1505" s="6" t="str">
        <f t="shared" si="2"/>
        <v>Baseline</v>
      </c>
      <c r="Q1505" s="3">
        <f t="shared" si="3"/>
        <v>23</v>
      </c>
    </row>
    <row r="1506">
      <c r="A1506" s="4" t="s">
        <v>60</v>
      </c>
      <c r="B1506" s="2" t="s">
        <v>18</v>
      </c>
      <c r="C1506" s="2" t="s">
        <v>27</v>
      </c>
      <c r="D1506" s="2" t="s">
        <v>24</v>
      </c>
      <c r="E1506" s="2" t="s">
        <v>30</v>
      </c>
      <c r="F1506" s="5">
        <v>173700.0</v>
      </c>
      <c r="G1506" s="5">
        <v>7208.0</v>
      </c>
      <c r="H1506" s="5">
        <v>0.0415</v>
      </c>
      <c r="I1506" s="5">
        <v>2.29</v>
      </c>
      <c r="J1506" s="5">
        <v>16506.32</v>
      </c>
      <c r="K1506" s="5">
        <v>178.0</v>
      </c>
      <c r="L1506" s="5">
        <v>92.73</v>
      </c>
      <c r="M1506" s="5">
        <v>32171.36</v>
      </c>
      <c r="N1506" s="5">
        <v>1.95</v>
      </c>
      <c r="O1506" s="6">
        <f t="shared" si="1"/>
        <v>92.73213483</v>
      </c>
      <c r="P1506" s="6" t="str">
        <f t="shared" si="2"/>
        <v>Post-Shift</v>
      </c>
      <c r="Q1506" s="3">
        <f t="shared" si="3"/>
        <v>52</v>
      </c>
    </row>
    <row r="1507">
      <c r="A1507" s="4" t="s">
        <v>70</v>
      </c>
      <c r="B1507" s="2" t="s">
        <v>38</v>
      </c>
      <c r="C1507" s="2" t="s">
        <v>27</v>
      </c>
      <c r="D1507" s="2" t="s">
        <v>24</v>
      </c>
      <c r="E1507" s="2" t="s">
        <v>21</v>
      </c>
      <c r="F1507" s="5">
        <v>173001.0</v>
      </c>
      <c r="G1507" s="5">
        <v>3477.0</v>
      </c>
      <c r="H1507" s="5">
        <v>0.0201</v>
      </c>
      <c r="I1507" s="5">
        <v>0.95</v>
      </c>
      <c r="J1507" s="5">
        <v>3303.15</v>
      </c>
      <c r="K1507" s="5">
        <v>51.0</v>
      </c>
      <c r="L1507" s="5">
        <v>64.77</v>
      </c>
      <c r="M1507" s="5">
        <v>11186.61</v>
      </c>
      <c r="N1507" s="5">
        <v>3.39</v>
      </c>
      <c r="O1507" s="6">
        <f t="shared" si="1"/>
        <v>64.76764706</v>
      </c>
      <c r="P1507" s="6" t="str">
        <f t="shared" si="2"/>
        <v>Post-Shift</v>
      </c>
      <c r="Q1507" s="3">
        <f t="shared" si="3"/>
        <v>17</v>
      </c>
    </row>
    <row r="1508">
      <c r="A1508" s="4" t="s">
        <v>177</v>
      </c>
      <c r="B1508" s="2" t="s">
        <v>38</v>
      </c>
      <c r="C1508" s="2" t="s">
        <v>19</v>
      </c>
      <c r="D1508" s="2" t="s">
        <v>20</v>
      </c>
      <c r="E1508" s="2" t="s">
        <v>25</v>
      </c>
      <c r="F1508" s="5">
        <v>56534.0</v>
      </c>
      <c r="G1508" s="5">
        <v>1079.0</v>
      </c>
      <c r="H1508" s="5">
        <v>0.0191</v>
      </c>
      <c r="I1508" s="5">
        <v>0.6</v>
      </c>
      <c r="J1508" s="5">
        <v>647.4</v>
      </c>
      <c r="K1508" s="5">
        <v>27.0</v>
      </c>
      <c r="L1508" s="5">
        <v>23.98</v>
      </c>
      <c r="M1508" s="5">
        <v>4508.39</v>
      </c>
      <c r="N1508" s="5">
        <v>6.96</v>
      </c>
      <c r="O1508" s="6">
        <f t="shared" si="1"/>
        <v>23.97777778</v>
      </c>
      <c r="P1508" s="6" t="str">
        <f t="shared" si="2"/>
        <v>Post-Shift</v>
      </c>
      <c r="Q1508" s="3">
        <f t="shared" si="3"/>
        <v>5</v>
      </c>
    </row>
    <row r="1509">
      <c r="A1509" s="4" t="s">
        <v>105</v>
      </c>
      <c r="B1509" s="2" t="s">
        <v>18</v>
      </c>
      <c r="C1509" s="2" t="s">
        <v>19</v>
      </c>
      <c r="D1509" s="2" t="s">
        <v>29</v>
      </c>
      <c r="E1509" s="2" t="s">
        <v>58</v>
      </c>
      <c r="F1509" s="5">
        <v>58520.0</v>
      </c>
      <c r="G1509" s="5">
        <v>3604.0</v>
      </c>
      <c r="H1509" s="5">
        <v>0.0616</v>
      </c>
      <c r="I1509" s="5">
        <v>1.48</v>
      </c>
      <c r="J1509" s="5">
        <v>5333.92</v>
      </c>
      <c r="K1509" s="5">
        <v>265.0</v>
      </c>
      <c r="L1509" s="5">
        <v>20.13</v>
      </c>
      <c r="M1509" s="5">
        <v>78186.23</v>
      </c>
      <c r="N1509" s="5">
        <v>14.66</v>
      </c>
      <c r="O1509" s="6">
        <f t="shared" si="1"/>
        <v>20.128</v>
      </c>
      <c r="P1509" s="6" t="str">
        <f t="shared" si="2"/>
        <v>Post-Shift</v>
      </c>
      <c r="Q1509" s="3">
        <f t="shared" si="3"/>
        <v>51</v>
      </c>
    </row>
    <row r="1510">
      <c r="A1510" s="4">
        <v>45574.0</v>
      </c>
      <c r="B1510" s="2" t="s">
        <v>18</v>
      </c>
      <c r="C1510" s="2" t="s">
        <v>27</v>
      </c>
      <c r="D1510" s="2" t="s">
        <v>29</v>
      </c>
      <c r="E1510" s="2" t="s">
        <v>36</v>
      </c>
      <c r="F1510" s="5">
        <v>111071.0</v>
      </c>
      <c r="G1510" s="5">
        <v>2865.0</v>
      </c>
      <c r="H1510" s="5">
        <v>0.0258</v>
      </c>
      <c r="I1510" s="5">
        <v>2.83</v>
      </c>
      <c r="J1510" s="5">
        <v>8107.95</v>
      </c>
      <c r="K1510" s="5">
        <v>39.0</v>
      </c>
      <c r="L1510" s="5">
        <v>207.9</v>
      </c>
      <c r="M1510" s="5">
        <v>8971.28</v>
      </c>
      <c r="N1510" s="5">
        <v>1.11</v>
      </c>
      <c r="O1510" s="6">
        <f t="shared" si="1"/>
        <v>207.8961538</v>
      </c>
      <c r="P1510" s="6" t="str">
        <f t="shared" si="2"/>
        <v>Post-Shift</v>
      </c>
      <c r="Q1510" s="3">
        <f t="shared" si="3"/>
        <v>37</v>
      </c>
    </row>
    <row r="1511">
      <c r="A1511" s="4">
        <v>45508.0</v>
      </c>
      <c r="B1511" s="2" t="s">
        <v>18</v>
      </c>
      <c r="C1511" s="2" t="s">
        <v>31</v>
      </c>
      <c r="D1511" s="2" t="s">
        <v>32</v>
      </c>
      <c r="E1511" s="2" t="s">
        <v>56</v>
      </c>
      <c r="F1511" s="5">
        <v>153750.0</v>
      </c>
      <c r="G1511" s="5">
        <v>4920.0</v>
      </c>
      <c r="H1511" s="5">
        <v>0.032</v>
      </c>
      <c r="I1511" s="5">
        <v>2.98</v>
      </c>
      <c r="J1511" s="5">
        <v>14661.6</v>
      </c>
      <c r="K1511" s="5">
        <v>117.0</v>
      </c>
      <c r="L1511" s="5">
        <v>125.31</v>
      </c>
      <c r="M1511" s="5">
        <v>30000.6</v>
      </c>
      <c r="N1511" s="5">
        <v>2.05</v>
      </c>
      <c r="O1511" s="6">
        <f t="shared" si="1"/>
        <v>125.3128205</v>
      </c>
      <c r="P1511" s="6" t="str">
        <f t="shared" si="2"/>
        <v>Post-Shift</v>
      </c>
      <c r="Q1511" s="3">
        <f t="shared" si="3"/>
        <v>15</v>
      </c>
    </row>
    <row r="1512">
      <c r="A1512" s="4">
        <v>45327.0</v>
      </c>
      <c r="B1512" s="2" t="s">
        <v>38</v>
      </c>
      <c r="C1512" s="2" t="s">
        <v>41</v>
      </c>
      <c r="D1512" s="2" t="s">
        <v>32</v>
      </c>
      <c r="E1512" s="2" t="s">
        <v>30</v>
      </c>
      <c r="F1512" s="5">
        <v>108717.0</v>
      </c>
      <c r="G1512" s="5">
        <v>1435.0</v>
      </c>
      <c r="H1512" s="5">
        <v>0.0132</v>
      </c>
      <c r="I1512" s="5">
        <v>1.75</v>
      </c>
      <c r="J1512" s="5">
        <v>2511.25</v>
      </c>
      <c r="K1512" s="5">
        <v>108.0</v>
      </c>
      <c r="L1512" s="5">
        <v>23.25</v>
      </c>
      <c r="M1512" s="5">
        <v>22074.54</v>
      </c>
      <c r="N1512" s="5">
        <v>8.79</v>
      </c>
      <c r="O1512" s="6">
        <f t="shared" si="1"/>
        <v>23.25231481</v>
      </c>
      <c r="P1512" s="6" t="str">
        <f t="shared" si="2"/>
        <v>Baseline</v>
      </c>
      <c r="Q1512" s="3">
        <f t="shared" si="3"/>
        <v>18</v>
      </c>
    </row>
    <row r="1513">
      <c r="A1513" s="4" t="s">
        <v>78</v>
      </c>
      <c r="B1513" s="2" t="s">
        <v>18</v>
      </c>
      <c r="C1513" s="2" t="s">
        <v>31</v>
      </c>
      <c r="D1513" s="2" t="s">
        <v>45</v>
      </c>
      <c r="E1513" s="2" t="s">
        <v>56</v>
      </c>
      <c r="F1513" s="5">
        <v>141455.0</v>
      </c>
      <c r="G1513" s="5">
        <v>2673.0</v>
      </c>
      <c r="H1513" s="5">
        <v>0.0189</v>
      </c>
      <c r="I1513" s="5">
        <v>2.82</v>
      </c>
      <c r="J1513" s="5">
        <v>7537.86</v>
      </c>
      <c r="K1513" s="5">
        <v>122.0</v>
      </c>
      <c r="L1513" s="5">
        <v>61.79</v>
      </c>
      <c r="M1513" s="5">
        <v>19810.32</v>
      </c>
      <c r="N1513" s="5">
        <v>2.63</v>
      </c>
      <c r="O1513" s="6">
        <f t="shared" si="1"/>
        <v>61.7857377</v>
      </c>
      <c r="P1513" s="6" t="str">
        <f t="shared" si="2"/>
        <v>Post-Shift</v>
      </c>
      <c r="Q1513" s="3">
        <f t="shared" si="3"/>
        <v>24</v>
      </c>
    </row>
    <row r="1514">
      <c r="A1514" s="4">
        <v>45394.0</v>
      </c>
      <c r="B1514" s="2" t="s">
        <v>38</v>
      </c>
      <c r="C1514" s="2" t="s">
        <v>19</v>
      </c>
      <c r="D1514" s="2" t="s">
        <v>29</v>
      </c>
      <c r="E1514" s="2" t="s">
        <v>30</v>
      </c>
      <c r="F1514" s="5">
        <v>158742.0</v>
      </c>
      <c r="G1514" s="5">
        <v>5778.0</v>
      </c>
      <c r="H1514" s="5">
        <v>0.0364</v>
      </c>
      <c r="I1514" s="5">
        <v>2.17</v>
      </c>
      <c r="J1514" s="5">
        <v>12538.26</v>
      </c>
      <c r="K1514" s="5">
        <v>388.0</v>
      </c>
      <c r="L1514" s="5">
        <v>32.32</v>
      </c>
      <c r="M1514" s="5">
        <v>68610.11</v>
      </c>
      <c r="N1514" s="5">
        <v>5.47</v>
      </c>
      <c r="O1514" s="6">
        <f t="shared" si="1"/>
        <v>32.31510309</v>
      </c>
      <c r="P1514" s="6" t="str">
        <f t="shared" si="2"/>
        <v>Baseline</v>
      </c>
      <c r="Q1514" s="3">
        <f t="shared" si="3"/>
        <v>49</v>
      </c>
    </row>
    <row r="1515">
      <c r="A1515" s="4" t="s">
        <v>199</v>
      </c>
      <c r="B1515" s="2" t="s">
        <v>38</v>
      </c>
      <c r="C1515" s="2" t="s">
        <v>19</v>
      </c>
      <c r="D1515" s="2" t="s">
        <v>45</v>
      </c>
      <c r="E1515" s="2" t="s">
        <v>33</v>
      </c>
      <c r="F1515" s="5">
        <v>26845.0</v>
      </c>
      <c r="G1515" s="5">
        <v>528.0</v>
      </c>
      <c r="H1515" s="5">
        <v>0.0197</v>
      </c>
      <c r="I1515" s="5">
        <v>2.08</v>
      </c>
      <c r="J1515" s="5">
        <v>1098.24</v>
      </c>
      <c r="K1515" s="5">
        <v>11.0</v>
      </c>
      <c r="L1515" s="5">
        <v>99.84</v>
      </c>
      <c r="M1515" s="5">
        <v>1590.52</v>
      </c>
      <c r="N1515" s="5">
        <v>1.45</v>
      </c>
      <c r="O1515" s="6">
        <f t="shared" si="1"/>
        <v>99.84</v>
      </c>
      <c r="P1515" s="6" t="str">
        <f t="shared" si="2"/>
        <v>Post-Shift</v>
      </c>
      <c r="Q1515" s="3">
        <f t="shared" si="3"/>
        <v>17</v>
      </c>
    </row>
    <row r="1516">
      <c r="A1516" s="4">
        <v>45422.0</v>
      </c>
      <c r="B1516" s="2" t="s">
        <v>18</v>
      </c>
      <c r="C1516" s="2" t="s">
        <v>27</v>
      </c>
      <c r="D1516" s="2" t="s">
        <v>20</v>
      </c>
      <c r="E1516" s="2" t="s">
        <v>30</v>
      </c>
      <c r="F1516" s="5">
        <v>92332.0</v>
      </c>
      <c r="G1516" s="5">
        <v>5336.0</v>
      </c>
      <c r="H1516" s="5">
        <v>0.0578</v>
      </c>
      <c r="I1516" s="5">
        <v>0.94</v>
      </c>
      <c r="J1516" s="5">
        <v>5015.84</v>
      </c>
      <c r="K1516" s="5">
        <v>213.0</v>
      </c>
      <c r="L1516" s="5">
        <v>23.55</v>
      </c>
      <c r="M1516" s="5">
        <v>39347.29</v>
      </c>
      <c r="N1516" s="5">
        <v>7.84</v>
      </c>
      <c r="O1516" s="6">
        <f t="shared" si="1"/>
        <v>23.5485446</v>
      </c>
      <c r="P1516" s="6" t="str">
        <f t="shared" si="2"/>
        <v>Baseline</v>
      </c>
      <c r="Q1516" s="3">
        <f t="shared" si="3"/>
        <v>40</v>
      </c>
    </row>
    <row r="1517">
      <c r="A1517" s="4">
        <v>45421.0</v>
      </c>
      <c r="B1517" s="2" t="s">
        <v>18</v>
      </c>
      <c r="C1517" s="2" t="s">
        <v>19</v>
      </c>
      <c r="D1517" s="2" t="s">
        <v>45</v>
      </c>
      <c r="E1517" s="2" t="s">
        <v>56</v>
      </c>
      <c r="F1517" s="5">
        <v>90953.0</v>
      </c>
      <c r="G1517" s="5">
        <v>4365.0</v>
      </c>
      <c r="H1517" s="5">
        <v>0.048</v>
      </c>
      <c r="I1517" s="5">
        <v>3.04</v>
      </c>
      <c r="J1517" s="5">
        <v>13269.6</v>
      </c>
      <c r="K1517" s="5">
        <v>73.0</v>
      </c>
      <c r="L1517" s="5">
        <v>181.78</v>
      </c>
      <c r="M1517" s="5">
        <v>19836.75</v>
      </c>
      <c r="N1517" s="5">
        <v>1.49</v>
      </c>
      <c r="O1517" s="6">
        <f t="shared" si="1"/>
        <v>181.7753425</v>
      </c>
      <c r="P1517" s="6" t="str">
        <f t="shared" si="2"/>
        <v>Baseline</v>
      </c>
      <c r="Q1517" s="3">
        <f t="shared" si="3"/>
        <v>36</v>
      </c>
    </row>
    <row r="1518">
      <c r="A1518" s="4" t="s">
        <v>217</v>
      </c>
      <c r="B1518" s="2" t="s">
        <v>38</v>
      </c>
      <c r="C1518" s="2" t="s">
        <v>31</v>
      </c>
      <c r="D1518" s="2" t="s">
        <v>32</v>
      </c>
      <c r="E1518" s="2" t="s">
        <v>36</v>
      </c>
      <c r="F1518" s="5">
        <v>15047.0</v>
      </c>
      <c r="G1518" s="5">
        <v>368.0</v>
      </c>
      <c r="H1518" s="5">
        <v>0.0245</v>
      </c>
      <c r="I1518" s="5">
        <v>1.06</v>
      </c>
      <c r="J1518" s="5">
        <v>390.08</v>
      </c>
      <c r="K1518" s="5">
        <v>27.0</v>
      </c>
      <c r="L1518" s="5">
        <v>14.45</v>
      </c>
      <c r="M1518" s="5">
        <v>6244.19</v>
      </c>
      <c r="N1518" s="5">
        <v>16.01</v>
      </c>
      <c r="O1518" s="6">
        <f t="shared" si="1"/>
        <v>14.44740741</v>
      </c>
      <c r="P1518" s="6" t="str">
        <f t="shared" si="2"/>
        <v>Post-Shift</v>
      </c>
      <c r="Q1518" s="3">
        <f t="shared" si="3"/>
        <v>39</v>
      </c>
    </row>
    <row r="1519">
      <c r="A1519" s="4">
        <v>45630.0</v>
      </c>
      <c r="B1519" s="2" t="s">
        <v>18</v>
      </c>
      <c r="C1519" s="2" t="s">
        <v>19</v>
      </c>
      <c r="D1519" s="2" t="s">
        <v>29</v>
      </c>
      <c r="E1519" s="2" t="s">
        <v>21</v>
      </c>
      <c r="F1519" s="5">
        <v>57632.0</v>
      </c>
      <c r="G1519" s="5">
        <v>1256.0</v>
      </c>
      <c r="H1519" s="5">
        <v>0.0218</v>
      </c>
      <c r="I1519" s="5">
        <v>1.75</v>
      </c>
      <c r="J1519" s="5">
        <v>2198.0</v>
      </c>
      <c r="K1519" s="5">
        <v>20.0</v>
      </c>
      <c r="L1519" s="5">
        <v>109.9</v>
      </c>
      <c r="M1519" s="5">
        <v>1647.61</v>
      </c>
      <c r="N1519" s="5">
        <v>0.75</v>
      </c>
      <c r="O1519" s="6">
        <f t="shared" si="1"/>
        <v>109.9</v>
      </c>
      <c r="P1519" s="6" t="str">
        <f t="shared" si="2"/>
        <v>Post-Shift</v>
      </c>
      <c r="Q1519" s="3">
        <f t="shared" si="3"/>
        <v>15</v>
      </c>
    </row>
    <row r="1520">
      <c r="A1520" s="4" t="s">
        <v>118</v>
      </c>
      <c r="B1520" s="2" t="s">
        <v>23</v>
      </c>
      <c r="C1520" s="2" t="s">
        <v>31</v>
      </c>
      <c r="D1520" s="2" t="s">
        <v>24</v>
      </c>
      <c r="E1520" s="2" t="s">
        <v>21</v>
      </c>
      <c r="F1520" s="5">
        <v>193568.0</v>
      </c>
      <c r="G1520" s="5">
        <v>12659.0</v>
      </c>
      <c r="H1520" s="5">
        <v>0.0654</v>
      </c>
      <c r="I1520" s="5">
        <v>1.24</v>
      </c>
      <c r="J1520" s="5">
        <v>15697.16</v>
      </c>
      <c r="K1520" s="5">
        <v>366.0</v>
      </c>
      <c r="L1520" s="5">
        <v>42.89</v>
      </c>
      <c r="M1520" s="5">
        <v>17585.84</v>
      </c>
      <c r="N1520" s="5">
        <v>1.12</v>
      </c>
      <c r="O1520" s="6">
        <f t="shared" si="1"/>
        <v>42.8884153</v>
      </c>
      <c r="P1520" s="6" t="str">
        <f t="shared" si="2"/>
        <v>Post-Shift</v>
      </c>
      <c r="Q1520" s="3">
        <f t="shared" si="3"/>
        <v>44</v>
      </c>
    </row>
    <row r="1521">
      <c r="A1521" s="4" t="s">
        <v>109</v>
      </c>
      <c r="B1521" s="2" t="s">
        <v>18</v>
      </c>
      <c r="C1521" s="2" t="s">
        <v>27</v>
      </c>
      <c r="D1521" s="2" t="s">
        <v>32</v>
      </c>
      <c r="E1521" s="2" t="s">
        <v>33</v>
      </c>
      <c r="F1521" s="5">
        <v>30343.0</v>
      </c>
      <c r="G1521" s="5">
        <v>743.0</v>
      </c>
      <c r="H1521" s="5">
        <v>0.0245</v>
      </c>
      <c r="I1521" s="5">
        <v>3.05</v>
      </c>
      <c r="J1521" s="5">
        <v>2266.15</v>
      </c>
      <c r="K1521" s="5">
        <v>39.0</v>
      </c>
      <c r="L1521" s="5">
        <v>58.11</v>
      </c>
      <c r="M1521" s="5">
        <v>7450.31</v>
      </c>
      <c r="N1521" s="5">
        <v>3.29</v>
      </c>
      <c r="O1521" s="6">
        <f t="shared" si="1"/>
        <v>58.10641026</v>
      </c>
      <c r="P1521" s="6" t="str">
        <f t="shared" si="2"/>
        <v>Post-Shift</v>
      </c>
      <c r="Q1521" s="3">
        <f t="shared" si="3"/>
        <v>21</v>
      </c>
    </row>
    <row r="1522">
      <c r="A1522" s="4" t="s">
        <v>97</v>
      </c>
      <c r="B1522" s="2" t="s">
        <v>38</v>
      </c>
      <c r="C1522" s="2" t="s">
        <v>41</v>
      </c>
      <c r="D1522" s="2" t="s">
        <v>32</v>
      </c>
      <c r="E1522" s="2" t="s">
        <v>33</v>
      </c>
      <c r="F1522" s="5">
        <v>6903.0</v>
      </c>
      <c r="G1522" s="5">
        <v>225.0</v>
      </c>
      <c r="H1522" s="5">
        <v>0.0326</v>
      </c>
      <c r="I1522" s="5">
        <v>1.92</v>
      </c>
      <c r="J1522" s="5">
        <v>432.0</v>
      </c>
      <c r="K1522" s="5">
        <v>7.0</v>
      </c>
      <c r="L1522" s="5">
        <v>61.71</v>
      </c>
      <c r="M1522" s="5">
        <v>513.46</v>
      </c>
      <c r="N1522" s="5">
        <v>1.19</v>
      </c>
      <c r="O1522" s="6">
        <f t="shared" si="1"/>
        <v>61.71428571</v>
      </c>
      <c r="P1522" s="6" t="str">
        <f t="shared" si="2"/>
        <v>Post-Shift</v>
      </c>
      <c r="Q1522" s="3">
        <f t="shared" si="3"/>
        <v>34</v>
      </c>
    </row>
    <row r="1523">
      <c r="A1523" s="4" t="s">
        <v>114</v>
      </c>
      <c r="B1523" s="2" t="s">
        <v>23</v>
      </c>
      <c r="C1523" s="2" t="s">
        <v>41</v>
      </c>
      <c r="D1523" s="2" t="s">
        <v>32</v>
      </c>
      <c r="E1523" s="2" t="s">
        <v>30</v>
      </c>
      <c r="F1523" s="5">
        <v>194291.0</v>
      </c>
      <c r="G1523" s="5">
        <v>9248.0</v>
      </c>
      <c r="H1523" s="5">
        <v>0.0476</v>
      </c>
      <c r="I1523" s="5">
        <v>1.08</v>
      </c>
      <c r="J1523" s="5">
        <v>9987.84</v>
      </c>
      <c r="K1523" s="5">
        <v>669.0</v>
      </c>
      <c r="L1523" s="5">
        <v>14.93</v>
      </c>
      <c r="M1523" s="5">
        <v>34771.85</v>
      </c>
      <c r="N1523" s="5">
        <v>3.48</v>
      </c>
      <c r="O1523" s="6">
        <f t="shared" si="1"/>
        <v>14.92950673</v>
      </c>
      <c r="P1523" s="6" t="str">
        <f t="shared" si="2"/>
        <v>Post-Shift</v>
      </c>
      <c r="Q1523" s="3">
        <f t="shared" si="3"/>
        <v>8</v>
      </c>
    </row>
    <row r="1524">
      <c r="A1524" s="4">
        <v>45543.0</v>
      </c>
      <c r="B1524" s="2" t="s">
        <v>38</v>
      </c>
      <c r="C1524" s="2" t="s">
        <v>31</v>
      </c>
      <c r="D1524" s="2" t="s">
        <v>29</v>
      </c>
      <c r="E1524" s="2" t="s">
        <v>56</v>
      </c>
      <c r="F1524" s="5">
        <v>25704.0</v>
      </c>
      <c r="G1524" s="5">
        <v>616.0</v>
      </c>
      <c r="H1524" s="5">
        <v>0.024</v>
      </c>
      <c r="I1524" s="5">
        <v>1.0</v>
      </c>
      <c r="J1524" s="5">
        <v>616.0</v>
      </c>
      <c r="K1524" s="5">
        <v>18.0</v>
      </c>
      <c r="L1524" s="5">
        <v>34.22</v>
      </c>
      <c r="M1524" s="5">
        <v>2381.36</v>
      </c>
      <c r="N1524" s="5">
        <v>3.87</v>
      </c>
      <c r="O1524" s="6">
        <f t="shared" si="1"/>
        <v>34.22222222</v>
      </c>
      <c r="P1524" s="6" t="str">
        <f t="shared" si="2"/>
        <v>Post-Shift</v>
      </c>
      <c r="Q1524" s="3">
        <f t="shared" si="3"/>
        <v>32</v>
      </c>
    </row>
    <row r="1525">
      <c r="A1525" s="4" t="s">
        <v>181</v>
      </c>
      <c r="B1525" s="2" t="s">
        <v>18</v>
      </c>
      <c r="C1525" s="2" t="s">
        <v>41</v>
      </c>
      <c r="D1525" s="2" t="s">
        <v>29</v>
      </c>
      <c r="E1525" s="2" t="s">
        <v>33</v>
      </c>
      <c r="F1525" s="5">
        <v>18696.0</v>
      </c>
      <c r="G1525" s="5">
        <v>327.0</v>
      </c>
      <c r="H1525" s="5">
        <v>0.0175</v>
      </c>
      <c r="I1525" s="5">
        <v>2.61</v>
      </c>
      <c r="J1525" s="5">
        <v>853.47</v>
      </c>
      <c r="K1525" s="5">
        <v>8.0</v>
      </c>
      <c r="L1525" s="5">
        <v>106.68</v>
      </c>
      <c r="M1525" s="5">
        <v>1284.99</v>
      </c>
      <c r="N1525" s="5">
        <v>1.51</v>
      </c>
      <c r="O1525" s="6">
        <f t="shared" si="1"/>
        <v>106.68375</v>
      </c>
      <c r="P1525" s="6" t="str">
        <f t="shared" si="2"/>
        <v>Post-Shift</v>
      </c>
      <c r="Q1525" s="3">
        <f t="shared" si="3"/>
        <v>22</v>
      </c>
    </row>
    <row r="1526">
      <c r="A1526" s="4" t="s">
        <v>241</v>
      </c>
      <c r="B1526" s="2" t="s">
        <v>38</v>
      </c>
      <c r="C1526" s="2" t="s">
        <v>27</v>
      </c>
      <c r="D1526" s="2" t="s">
        <v>24</v>
      </c>
      <c r="E1526" s="2" t="s">
        <v>25</v>
      </c>
      <c r="F1526" s="5">
        <v>165408.0</v>
      </c>
      <c r="G1526" s="5">
        <v>1670.0</v>
      </c>
      <c r="H1526" s="5">
        <v>0.0101</v>
      </c>
      <c r="I1526" s="5">
        <v>1.3</v>
      </c>
      <c r="J1526" s="5">
        <v>2171.0</v>
      </c>
      <c r="K1526" s="5">
        <v>80.0</v>
      </c>
      <c r="L1526" s="5">
        <v>27.14</v>
      </c>
      <c r="M1526" s="5">
        <v>9561.0</v>
      </c>
      <c r="N1526" s="5">
        <v>4.4</v>
      </c>
      <c r="O1526" s="6">
        <f t="shared" si="1"/>
        <v>27.1375</v>
      </c>
      <c r="P1526" s="6" t="str">
        <f t="shared" si="2"/>
        <v>Post-Shift</v>
      </c>
      <c r="Q1526" s="3">
        <f t="shared" si="3"/>
        <v>7</v>
      </c>
    </row>
    <row r="1527">
      <c r="A1527" s="4" t="s">
        <v>184</v>
      </c>
      <c r="B1527" s="2" t="s">
        <v>18</v>
      </c>
      <c r="C1527" s="2" t="s">
        <v>19</v>
      </c>
      <c r="D1527" s="2" t="s">
        <v>45</v>
      </c>
      <c r="E1527" s="2" t="s">
        <v>58</v>
      </c>
      <c r="F1527" s="5">
        <v>191372.0</v>
      </c>
      <c r="G1527" s="5">
        <v>11711.0</v>
      </c>
      <c r="H1527" s="5">
        <v>0.0612</v>
      </c>
      <c r="I1527" s="5">
        <v>2.48</v>
      </c>
      <c r="J1527" s="5">
        <v>29043.28</v>
      </c>
      <c r="K1527" s="5">
        <v>335.0</v>
      </c>
      <c r="L1527" s="5">
        <v>86.7</v>
      </c>
      <c r="M1527" s="5">
        <v>75028.42</v>
      </c>
      <c r="N1527" s="5">
        <v>2.58</v>
      </c>
      <c r="O1527" s="6">
        <f t="shared" si="1"/>
        <v>86.69635821</v>
      </c>
      <c r="P1527" s="6" t="str">
        <f t="shared" si="2"/>
        <v>Post-Shift</v>
      </c>
      <c r="Q1527" s="3">
        <f t="shared" si="3"/>
        <v>16</v>
      </c>
    </row>
    <row r="1528">
      <c r="A1528" s="4">
        <v>45452.0</v>
      </c>
      <c r="B1528" s="2" t="s">
        <v>38</v>
      </c>
      <c r="C1528" s="2" t="s">
        <v>41</v>
      </c>
      <c r="D1528" s="2" t="s">
        <v>24</v>
      </c>
      <c r="E1528" s="2" t="s">
        <v>30</v>
      </c>
      <c r="F1528" s="5">
        <v>71247.0</v>
      </c>
      <c r="G1528" s="5">
        <v>1888.0</v>
      </c>
      <c r="H1528" s="5">
        <v>0.0265</v>
      </c>
      <c r="I1528" s="5">
        <v>0.47</v>
      </c>
      <c r="J1528" s="5">
        <v>887.36</v>
      </c>
      <c r="K1528" s="5">
        <v>57.0</v>
      </c>
      <c r="L1528" s="5">
        <v>15.57</v>
      </c>
      <c r="M1528" s="5">
        <v>9045.86</v>
      </c>
      <c r="N1528" s="5">
        <v>10.19</v>
      </c>
      <c r="O1528" s="6">
        <f t="shared" si="1"/>
        <v>15.5677193</v>
      </c>
      <c r="P1528" s="6" t="str">
        <f t="shared" si="2"/>
        <v>Baseline</v>
      </c>
      <c r="Q1528" s="3">
        <f t="shared" si="3"/>
        <v>36</v>
      </c>
    </row>
    <row r="1529">
      <c r="A1529" s="4">
        <v>45600.0</v>
      </c>
      <c r="B1529" s="2" t="s">
        <v>23</v>
      </c>
      <c r="C1529" s="2" t="s">
        <v>19</v>
      </c>
      <c r="D1529" s="2" t="s">
        <v>20</v>
      </c>
      <c r="E1529" s="2" t="s">
        <v>21</v>
      </c>
      <c r="F1529" s="5">
        <v>132294.0</v>
      </c>
      <c r="G1529" s="5">
        <v>7527.0</v>
      </c>
      <c r="H1529" s="5">
        <v>0.0569</v>
      </c>
      <c r="I1529" s="5">
        <v>0.9</v>
      </c>
      <c r="J1529" s="5">
        <v>6774.3</v>
      </c>
      <c r="K1529" s="5">
        <v>262.0</v>
      </c>
      <c r="L1529" s="5">
        <v>25.86</v>
      </c>
      <c r="M1529" s="5">
        <v>50030.33</v>
      </c>
      <c r="N1529" s="5">
        <v>7.39</v>
      </c>
      <c r="O1529" s="6">
        <f t="shared" si="1"/>
        <v>25.85610687</v>
      </c>
      <c r="P1529" s="6" t="str">
        <f t="shared" si="2"/>
        <v>Post-Shift</v>
      </c>
      <c r="Q1529" s="3">
        <f t="shared" si="3"/>
        <v>15</v>
      </c>
    </row>
    <row r="1530">
      <c r="A1530" s="4" t="s">
        <v>243</v>
      </c>
      <c r="B1530" s="2" t="s">
        <v>23</v>
      </c>
      <c r="C1530" s="2" t="s">
        <v>41</v>
      </c>
      <c r="D1530" s="2" t="s">
        <v>45</v>
      </c>
      <c r="E1530" s="2" t="s">
        <v>33</v>
      </c>
      <c r="F1530" s="5">
        <v>66086.0</v>
      </c>
      <c r="G1530" s="5">
        <v>3317.0</v>
      </c>
      <c r="H1530" s="5">
        <v>0.0502</v>
      </c>
      <c r="I1530" s="5">
        <v>0.33</v>
      </c>
      <c r="J1530" s="5">
        <v>1094.61</v>
      </c>
      <c r="K1530" s="5">
        <v>206.0</v>
      </c>
      <c r="L1530" s="5">
        <v>5.31</v>
      </c>
      <c r="M1530" s="5">
        <v>51119.73</v>
      </c>
      <c r="N1530" s="5">
        <v>46.7</v>
      </c>
      <c r="O1530" s="6">
        <f t="shared" si="1"/>
        <v>5.313640777</v>
      </c>
      <c r="P1530" s="6" t="str">
        <f t="shared" si="2"/>
        <v>Post-Shift</v>
      </c>
      <c r="Q1530" s="3">
        <f t="shared" si="3"/>
        <v>53</v>
      </c>
    </row>
    <row r="1531">
      <c r="A1531" s="4" t="s">
        <v>148</v>
      </c>
      <c r="B1531" s="2" t="s">
        <v>18</v>
      </c>
      <c r="C1531" s="2" t="s">
        <v>19</v>
      </c>
      <c r="D1531" s="2" t="s">
        <v>29</v>
      </c>
      <c r="E1531" s="2" t="s">
        <v>25</v>
      </c>
      <c r="F1531" s="5">
        <v>186232.0</v>
      </c>
      <c r="G1531" s="5">
        <v>9292.0</v>
      </c>
      <c r="H1531" s="5">
        <v>0.0499</v>
      </c>
      <c r="I1531" s="5">
        <v>2.4</v>
      </c>
      <c r="J1531" s="5">
        <v>22300.8</v>
      </c>
      <c r="K1531" s="5">
        <v>265.0</v>
      </c>
      <c r="L1531" s="5">
        <v>84.15</v>
      </c>
      <c r="M1531" s="5">
        <v>67766.02</v>
      </c>
      <c r="N1531" s="5">
        <v>3.04</v>
      </c>
      <c r="O1531" s="6">
        <f t="shared" si="1"/>
        <v>84.15396226</v>
      </c>
      <c r="P1531" s="6" t="str">
        <f t="shared" si="2"/>
        <v>Post-Shift</v>
      </c>
      <c r="Q1531" s="3">
        <f t="shared" si="3"/>
        <v>52</v>
      </c>
    </row>
    <row r="1532">
      <c r="A1532" s="4">
        <v>45302.0</v>
      </c>
      <c r="B1532" s="2" t="s">
        <v>23</v>
      </c>
      <c r="C1532" s="2" t="s">
        <v>31</v>
      </c>
      <c r="D1532" s="2" t="s">
        <v>29</v>
      </c>
      <c r="E1532" s="2" t="s">
        <v>56</v>
      </c>
      <c r="F1532" s="5">
        <v>145225.0</v>
      </c>
      <c r="G1532" s="5">
        <v>5562.0</v>
      </c>
      <c r="H1532" s="5">
        <v>0.0383</v>
      </c>
      <c r="I1532" s="5">
        <v>0.84</v>
      </c>
      <c r="J1532" s="5">
        <v>4672.08</v>
      </c>
      <c r="K1532" s="5">
        <v>378.0</v>
      </c>
      <c r="L1532" s="5">
        <v>12.36</v>
      </c>
      <c r="M1532" s="5">
        <v>102053.9</v>
      </c>
      <c r="N1532" s="5">
        <v>21.84</v>
      </c>
      <c r="O1532" s="6">
        <f t="shared" si="1"/>
        <v>12.36</v>
      </c>
      <c r="P1532" s="6" t="str">
        <f t="shared" si="2"/>
        <v>Baseline</v>
      </c>
      <c r="Q1532" s="3">
        <f t="shared" si="3"/>
        <v>44</v>
      </c>
    </row>
    <row r="1533">
      <c r="A1533" s="4" t="s">
        <v>147</v>
      </c>
      <c r="B1533" s="2" t="s">
        <v>18</v>
      </c>
      <c r="C1533" s="2" t="s">
        <v>19</v>
      </c>
      <c r="D1533" s="2" t="s">
        <v>32</v>
      </c>
      <c r="E1533" s="2" t="s">
        <v>33</v>
      </c>
      <c r="F1533" s="5">
        <v>15470.0</v>
      </c>
      <c r="G1533" s="5">
        <v>529.0</v>
      </c>
      <c r="H1533" s="5">
        <v>0.0342</v>
      </c>
      <c r="I1533" s="5">
        <v>1.2</v>
      </c>
      <c r="J1533" s="5">
        <v>634.8</v>
      </c>
      <c r="K1533" s="5">
        <v>5.0</v>
      </c>
      <c r="L1533" s="5">
        <v>126.96</v>
      </c>
      <c r="M1533" s="5">
        <v>1223.76</v>
      </c>
      <c r="N1533" s="5">
        <v>1.93</v>
      </c>
      <c r="O1533" s="6">
        <f t="shared" si="1"/>
        <v>126.96</v>
      </c>
      <c r="P1533" s="6" t="str">
        <f t="shared" si="2"/>
        <v>Post-Shift</v>
      </c>
      <c r="Q1533" s="3">
        <f t="shared" si="3"/>
        <v>22</v>
      </c>
    </row>
    <row r="1534">
      <c r="A1534" s="4">
        <v>45416.0</v>
      </c>
      <c r="B1534" s="2" t="s">
        <v>18</v>
      </c>
      <c r="C1534" s="2" t="s">
        <v>41</v>
      </c>
      <c r="D1534" s="2" t="s">
        <v>29</v>
      </c>
      <c r="E1534" s="2" t="s">
        <v>58</v>
      </c>
      <c r="F1534" s="5">
        <v>91814.0</v>
      </c>
      <c r="G1534" s="5">
        <v>2607.0</v>
      </c>
      <c r="H1534" s="5">
        <v>0.0284</v>
      </c>
      <c r="I1534" s="5">
        <v>2.48</v>
      </c>
      <c r="J1534" s="5">
        <v>6465.36</v>
      </c>
      <c r="K1534" s="5">
        <v>129.0</v>
      </c>
      <c r="L1534" s="5">
        <v>50.12</v>
      </c>
      <c r="M1534" s="5">
        <v>25405.84</v>
      </c>
      <c r="N1534" s="5">
        <v>3.93</v>
      </c>
      <c r="O1534" s="6">
        <f t="shared" si="1"/>
        <v>50.11906977</v>
      </c>
      <c r="P1534" s="6" t="str">
        <f t="shared" si="2"/>
        <v>Baseline</v>
      </c>
      <c r="Q1534" s="3">
        <f t="shared" si="3"/>
        <v>14</v>
      </c>
    </row>
    <row r="1535">
      <c r="A1535" s="4" t="s">
        <v>190</v>
      </c>
      <c r="B1535" s="2" t="s">
        <v>18</v>
      </c>
      <c r="C1535" s="2" t="s">
        <v>41</v>
      </c>
      <c r="D1535" s="2" t="s">
        <v>24</v>
      </c>
      <c r="E1535" s="2" t="s">
        <v>58</v>
      </c>
      <c r="F1535" s="5">
        <v>96087.0</v>
      </c>
      <c r="G1535" s="5">
        <v>3238.0</v>
      </c>
      <c r="H1535" s="5">
        <v>0.0337</v>
      </c>
      <c r="I1535" s="5">
        <v>3.04</v>
      </c>
      <c r="J1535" s="5">
        <v>9843.52</v>
      </c>
      <c r="K1535" s="5">
        <v>45.0</v>
      </c>
      <c r="L1535" s="5">
        <v>218.74</v>
      </c>
      <c r="M1535" s="5">
        <v>7783.0</v>
      </c>
      <c r="N1535" s="5">
        <v>0.79</v>
      </c>
      <c r="O1535" s="6">
        <f t="shared" si="1"/>
        <v>218.7448889</v>
      </c>
      <c r="P1535" s="6" t="str">
        <f t="shared" si="2"/>
        <v>Post-Shift</v>
      </c>
      <c r="Q1535" s="3">
        <f t="shared" si="3"/>
        <v>13</v>
      </c>
    </row>
    <row r="1536">
      <c r="A1536" s="4">
        <v>45629.0</v>
      </c>
      <c r="B1536" s="2" t="s">
        <v>18</v>
      </c>
      <c r="C1536" s="2" t="s">
        <v>31</v>
      </c>
      <c r="D1536" s="2" t="s">
        <v>20</v>
      </c>
      <c r="E1536" s="2" t="s">
        <v>33</v>
      </c>
      <c r="F1536" s="5">
        <v>92943.0</v>
      </c>
      <c r="G1536" s="5">
        <v>5037.0</v>
      </c>
      <c r="H1536" s="5">
        <v>0.0542</v>
      </c>
      <c r="I1536" s="5">
        <v>2.26</v>
      </c>
      <c r="J1536" s="5">
        <v>11383.62</v>
      </c>
      <c r="K1536" s="5">
        <v>232.0</v>
      </c>
      <c r="L1536" s="5">
        <v>49.07</v>
      </c>
      <c r="M1536" s="5">
        <v>64994.16</v>
      </c>
      <c r="N1536" s="5">
        <v>5.71</v>
      </c>
      <c r="O1536" s="6">
        <f t="shared" si="1"/>
        <v>49.06732759</v>
      </c>
      <c r="P1536" s="6" t="str">
        <f t="shared" si="2"/>
        <v>Post-Shift</v>
      </c>
      <c r="Q1536" s="3">
        <f t="shared" si="3"/>
        <v>11</v>
      </c>
    </row>
    <row r="1537">
      <c r="A1537" s="4">
        <v>45569.0</v>
      </c>
      <c r="B1537" s="2" t="s">
        <v>38</v>
      </c>
      <c r="C1537" s="2" t="s">
        <v>41</v>
      </c>
      <c r="D1537" s="2" t="s">
        <v>32</v>
      </c>
      <c r="E1537" s="2" t="s">
        <v>56</v>
      </c>
      <c r="F1537" s="5">
        <v>36411.0</v>
      </c>
      <c r="G1537" s="5">
        <v>873.0</v>
      </c>
      <c r="H1537" s="5">
        <v>0.024</v>
      </c>
      <c r="I1537" s="5">
        <v>2.03</v>
      </c>
      <c r="J1537" s="5">
        <v>1772.19</v>
      </c>
      <c r="K1537" s="5">
        <v>47.0</v>
      </c>
      <c r="L1537" s="5">
        <v>37.71</v>
      </c>
      <c r="M1537" s="5">
        <v>13565.96</v>
      </c>
      <c r="N1537" s="5">
        <v>7.65</v>
      </c>
      <c r="O1537" s="6">
        <f t="shared" si="1"/>
        <v>37.70617021</v>
      </c>
      <c r="P1537" s="6" t="str">
        <f t="shared" si="2"/>
        <v>Post-Shift</v>
      </c>
      <c r="Q1537" s="3">
        <f t="shared" si="3"/>
        <v>15</v>
      </c>
    </row>
    <row r="1538">
      <c r="A1538" s="4" t="s">
        <v>168</v>
      </c>
      <c r="B1538" s="2" t="s">
        <v>38</v>
      </c>
      <c r="C1538" s="2" t="s">
        <v>27</v>
      </c>
      <c r="D1538" s="2" t="s">
        <v>24</v>
      </c>
      <c r="E1538" s="2" t="s">
        <v>30</v>
      </c>
      <c r="F1538" s="5">
        <v>145170.0</v>
      </c>
      <c r="G1538" s="5">
        <v>4688.0</v>
      </c>
      <c r="H1538" s="5">
        <v>0.0323</v>
      </c>
      <c r="I1538" s="5">
        <v>1.75</v>
      </c>
      <c r="J1538" s="5">
        <v>8204.0</v>
      </c>
      <c r="K1538" s="5">
        <v>106.0</v>
      </c>
      <c r="L1538" s="5">
        <v>77.4</v>
      </c>
      <c r="M1538" s="5">
        <v>30413.14</v>
      </c>
      <c r="N1538" s="5">
        <v>3.71</v>
      </c>
      <c r="O1538" s="6">
        <f t="shared" si="1"/>
        <v>77.39622642</v>
      </c>
      <c r="P1538" s="6" t="str">
        <f t="shared" si="2"/>
        <v>Post-Shift</v>
      </c>
      <c r="Q1538" s="3">
        <f t="shared" si="3"/>
        <v>33</v>
      </c>
    </row>
    <row r="1539">
      <c r="A1539" s="4" t="s">
        <v>224</v>
      </c>
      <c r="B1539" s="2" t="s">
        <v>18</v>
      </c>
      <c r="C1539" s="2" t="s">
        <v>27</v>
      </c>
      <c r="D1539" s="2" t="s">
        <v>45</v>
      </c>
      <c r="E1539" s="2" t="s">
        <v>33</v>
      </c>
      <c r="F1539" s="5">
        <v>146428.0</v>
      </c>
      <c r="G1539" s="5">
        <v>2796.0</v>
      </c>
      <c r="H1539" s="5">
        <v>0.0191</v>
      </c>
      <c r="I1539" s="5">
        <v>2.24</v>
      </c>
      <c r="J1539" s="5">
        <v>6263.04</v>
      </c>
      <c r="K1539" s="5">
        <v>164.0</v>
      </c>
      <c r="L1539" s="5">
        <v>38.19</v>
      </c>
      <c r="M1539" s="5">
        <v>33829.22</v>
      </c>
      <c r="N1539" s="5">
        <v>5.4</v>
      </c>
      <c r="O1539" s="6">
        <f t="shared" si="1"/>
        <v>38.18926829</v>
      </c>
      <c r="P1539" s="6" t="str">
        <f t="shared" si="2"/>
        <v>Post-Shift</v>
      </c>
      <c r="Q1539" s="3">
        <f t="shared" si="3"/>
        <v>13</v>
      </c>
    </row>
    <row r="1540">
      <c r="A1540" s="4" t="s">
        <v>136</v>
      </c>
      <c r="B1540" s="2" t="s">
        <v>18</v>
      </c>
      <c r="C1540" s="2" t="s">
        <v>19</v>
      </c>
      <c r="D1540" s="2" t="s">
        <v>20</v>
      </c>
      <c r="E1540" s="2" t="s">
        <v>33</v>
      </c>
      <c r="F1540" s="5">
        <v>151772.0</v>
      </c>
      <c r="G1540" s="5">
        <v>6237.0</v>
      </c>
      <c r="H1540" s="5">
        <v>0.0411</v>
      </c>
      <c r="I1540" s="5">
        <v>1.02</v>
      </c>
      <c r="J1540" s="5">
        <v>6361.74</v>
      </c>
      <c r="K1540" s="5">
        <v>302.0</v>
      </c>
      <c r="L1540" s="5">
        <v>21.07</v>
      </c>
      <c r="M1540" s="5">
        <v>77929.21</v>
      </c>
      <c r="N1540" s="5">
        <v>12.25</v>
      </c>
      <c r="O1540" s="6">
        <f t="shared" si="1"/>
        <v>21.06536424</v>
      </c>
      <c r="P1540" s="6" t="str">
        <f t="shared" si="2"/>
        <v>Post-Shift</v>
      </c>
      <c r="Q1540" s="3">
        <f t="shared" si="3"/>
        <v>35</v>
      </c>
    </row>
    <row r="1541">
      <c r="A1541" s="4" t="s">
        <v>107</v>
      </c>
      <c r="B1541" s="2" t="s">
        <v>23</v>
      </c>
      <c r="C1541" s="2" t="s">
        <v>19</v>
      </c>
      <c r="D1541" s="2" t="s">
        <v>45</v>
      </c>
      <c r="E1541" s="2" t="s">
        <v>30</v>
      </c>
      <c r="F1541" s="5">
        <v>179561.0</v>
      </c>
      <c r="G1541" s="5">
        <v>8600.0</v>
      </c>
      <c r="H1541" s="5">
        <v>0.0479</v>
      </c>
      <c r="I1541" s="5">
        <v>1.44</v>
      </c>
      <c r="J1541" s="5">
        <v>12384.0</v>
      </c>
      <c r="K1541" s="5">
        <v>212.0</v>
      </c>
      <c r="L1541" s="5">
        <v>58.42</v>
      </c>
      <c r="M1541" s="5">
        <v>34386.07</v>
      </c>
      <c r="N1541" s="5">
        <v>2.78</v>
      </c>
      <c r="O1541" s="6">
        <f t="shared" si="1"/>
        <v>58.41509434</v>
      </c>
      <c r="P1541" s="6" t="str">
        <f t="shared" si="2"/>
        <v>Post-Shift</v>
      </c>
      <c r="Q1541" s="3">
        <f t="shared" si="3"/>
        <v>3</v>
      </c>
    </row>
    <row r="1542">
      <c r="A1542" s="4">
        <v>45605.0</v>
      </c>
      <c r="B1542" s="2" t="s">
        <v>18</v>
      </c>
      <c r="C1542" s="2" t="s">
        <v>19</v>
      </c>
      <c r="D1542" s="2" t="s">
        <v>24</v>
      </c>
      <c r="E1542" s="2" t="s">
        <v>21</v>
      </c>
      <c r="F1542" s="5">
        <v>100381.0</v>
      </c>
      <c r="G1542" s="5">
        <v>5691.0</v>
      </c>
      <c r="H1542" s="5">
        <v>0.0567</v>
      </c>
      <c r="I1542" s="5">
        <v>0.83</v>
      </c>
      <c r="J1542" s="5">
        <v>4723.53</v>
      </c>
      <c r="K1542" s="5">
        <v>321.0</v>
      </c>
      <c r="L1542" s="5">
        <v>14.72</v>
      </c>
      <c r="M1542" s="5">
        <v>58283.85</v>
      </c>
      <c r="N1542" s="5">
        <v>12.34</v>
      </c>
      <c r="O1542" s="6">
        <f t="shared" si="1"/>
        <v>14.71504673</v>
      </c>
      <c r="P1542" s="6" t="str">
        <f t="shared" si="2"/>
        <v>Post-Shift</v>
      </c>
      <c r="Q1542" s="3">
        <f t="shared" si="3"/>
        <v>37</v>
      </c>
    </row>
    <row r="1543">
      <c r="A1543" s="4" t="s">
        <v>148</v>
      </c>
      <c r="B1543" s="2" t="s">
        <v>23</v>
      </c>
      <c r="C1543" s="2" t="s">
        <v>41</v>
      </c>
      <c r="D1543" s="2" t="s">
        <v>45</v>
      </c>
      <c r="E1543" s="2" t="s">
        <v>56</v>
      </c>
      <c r="F1543" s="5">
        <v>180552.0</v>
      </c>
      <c r="G1543" s="5">
        <v>6030.0</v>
      </c>
      <c r="H1543" s="5">
        <v>0.0334</v>
      </c>
      <c r="I1543" s="5">
        <v>1.7</v>
      </c>
      <c r="J1543" s="5">
        <v>10251.0</v>
      </c>
      <c r="K1543" s="5">
        <v>383.0</v>
      </c>
      <c r="L1543" s="5">
        <v>26.77</v>
      </c>
      <c r="M1543" s="5">
        <v>23539.41</v>
      </c>
      <c r="N1543" s="5">
        <v>2.3</v>
      </c>
      <c r="O1543" s="6">
        <f t="shared" si="1"/>
        <v>26.76501305</v>
      </c>
      <c r="P1543" s="6" t="str">
        <f t="shared" si="2"/>
        <v>Post-Shift</v>
      </c>
      <c r="Q1543" s="3">
        <f t="shared" si="3"/>
        <v>52</v>
      </c>
    </row>
    <row r="1544">
      <c r="A1544" s="4">
        <v>45358.0</v>
      </c>
      <c r="B1544" s="2" t="s">
        <v>23</v>
      </c>
      <c r="C1544" s="2" t="s">
        <v>41</v>
      </c>
      <c r="D1544" s="2" t="s">
        <v>24</v>
      </c>
      <c r="E1544" s="2" t="s">
        <v>30</v>
      </c>
      <c r="F1544" s="5">
        <v>163328.0</v>
      </c>
      <c r="G1544" s="5">
        <v>4981.0</v>
      </c>
      <c r="H1544" s="5">
        <v>0.0305</v>
      </c>
      <c r="I1544" s="5">
        <v>1.21</v>
      </c>
      <c r="J1544" s="5">
        <v>6027.01</v>
      </c>
      <c r="K1544" s="5">
        <v>142.0</v>
      </c>
      <c r="L1544" s="5">
        <v>42.44</v>
      </c>
      <c r="M1544" s="5">
        <v>21158.33</v>
      </c>
      <c r="N1544" s="5">
        <v>3.51</v>
      </c>
      <c r="O1544" s="6">
        <f t="shared" si="1"/>
        <v>42.44373239</v>
      </c>
      <c r="P1544" s="6" t="str">
        <f t="shared" si="2"/>
        <v>Baseline</v>
      </c>
      <c r="Q1544" s="3">
        <f t="shared" si="3"/>
        <v>27</v>
      </c>
    </row>
    <row r="1545">
      <c r="A1545" s="4">
        <v>45357.0</v>
      </c>
      <c r="B1545" s="2" t="s">
        <v>23</v>
      </c>
      <c r="C1545" s="2" t="s">
        <v>41</v>
      </c>
      <c r="D1545" s="2" t="s">
        <v>24</v>
      </c>
      <c r="E1545" s="2" t="s">
        <v>30</v>
      </c>
      <c r="F1545" s="5">
        <v>93635.0</v>
      </c>
      <c r="G1545" s="5">
        <v>4363.0</v>
      </c>
      <c r="H1545" s="5">
        <v>0.0466</v>
      </c>
      <c r="I1545" s="5">
        <v>1.36</v>
      </c>
      <c r="J1545" s="5">
        <v>5933.68</v>
      </c>
      <c r="K1545" s="5">
        <v>117.0</v>
      </c>
      <c r="L1545" s="5">
        <v>50.72</v>
      </c>
      <c r="M1545" s="5">
        <v>29999.39</v>
      </c>
      <c r="N1545" s="5">
        <v>5.06</v>
      </c>
      <c r="O1545" s="6">
        <f t="shared" si="1"/>
        <v>50.71521368</v>
      </c>
      <c r="P1545" s="6" t="str">
        <f t="shared" si="2"/>
        <v>Baseline</v>
      </c>
      <c r="Q1545" s="3">
        <f t="shared" si="3"/>
        <v>23</v>
      </c>
    </row>
    <row r="1546">
      <c r="A1546" s="4" t="s">
        <v>243</v>
      </c>
      <c r="B1546" s="2" t="s">
        <v>18</v>
      </c>
      <c r="C1546" s="2" t="s">
        <v>41</v>
      </c>
      <c r="D1546" s="2" t="s">
        <v>32</v>
      </c>
      <c r="E1546" s="2" t="s">
        <v>21</v>
      </c>
      <c r="F1546" s="5">
        <v>133526.0</v>
      </c>
      <c r="G1546" s="5">
        <v>4633.0</v>
      </c>
      <c r="H1546" s="5">
        <v>0.0347</v>
      </c>
      <c r="I1546" s="5">
        <v>3.07</v>
      </c>
      <c r="J1546" s="5">
        <v>14223.31</v>
      </c>
      <c r="K1546" s="5">
        <v>340.0</v>
      </c>
      <c r="L1546" s="5">
        <v>41.83</v>
      </c>
      <c r="M1546" s="5">
        <v>62193.85</v>
      </c>
      <c r="N1546" s="5">
        <v>4.37</v>
      </c>
      <c r="O1546" s="6">
        <f t="shared" si="1"/>
        <v>41.83326471</v>
      </c>
      <c r="P1546" s="6" t="str">
        <f t="shared" si="2"/>
        <v>Post-Shift</v>
      </c>
      <c r="Q1546" s="3">
        <f t="shared" si="3"/>
        <v>53</v>
      </c>
    </row>
    <row r="1547">
      <c r="A1547" s="4">
        <v>45445.0</v>
      </c>
      <c r="B1547" s="2" t="s">
        <v>23</v>
      </c>
      <c r="C1547" s="2" t="s">
        <v>27</v>
      </c>
      <c r="D1547" s="2" t="s">
        <v>45</v>
      </c>
      <c r="E1547" s="2" t="s">
        <v>36</v>
      </c>
      <c r="F1547" s="5">
        <v>48475.0</v>
      </c>
      <c r="G1547" s="5">
        <v>3160.0</v>
      </c>
      <c r="H1547" s="5">
        <v>0.0652</v>
      </c>
      <c r="I1547" s="5">
        <v>0.76</v>
      </c>
      <c r="J1547" s="5">
        <v>2401.6</v>
      </c>
      <c r="K1547" s="5">
        <v>124.0</v>
      </c>
      <c r="L1547" s="5">
        <v>19.37</v>
      </c>
      <c r="M1547" s="5">
        <v>19990.89</v>
      </c>
      <c r="N1547" s="5">
        <v>8.32</v>
      </c>
      <c r="O1547" s="6">
        <f t="shared" si="1"/>
        <v>19.36774194</v>
      </c>
      <c r="P1547" s="6" t="str">
        <f t="shared" si="2"/>
        <v>Baseline</v>
      </c>
      <c r="Q1547" s="3">
        <f t="shared" si="3"/>
        <v>6</v>
      </c>
    </row>
    <row r="1548">
      <c r="A1548" s="4" t="s">
        <v>43</v>
      </c>
      <c r="B1548" s="2" t="s">
        <v>23</v>
      </c>
      <c r="C1548" s="2" t="s">
        <v>27</v>
      </c>
      <c r="D1548" s="2" t="s">
        <v>20</v>
      </c>
      <c r="E1548" s="2" t="s">
        <v>56</v>
      </c>
      <c r="F1548" s="5">
        <v>195722.0</v>
      </c>
      <c r="G1548" s="5">
        <v>12624.0</v>
      </c>
      <c r="H1548" s="5">
        <v>0.0645</v>
      </c>
      <c r="I1548" s="5">
        <v>2.01</v>
      </c>
      <c r="J1548" s="5">
        <v>25374.24</v>
      </c>
      <c r="K1548" s="5">
        <v>755.0</v>
      </c>
      <c r="L1548" s="5">
        <v>33.61</v>
      </c>
      <c r="M1548" s="5">
        <v>129016.8</v>
      </c>
      <c r="N1548" s="5">
        <v>5.08</v>
      </c>
      <c r="O1548" s="6">
        <f t="shared" si="1"/>
        <v>33.6082649</v>
      </c>
      <c r="P1548" s="6" t="str">
        <f t="shared" si="2"/>
        <v>Post-Shift</v>
      </c>
      <c r="Q1548" s="3">
        <f t="shared" si="3"/>
        <v>46</v>
      </c>
    </row>
    <row r="1549">
      <c r="A1549" s="4">
        <v>45387.0</v>
      </c>
      <c r="B1549" s="2" t="s">
        <v>18</v>
      </c>
      <c r="C1549" s="2" t="s">
        <v>19</v>
      </c>
      <c r="D1549" s="2" t="s">
        <v>29</v>
      </c>
      <c r="E1549" s="2" t="s">
        <v>25</v>
      </c>
      <c r="F1549" s="5">
        <v>106277.0</v>
      </c>
      <c r="G1549" s="5">
        <v>6961.0</v>
      </c>
      <c r="H1549" s="5">
        <v>0.0655</v>
      </c>
      <c r="I1549" s="5">
        <v>2.96</v>
      </c>
      <c r="J1549" s="5">
        <v>20604.56</v>
      </c>
      <c r="K1549" s="5">
        <v>180.0</v>
      </c>
      <c r="L1549" s="5">
        <v>114.47</v>
      </c>
      <c r="M1549" s="5">
        <v>42397.44</v>
      </c>
      <c r="N1549" s="5">
        <v>2.06</v>
      </c>
      <c r="O1549" s="6">
        <f t="shared" si="1"/>
        <v>114.4697778</v>
      </c>
      <c r="P1549" s="6" t="str">
        <f t="shared" si="2"/>
        <v>Baseline</v>
      </c>
      <c r="Q1549" s="3">
        <f t="shared" si="3"/>
        <v>18</v>
      </c>
    </row>
    <row r="1550">
      <c r="A1550" s="4" t="s">
        <v>22</v>
      </c>
      <c r="B1550" s="2" t="s">
        <v>18</v>
      </c>
      <c r="C1550" s="2" t="s">
        <v>31</v>
      </c>
      <c r="D1550" s="2" t="s">
        <v>20</v>
      </c>
      <c r="E1550" s="2" t="s">
        <v>58</v>
      </c>
      <c r="F1550" s="5">
        <v>153953.0</v>
      </c>
      <c r="G1550" s="5">
        <v>5095.0</v>
      </c>
      <c r="H1550" s="5">
        <v>0.0331</v>
      </c>
      <c r="I1550" s="5">
        <v>2.86</v>
      </c>
      <c r="J1550" s="5">
        <v>14571.7</v>
      </c>
      <c r="K1550" s="5">
        <v>110.0</v>
      </c>
      <c r="L1550" s="5">
        <v>132.47</v>
      </c>
      <c r="M1550" s="5">
        <v>30634.7</v>
      </c>
      <c r="N1550" s="5">
        <v>2.1</v>
      </c>
      <c r="O1550" s="6">
        <f t="shared" si="1"/>
        <v>132.47</v>
      </c>
      <c r="P1550" s="6" t="str">
        <f t="shared" si="2"/>
        <v>Post-Shift</v>
      </c>
      <c r="Q1550" s="3">
        <f t="shared" si="3"/>
        <v>4</v>
      </c>
    </row>
    <row r="1551">
      <c r="A1551" s="4">
        <v>45482.0</v>
      </c>
      <c r="B1551" s="2" t="s">
        <v>38</v>
      </c>
      <c r="C1551" s="2" t="s">
        <v>27</v>
      </c>
      <c r="D1551" s="2" t="s">
        <v>29</v>
      </c>
      <c r="E1551" s="2" t="s">
        <v>33</v>
      </c>
      <c r="F1551" s="5">
        <v>142135.0</v>
      </c>
      <c r="G1551" s="5">
        <v>2387.0</v>
      </c>
      <c r="H1551" s="5">
        <v>0.0168</v>
      </c>
      <c r="I1551" s="5">
        <v>1.92</v>
      </c>
      <c r="J1551" s="5">
        <v>4583.04</v>
      </c>
      <c r="K1551" s="5">
        <v>98.0</v>
      </c>
      <c r="L1551" s="5">
        <v>46.77</v>
      </c>
      <c r="M1551" s="5">
        <v>25385.35</v>
      </c>
      <c r="N1551" s="5">
        <v>5.54</v>
      </c>
      <c r="O1551" s="6">
        <f t="shared" si="1"/>
        <v>46.76571429</v>
      </c>
      <c r="P1551" s="6" t="str">
        <f t="shared" si="2"/>
        <v>Post-Shift</v>
      </c>
      <c r="Q1551" s="3">
        <f t="shared" si="3"/>
        <v>36</v>
      </c>
    </row>
    <row r="1552">
      <c r="A1552" s="4" t="s">
        <v>121</v>
      </c>
      <c r="B1552" s="2" t="s">
        <v>18</v>
      </c>
      <c r="C1552" s="2" t="s">
        <v>31</v>
      </c>
      <c r="D1552" s="2" t="s">
        <v>24</v>
      </c>
      <c r="E1552" s="2" t="s">
        <v>36</v>
      </c>
      <c r="F1552" s="5">
        <v>107891.0</v>
      </c>
      <c r="G1552" s="5">
        <v>3733.0</v>
      </c>
      <c r="H1552" s="5">
        <v>0.0346</v>
      </c>
      <c r="I1552" s="5">
        <v>2.31</v>
      </c>
      <c r="J1552" s="5">
        <v>8623.23</v>
      </c>
      <c r="K1552" s="5">
        <v>148.0</v>
      </c>
      <c r="L1552" s="5">
        <v>58.27</v>
      </c>
      <c r="M1552" s="5">
        <v>15202.91</v>
      </c>
      <c r="N1552" s="5">
        <v>1.76</v>
      </c>
      <c r="O1552" s="6">
        <f t="shared" si="1"/>
        <v>58.26506757</v>
      </c>
      <c r="P1552" s="6" t="str">
        <f t="shared" si="2"/>
        <v>Post-Shift</v>
      </c>
      <c r="Q1552" s="3">
        <f t="shared" si="3"/>
        <v>48</v>
      </c>
    </row>
    <row r="1553">
      <c r="A1553" s="4" t="s">
        <v>258</v>
      </c>
      <c r="B1553" s="2" t="s">
        <v>23</v>
      </c>
      <c r="C1553" s="2" t="s">
        <v>27</v>
      </c>
      <c r="D1553" s="2" t="s">
        <v>32</v>
      </c>
      <c r="E1553" s="2" t="s">
        <v>30</v>
      </c>
      <c r="F1553" s="5">
        <v>191380.0</v>
      </c>
      <c r="G1553" s="5">
        <v>8171.0</v>
      </c>
      <c r="H1553" s="5">
        <v>0.0427</v>
      </c>
      <c r="I1553" s="5">
        <v>0.5</v>
      </c>
      <c r="J1553" s="5">
        <v>4085.5</v>
      </c>
      <c r="K1553" s="5">
        <v>572.0</v>
      </c>
      <c r="L1553" s="5">
        <v>7.14</v>
      </c>
      <c r="M1553" s="5">
        <v>155778.9</v>
      </c>
      <c r="N1553" s="5">
        <v>38.13</v>
      </c>
      <c r="O1553" s="6">
        <f t="shared" si="1"/>
        <v>7.142482517</v>
      </c>
      <c r="P1553" s="6" t="str">
        <f t="shared" si="2"/>
        <v>Post-Shift</v>
      </c>
      <c r="Q1553" s="3">
        <f t="shared" si="3"/>
        <v>12</v>
      </c>
    </row>
    <row r="1554">
      <c r="A1554" s="4">
        <v>45604.0</v>
      </c>
      <c r="B1554" s="2" t="s">
        <v>38</v>
      </c>
      <c r="C1554" s="2" t="s">
        <v>19</v>
      </c>
      <c r="D1554" s="2" t="s">
        <v>29</v>
      </c>
      <c r="E1554" s="2" t="s">
        <v>25</v>
      </c>
      <c r="F1554" s="5">
        <v>123372.0</v>
      </c>
      <c r="G1554" s="5">
        <v>3355.0</v>
      </c>
      <c r="H1554" s="5">
        <v>0.0272</v>
      </c>
      <c r="I1554" s="5">
        <v>2.3</v>
      </c>
      <c r="J1554" s="5">
        <v>7716.5</v>
      </c>
      <c r="K1554" s="5">
        <v>224.0</v>
      </c>
      <c r="L1554" s="5">
        <v>34.45</v>
      </c>
      <c r="M1554" s="5">
        <v>57352.38</v>
      </c>
      <c r="N1554" s="5">
        <v>7.43</v>
      </c>
      <c r="O1554" s="6">
        <f t="shared" si="1"/>
        <v>34.44866071</v>
      </c>
      <c r="P1554" s="6" t="str">
        <f t="shared" si="2"/>
        <v>Post-Shift</v>
      </c>
      <c r="Q1554" s="3">
        <f t="shared" si="3"/>
        <v>33</v>
      </c>
    </row>
    <row r="1555">
      <c r="A1555" s="4" t="s">
        <v>117</v>
      </c>
      <c r="B1555" s="2" t="s">
        <v>18</v>
      </c>
      <c r="C1555" s="2" t="s">
        <v>19</v>
      </c>
      <c r="D1555" s="2" t="s">
        <v>45</v>
      </c>
      <c r="E1555" s="2" t="s">
        <v>21</v>
      </c>
      <c r="F1555" s="5">
        <v>104464.0</v>
      </c>
      <c r="G1555" s="5">
        <v>4314.0</v>
      </c>
      <c r="H1555" s="5">
        <v>0.0413</v>
      </c>
      <c r="I1555" s="5">
        <v>2.26</v>
      </c>
      <c r="J1555" s="5">
        <v>9749.64</v>
      </c>
      <c r="K1555" s="5">
        <v>82.0</v>
      </c>
      <c r="L1555" s="5">
        <v>118.9</v>
      </c>
      <c r="M1555" s="5">
        <v>10226.11</v>
      </c>
      <c r="N1555" s="5">
        <v>1.05</v>
      </c>
      <c r="O1555" s="6">
        <f t="shared" si="1"/>
        <v>118.8980488</v>
      </c>
      <c r="P1555" s="6" t="str">
        <f t="shared" si="2"/>
        <v>Post-Shift</v>
      </c>
      <c r="Q1555" s="3">
        <f t="shared" si="3"/>
        <v>52</v>
      </c>
    </row>
    <row r="1556">
      <c r="A1556" s="4">
        <v>45357.0</v>
      </c>
      <c r="B1556" s="2" t="s">
        <v>18</v>
      </c>
      <c r="C1556" s="2" t="s">
        <v>27</v>
      </c>
      <c r="D1556" s="2" t="s">
        <v>32</v>
      </c>
      <c r="E1556" s="2" t="s">
        <v>25</v>
      </c>
      <c r="F1556" s="5">
        <v>113502.0</v>
      </c>
      <c r="G1556" s="5">
        <v>2235.0</v>
      </c>
      <c r="H1556" s="5">
        <v>0.0197</v>
      </c>
      <c r="I1556" s="5">
        <v>1.21</v>
      </c>
      <c r="J1556" s="5">
        <v>2704.35</v>
      </c>
      <c r="K1556" s="5">
        <v>34.0</v>
      </c>
      <c r="L1556" s="5">
        <v>79.54</v>
      </c>
      <c r="M1556" s="5">
        <v>6126.9</v>
      </c>
      <c r="N1556" s="5">
        <v>2.27</v>
      </c>
      <c r="O1556" s="6">
        <f t="shared" si="1"/>
        <v>79.53970588</v>
      </c>
      <c r="P1556" s="6" t="str">
        <f t="shared" si="2"/>
        <v>Baseline</v>
      </c>
      <c r="Q1556" s="3">
        <f t="shared" si="3"/>
        <v>23</v>
      </c>
    </row>
    <row r="1557">
      <c r="A1557" s="4">
        <v>45544.0</v>
      </c>
      <c r="B1557" s="2" t="s">
        <v>18</v>
      </c>
      <c r="C1557" s="2" t="s">
        <v>31</v>
      </c>
      <c r="D1557" s="2" t="s">
        <v>29</v>
      </c>
      <c r="E1557" s="2" t="s">
        <v>58</v>
      </c>
      <c r="F1557" s="5">
        <v>95196.0</v>
      </c>
      <c r="G1557" s="5">
        <v>3170.0</v>
      </c>
      <c r="H1557" s="5">
        <v>0.0333</v>
      </c>
      <c r="I1557" s="5">
        <v>1.05</v>
      </c>
      <c r="J1557" s="5">
        <v>3328.5</v>
      </c>
      <c r="K1557" s="5">
        <v>170.0</v>
      </c>
      <c r="L1557" s="5">
        <v>19.58</v>
      </c>
      <c r="M1557" s="5">
        <v>13047.52</v>
      </c>
      <c r="N1557" s="5">
        <v>3.92</v>
      </c>
      <c r="O1557" s="6">
        <f t="shared" si="1"/>
        <v>19.57941176</v>
      </c>
      <c r="P1557" s="6" t="str">
        <f t="shared" si="2"/>
        <v>Post-Shift</v>
      </c>
      <c r="Q1557" s="3">
        <f t="shared" si="3"/>
        <v>37</v>
      </c>
    </row>
    <row r="1558">
      <c r="A1558" s="4" t="s">
        <v>192</v>
      </c>
      <c r="B1558" s="2" t="s">
        <v>18</v>
      </c>
      <c r="C1558" s="2" t="s">
        <v>41</v>
      </c>
      <c r="D1558" s="2" t="s">
        <v>29</v>
      </c>
      <c r="E1558" s="2" t="s">
        <v>25</v>
      </c>
      <c r="F1558" s="5">
        <v>86362.0</v>
      </c>
      <c r="G1558" s="5">
        <v>2547.0</v>
      </c>
      <c r="H1558" s="5">
        <v>0.0295</v>
      </c>
      <c r="I1558" s="5">
        <v>1.41</v>
      </c>
      <c r="J1558" s="5">
        <v>3591.27</v>
      </c>
      <c r="K1558" s="5">
        <v>164.0</v>
      </c>
      <c r="L1558" s="5">
        <v>21.9</v>
      </c>
      <c r="M1558" s="5">
        <v>33307.3</v>
      </c>
      <c r="N1558" s="5">
        <v>9.27</v>
      </c>
      <c r="O1558" s="6">
        <f t="shared" si="1"/>
        <v>21.8979878</v>
      </c>
      <c r="P1558" s="6" t="str">
        <f t="shared" si="2"/>
        <v>Post-Shift</v>
      </c>
      <c r="Q1558" s="3">
        <f t="shared" si="3"/>
        <v>4</v>
      </c>
    </row>
    <row r="1559">
      <c r="A1559" s="4" t="s">
        <v>169</v>
      </c>
      <c r="B1559" s="2" t="s">
        <v>18</v>
      </c>
      <c r="C1559" s="2" t="s">
        <v>19</v>
      </c>
      <c r="D1559" s="2" t="s">
        <v>45</v>
      </c>
      <c r="E1559" s="2" t="s">
        <v>30</v>
      </c>
      <c r="F1559" s="5">
        <v>78532.0</v>
      </c>
      <c r="G1559" s="5">
        <v>4735.0</v>
      </c>
      <c r="H1559" s="5">
        <v>0.0603</v>
      </c>
      <c r="I1559" s="5">
        <v>2.82</v>
      </c>
      <c r="J1559" s="5">
        <v>13352.7</v>
      </c>
      <c r="K1559" s="5">
        <v>310.0</v>
      </c>
      <c r="L1559" s="5">
        <v>43.07</v>
      </c>
      <c r="M1559" s="5">
        <v>45765.16</v>
      </c>
      <c r="N1559" s="5">
        <v>3.43</v>
      </c>
      <c r="O1559" s="6">
        <f t="shared" si="1"/>
        <v>43.07322581</v>
      </c>
      <c r="P1559" s="6" t="str">
        <f t="shared" si="2"/>
        <v>Post-Shift</v>
      </c>
      <c r="Q1559" s="3">
        <f t="shared" si="3"/>
        <v>26</v>
      </c>
    </row>
    <row r="1560">
      <c r="A1560" s="4" t="s">
        <v>227</v>
      </c>
      <c r="B1560" s="2" t="s">
        <v>18</v>
      </c>
      <c r="C1560" s="2" t="s">
        <v>31</v>
      </c>
      <c r="D1560" s="2" t="s">
        <v>29</v>
      </c>
      <c r="E1560" s="2" t="s">
        <v>36</v>
      </c>
      <c r="F1560" s="5">
        <v>184081.0</v>
      </c>
      <c r="G1560" s="5">
        <v>5135.0</v>
      </c>
      <c r="H1560" s="5">
        <v>0.0279</v>
      </c>
      <c r="I1560" s="5">
        <v>2.18</v>
      </c>
      <c r="J1560" s="5">
        <v>11194.3</v>
      </c>
      <c r="K1560" s="5">
        <v>96.0</v>
      </c>
      <c r="L1560" s="5">
        <v>116.61</v>
      </c>
      <c r="M1560" s="5">
        <v>24545.05</v>
      </c>
      <c r="N1560" s="5">
        <v>2.19</v>
      </c>
      <c r="O1560" s="6">
        <f t="shared" si="1"/>
        <v>116.6072917</v>
      </c>
      <c r="P1560" s="6" t="str">
        <f t="shared" si="2"/>
        <v>Post-Shift</v>
      </c>
      <c r="Q1560" s="3">
        <f t="shared" si="3"/>
        <v>12</v>
      </c>
    </row>
    <row r="1561">
      <c r="A1561" s="4" t="s">
        <v>113</v>
      </c>
      <c r="B1561" s="2" t="s">
        <v>38</v>
      </c>
      <c r="C1561" s="2" t="s">
        <v>41</v>
      </c>
      <c r="D1561" s="2" t="s">
        <v>29</v>
      </c>
      <c r="E1561" s="2" t="s">
        <v>36</v>
      </c>
      <c r="F1561" s="5">
        <v>93966.0</v>
      </c>
      <c r="G1561" s="5">
        <v>2104.0</v>
      </c>
      <c r="H1561" s="5">
        <v>0.0224</v>
      </c>
      <c r="I1561" s="5">
        <v>0.97</v>
      </c>
      <c r="J1561" s="5">
        <v>2040.88</v>
      </c>
      <c r="K1561" s="5">
        <v>157.0</v>
      </c>
      <c r="L1561" s="5">
        <v>13.0</v>
      </c>
      <c r="M1561" s="5">
        <v>6975.9</v>
      </c>
      <c r="N1561" s="5">
        <v>3.42</v>
      </c>
      <c r="O1561" s="6">
        <f t="shared" si="1"/>
        <v>12.99923567</v>
      </c>
      <c r="P1561" s="6" t="str">
        <f t="shared" si="2"/>
        <v>Post-Shift</v>
      </c>
      <c r="Q1561" s="3">
        <f t="shared" si="3"/>
        <v>5</v>
      </c>
    </row>
    <row r="1562">
      <c r="A1562" s="4" t="s">
        <v>260</v>
      </c>
      <c r="B1562" s="2" t="s">
        <v>18</v>
      </c>
      <c r="C1562" s="2" t="s">
        <v>27</v>
      </c>
      <c r="D1562" s="2" t="s">
        <v>32</v>
      </c>
      <c r="E1562" s="2" t="s">
        <v>21</v>
      </c>
      <c r="F1562" s="5">
        <v>28667.0</v>
      </c>
      <c r="G1562" s="5">
        <v>1338.0</v>
      </c>
      <c r="H1562" s="5">
        <v>0.0467</v>
      </c>
      <c r="I1562" s="5">
        <v>2.9</v>
      </c>
      <c r="J1562" s="5">
        <v>3880.2</v>
      </c>
      <c r="K1562" s="5">
        <v>24.0</v>
      </c>
      <c r="L1562" s="5">
        <v>161.67</v>
      </c>
      <c r="M1562" s="5">
        <v>3421.56</v>
      </c>
      <c r="N1562" s="5">
        <v>0.88</v>
      </c>
      <c r="O1562" s="6">
        <f t="shared" si="1"/>
        <v>161.675</v>
      </c>
      <c r="P1562" s="6" t="str">
        <f t="shared" si="2"/>
        <v>Post-Shift</v>
      </c>
      <c r="Q1562" s="3">
        <f t="shared" si="3"/>
        <v>30</v>
      </c>
    </row>
    <row r="1563">
      <c r="A1563" s="4" t="s">
        <v>17</v>
      </c>
      <c r="B1563" s="2" t="s">
        <v>18</v>
      </c>
      <c r="C1563" s="2" t="s">
        <v>41</v>
      </c>
      <c r="D1563" s="2" t="s">
        <v>29</v>
      </c>
      <c r="E1563" s="2" t="s">
        <v>58</v>
      </c>
      <c r="F1563" s="5">
        <v>154239.0</v>
      </c>
      <c r="G1563" s="5">
        <v>7465.0</v>
      </c>
      <c r="H1563" s="5">
        <v>0.0484</v>
      </c>
      <c r="I1563" s="5">
        <v>3.2</v>
      </c>
      <c r="J1563" s="5">
        <v>23888.0</v>
      </c>
      <c r="K1563" s="5">
        <v>484.0</v>
      </c>
      <c r="L1563" s="5">
        <v>49.36</v>
      </c>
      <c r="M1563" s="5">
        <v>25632.04</v>
      </c>
      <c r="N1563" s="5">
        <v>1.07</v>
      </c>
      <c r="O1563" s="6">
        <f t="shared" si="1"/>
        <v>49.3553719</v>
      </c>
      <c r="P1563" s="6" t="str">
        <f t="shared" si="2"/>
        <v>Post-Shift</v>
      </c>
      <c r="Q1563" s="3">
        <f t="shared" si="3"/>
        <v>4</v>
      </c>
    </row>
    <row r="1564">
      <c r="A1564" s="4">
        <v>45416.0</v>
      </c>
      <c r="B1564" s="2" t="s">
        <v>38</v>
      </c>
      <c r="C1564" s="2" t="s">
        <v>27</v>
      </c>
      <c r="D1564" s="2" t="s">
        <v>20</v>
      </c>
      <c r="E1564" s="2" t="s">
        <v>21</v>
      </c>
      <c r="F1564" s="5">
        <v>103576.0</v>
      </c>
      <c r="G1564" s="5">
        <v>1263.0</v>
      </c>
      <c r="H1564" s="5">
        <v>0.0122</v>
      </c>
      <c r="I1564" s="5">
        <v>0.47</v>
      </c>
      <c r="J1564" s="5">
        <v>593.61</v>
      </c>
      <c r="K1564" s="5">
        <v>22.0</v>
      </c>
      <c r="L1564" s="5">
        <v>26.98</v>
      </c>
      <c r="M1564" s="5">
        <v>5190.25</v>
      </c>
      <c r="N1564" s="5">
        <v>8.74</v>
      </c>
      <c r="O1564" s="6">
        <f t="shared" si="1"/>
        <v>26.98227273</v>
      </c>
      <c r="P1564" s="6" t="str">
        <f t="shared" si="2"/>
        <v>Baseline</v>
      </c>
      <c r="Q1564" s="3">
        <f t="shared" si="3"/>
        <v>14</v>
      </c>
    </row>
    <row r="1565">
      <c r="A1565" s="4" t="s">
        <v>135</v>
      </c>
      <c r="B1565" s="2" t="s">
        <v>23</v>
      </c>
      <c r="C1565" s="2" t="s">
        <v>27</v>
      </c>
      <c r="D1565" s="2" t="s">
        <v>24</v>
      </c>
      <c r="E1565" s="2" t="s">
        <v>56</v>
      </c>
      <c r="F1565" s="5">
        <v>111154.0</v>
      </c>
      <c r="G1565" s="5">
        <v>5124.0</v>
      </c>
      <c r="H1565" s="5">
        <v>0.0461</v>
      </c>
      <c r="I1565" s="5">
        <v>0.89</v>
      </c>
      <c r="J1565" s="5">
        <v>4560.36</v>
      </c>
      <c r="K1565" s="5">
        <v>368.0</v>
      </c>
      <c r="L1565" s="5">
        <v>12.39</v>
      </c>
      <c r="M1565" s="5">
        <v>82164.4</v>
      </c>
      <c r="N1565" s="5">
        <v>18.02</v>
      </c>
      <c r="O1565" s="6">
        <f t="shared" si="1"/>
        <v>12.39228261</v>
      </c>
      <c r="P1565" s="6" t="str">
        <f t="shared" si="2"/>
        <v>Post-Shift</v>
      </c>
      <c r="Q1565" s="3">
        <f t="shared" si="3"/>
        <v>39</v>
      </c>
    </row>
    <row r="1566">
      <c r="A1566" s="4" t="s">
        <v>118</v>
      </c>
      <c r="B1566" s="2" t="s">
        <v>18</v>
      </c>
      <c r="C1566" s="2" t="s">
        <v>19</v>
      </c>
      <c r="D1566" s="2" t="s">
        <v>45</v>
      </c>
      <c r="E1566" s="2" t="s">
        <v>30</v>
      </c>
      <c r="F1566" s="5">
        <v>104456.0</v>
      </c>
      <c r="G1566" s="5">
        <v>6403.0</v>
      </c>
      <c r="H1566" s="5">
        <v>0.0613</v>
      </c>
      <c r="I1566" s="5">
        <v>2.11</v>
      </c>
      <c r="J1566" s="5">
        <v>13510.33</v>
      </c>
      <c r="K1566" s="5">
        <v>440.0</v>
      </c>
      <c r="L1566" s="5">
        <v>30.71</v>
      </c>
      <c r="M1566" s="5">
        <v>111130.7</v>
      </c>
      <c r="N1566" s="5">
        <v>8.23</v>
      </c>
      <c r="O1566" s="6">
        <f t="shared" si="1"/>
        <v>30.70529545</v>
      </c>
      <c r="P1566" s="6" t="str">
        <f t="shared" si="2"/>
        <v>Post-Shift</v>
      </c>
      <c r="Q1566" s="3">
        <f t="shared" si="3"/>
        <v>44</v>
      </c>
    </row>
    <row r="1567">
      <c r="A1567" s="4">
        <v>45636.0</v>
      </c>
      <c r="B1567" s="2" t="s">
        <v>38</v>
      </c>
      <c r="C1567" s="2" t="s">
        <v>41</v>
      </c>
      <c r="D1567" s="2" t="s">
        <v>32</v>
      </c>
      <c r="E1567" s="2" t="s">
        <v>21</v>
      </c>
      <c r="F1567" s="5">
        <v>173307.0</v>
      </c>
      <c r="G1567" s="5">
        <v>3292.0</v>
      </c>
      <c r="H1567" s="5">
        <v>0.019</v>
      </c>
      <c r="I1567" s="5">
        <v>1.03</v>
      </c>
      <c r="J1567" s="5">
        <v>3390.76</v>
      </c>
      <c r="K1567" s="5">
        <v>74.0</v>
      </c>
      <c r="L1567" s="5">
        <v>45.82</v>
      </c>
      <c r="M1567" s="5">
        <v>21574.44</v>
      </c>
      <c r="N1567" s="5">
        <v>6.36</v>
      </c>
      <c r="O1567" s="6">
        <f t="shared" si="1"/>
        <v>45.82108108</v>
      </c>
      <c r="P1567" s="6" t="str">
        <f t="shared" si="2"/>
        <v>Post-Shift</v>
      </c>
      <c r="Q1567" s="3">
        <f t="shared" si="3"/>
        <v>41</v>
      </c>
    </row>
    <row r="1568">
      <c r="A1568" s="4">
        <v>45568.0</v>
      </c>
      <c r="B1568" s="2" t="s">
        <v>18</v>
      </c>
      <c r="C1568" s="2" t="s">
        <v>41</v>
      </c>
      <c r="D1568" s="2" t="s">
        <v>20</v>
      </c>
      <c r="E1568" s="2" t="s">
        <v>58</v>
      </c>
      <c r="F1568" s="5">
        <v>197459.0</v>
      </c>
      <c r="G1568" s="5">
        <v>5667.0</v>
      </c>
      <c r="H1568" s="5">
        <v>0.0287</v>
      </c>
      <c r="I1568" s="5">
        <v>3.56</v>
      </c>
      <c r="J1568" s="5">
        <v>20174.52</v>
      </c>
      <c r="K1568" s="5">
        <v>105.0</v>
      </c>
      <c r="L1568" s="5">
        <v>192.14</v>
      </c>
      <c r="M1568" s="5">
        <v>17723.39</v>
      </c>
      <c r="N1568" s="5">
        <v>0.88</v>
      </c>
      <c r="O1568" s="6">
        <f t="shared" si="1"/>
        <v>192.1382857</v>
      </c>
      <c r="P1568" s="6" t="str">
        <f t="shared" si="2"/>
        <v>Post-Shift</v>
      </c>
      <c r="Q1568" s="3">
        <f t="shared" si="3"/>
        <v>11</v>
      </c>
    </row>
    <row r="1569">
      <c r="A1569" s="4">
        <v>45300.0</v>
      </c>
      <c r="B1569" s="2" t="s">
        <v>23</v>
      </c>
      <c r="C1569" s="2" t="s">
        <v>27</v>
      </c>
      <c r="D1569" s="2" t="s">
        <v>24</v>
      </c>
      <c r="E1569" s="2" t="s">
        <v>25</v>
      </c>
      <c r="F1569" s="5">
        <v>154676.0</v>
      </c>
      <c r="G1569" s="5">
        <v>5970.0</v>
      </c>
      <c r="H1569" s="5">
        <v>0.0386</v>
      </c>
      <c r="I1569" s="5">
        <v>1.09</v>
      </c>
      <c r="J1569" s="5">
        <v>6507.3</v>
      </c>
      <c r="K1569" s="5">
        <v>107.0</v>
      </c>
      <c r="L1569" s="5">
        <v>60.82</v>
      </c>
      <c r="M1569" s="5">
        <v>14099.39</v>
      </c>
      <c r="N1569" s="5">
        <v>2.17</v>
      </c>
      <c r="O1569" s="6">
        <f t="shared" si="1"/>
        <v>60.81588785</v>
      </c>
      <c r="P1569" s="6" t="str">
        <f t="shared" si="2"/>
        <v>Baseline</v>
      </c>
      <c r="Q1569" s="3">
        <f t="shared" si="3"/>
        <v>36</v>
      </c>
    </row>
    <row r="1570">
      <c r="A1570" s="4" t="s">
        <v>223</v>
      </c>
      <c r="B1570" s="2" t="s">
        <v>38</v>
      </c>
      <c r="C1570" s="2" t="s">
        <v>27</v>
      </c>
      <c r="D1570" s="2" t="s">
        <v>20</v>
      </c>
      <c r="E1570" s="2" t="s">
        <v>56</v>
      </c>
      <c r="F1570" s="5">
        <v>138528.0</v>
      </c>
      <c r="G1570" s="5">
        <v>3698.0</v>
      </c>
      <c r="H1570" s="5">
        <v>0.0267</v>
      </c>
      <c r="I1570" s="5">
        <v>2.27</v>
      </c>
      <c r="J1570" s="5">
        <v>8394.46</v>
      </c>
      <c r="K1570" s="5">
        <v>264.0</v>
      </c>
      <c r="L1570" s="5">
        <v>31.8</v>
      </c>
      <c r="M1570" s="5">
        <v>34788.99</v>
      </c>
      <c r="N1570" s="5">
        <v>4.14</v>
      </c>
      <c r="O1570" s="6">
        <f t="shared" si="1"/>
        <v>31.79719697</v>
      </c>
      <c r="P1570" s="6" t="str">
        <f t="shared" si="2"/>
        <v>Post-Shift</v>
      </c>
      <c r="Q1570" s="3">
        <f t="shared" si="3"/>
        <v>17</v>
      </c>
    </row>
    <row r="1571">
      <c r="A1571" s="4">
        <v>45299.0</v>
      </c>
      <c r="B1571" s="2" t="s">
        <v>18</v>
      </c>
      <c r="C1571" s="2" t="s">
        <v>41</v>
      </c>
      <c r="D1571" s="2" t="s">
        <v>32</v>
      </c>
      <c r="E1571" s="2" t="s">
        <v>36</v>
      </c>
      <c r="F1571" s="5">
        <v>188490.0</v>
      </c>
      <c r="G1571" s="5">
        <v>6879.0</v>
      </c>
      <c r="H1571" s="5">
        <v>0.0365</v>
      </c>
      <c r="I1571" s="5">
        <v>2.84</v>
      </c>
      <c r="J1571" s="5">
        <v>19536.36</v>
      </c>
      <c r="K1571" s="5">
        <v>279.0</v>
      </c>
      <c r="L1571" s="5">
        <v>70.02</v>
      </c>
      <c r="M1571" s="5">
        <v>18268.77</v>
      </c>
      <c r="N1571" s="5">
        <v>0.94</v>
      </c>
      <c r="O1571" s="6">
        <f t="shared" si="1"/>
        <v>70.0227957</v>
      </c>
      <c r="P1571" s="6" t="str">
        <f t="shared" si="2"/>
        <v>Baseline</v>
      </c>
      <c r="Q1571" s="3">
        <f t="shared" si="3"/>
        <v>31</v>
      </c>
    </row>
    <row r="1572">
      <c r="A1572" s="4" t="s">
        <v>159</v>
      </c>
      <c r="B1572" s="2" t="s">
        <v>23</v>
      </c>
      <c r="C1572" s="2" t="s">
        <v>41</v>
      </c>
      <c r="D1572" s="2" t="s">
        <v>32</v>
      </c>
      <c r="E1572" s="2" t="s">
        <v>30</v>
      </c>
      <c r="F1572" s="5">
        <v>155929.0</v>
      </c>
      <c r="G1572" s="5">
        <v>6408.0</v>
      </c>
      <c r="H1572" s="5">
        <v>0.0411</v>
      </c>
      <c r="I1572" s="5">
        <v>0.97</v>
      </c>
      <c r="J1572" s="5">
        <v>6215.76</v>
      </c>
      <c r="K1572" s="5">
        <v>481.0</v>
      </c>
      <c r="L1572" s="5">
        <v>12.92</v>
      </c>
      <c r="M1572" s="5">
        <v>51123.92</v>
      </c>
      <c r="N1572" s="5">
        <v>8.22</v>
      </c>
      <c r="O1572" s="6">
        <f t="shared" si="1"/>
        <v>12.92257796</v>
      </c>
      <c r="P1572" s="6" t="str">
        <f t="shared" si="2"/>
        <v>Post-Shift</v>
      </c>
      <c r="Q1572" s="3">
        <f t="shared" si="3"/>
        <v>38</v>
      </c>
    </row>
    <row r="1573">
      <c r="A1573" s="4" t="s">
        <v>181</v>
      </c>
      <c r="B1573" s="2" t="s">
        <v>18</v>
      </c>
      <c r="C1573" s="2" t="s">
        <v>41</v>
      </c>
      <c r="D1573" s="2" t="s">
        <v>24</v>
      </c>
      <c r="E1573" s="2" t="s">
        <v>36</v>
      </c>
      <c r="F1573" s="5">
        <v>177220.0</v>
      </c>
      <c r="G1573" s="5">
        <v>4607.0</v>
      </c>
      <c r="H1573" s="5">
        <v>0.026</v>
      </c>
      <c r="I1573" s="5">
        <v>2.32</v>
      </c>
      <c r="J1573" s="5">
        <v>10688.24</v>
      </c>
      <c r="K1573" s="5">
        <v>114.0</v>
      </c>
      <c r="L1573" s="5">
        <v>93.76</v>
      </c>
      <c r="M1573" s="5">
        <v>9297.03</v>
      </c>
      <c r="N1573" s="5">
        <v>0.87</v>
      </c>
      <c r="O1573" s="6">
        <f t="shared" si="1"/>
        <v>93.75649123</v>
      </c>
      <c r="P1573" s="6" t="str">
        <f t="shared" si="2"/>
        <v>Post-Shift</v>
      </c>
      <c r="Q1573" s="3">
        <f t="shared" si="3"/>
        <v>22</v>
      </c>
    </row>
    <row r="1574">
      <c r="A1574" s="4">
        <v>45575.0</v>
      </c>
      <c r="B1574" s="2" t="s">
        <v>38</v>
      </c>
      <c r="C1574" s="2" t="s">
        <v>27</v>
      </c>
      <c r="D1574" s="2" t="s">
        <v>45</v>
      </c>
      <c r="E1574" s="2" t="s">
        <v>36</v>
      </c>
      <c r="F1574" s="5">
        <v>188552.0</v>
      </c>
      <c r="G1574" s="5">
        <v>6373.0</v>
      </c>
      <c r="H1574" s="5">
        <v>0.0338</v>
      </c>
      <c r="I1574" s="5">
        <v>0.65</v>
      </c>
      <c r="J1574" s="5">
        <v>4142.45</v>
      </c>
      <c r="K1574" s="5">
        <v>129.0</v>
      </c>
      <c r="L1574" s="5">
        <v>32.11</v>
      </c>
      <c r="M1574" s="5">
        <v>8973.49</v>
      </c>
      <c r="N1574" s="5">
        <v>2.17</v>
      </c>
      <c r="O1574" s="6">
        <f t="shared" si="1"/>
        <v>32.1120155</v>
      </c>
      <c r="P1574" s="6" t="str">
        <f t="shared" si="2"/>
        <v>Post-Shift</v>
      </c>
      <c r="Q1574" s="3">
        <f t="shared" si="3"/>
        <v>41</v>
      </c>
    </row>
    <row r="1575">
      <c r="A1575" s="4" t="s">
        <v>123</v>
      </c>
      <c r="B1575" s="2" t="s">
        <v>18</v>
      </c>
      <c r="C1575" s="2" t="s">
        <v>27</v>
      </c>
      <c r="D1575" s="2" t="s">
        <v>45</v>
      </c>
      <c r="E1575" s="2" t="s">
        <v>36</v>
      </c>
      <c r="F1575" s="5">
        <v>136460.0</v>
      </c>
      <c r="G1575" s="5">
        <v>4462.0</v>
      </c>
      <c r="H1575" s="5">
        <v>0.0327</v>
      </c>
      <c r="I1575" s="5">
        <v>0.88</v>
      </c>
      <c r="J1575" s="5">
        <v>3926.56</v>
      </c>
      <c r="K1575" s="5">
        <v>322.0</v>
      </c>
      <c r="L1575" s="5">
        <v>12.19</v>
      </c>
      <c r="M1575" s="5">
        <v>59937.98</v>
      </c>
      <c r="N1575" s="5">
        <v>15.26</v>
      </c>
      <c r="O1575" s="6">
        <f t="shared" si="1"/>
        <v>12.19428571</v>
      </c>
      <c r="P1575" s="6" t="str">
        <f t="shared" si="2"/>
        <v>Post-Shift</v>
      </c>
      <c r="Q1575" s="3">
        <f t="shared" si="3"/>
        <v>38</v>
      </c>
    </row>
    <row r="1576">
      <c r="A1576" s="4">
        <v>45483.0</v>
      </c>
      <c r="B1576" s="2" t="s">
        <v>23</v>
      </c>
      <c r="C1576" s="2" t="s">
        <v>41</v>
      </c>
      <c r="D1576" s="2" t="s">
        <v>29</v>
      </c>
      <c r="E1576" s="2" t="s">
        <v>36</v>
      </c>
      <c r="F1576" s="5">
        <v>124614.0</v>
      </c>
      <c r="G1576" s="5">
        <v>4573.0</v>
      </c>
      <c r="H1576" s="5">
        <v>0.0367</v>
      </c>
      <c r="I1576" s="5">
        <v>0.29</v>
      </c>
      <c r="J1576" s="5">
        <v>1326.17</v>
      </c>
      <c r="K1576" s="5">
        <v>240.0</v>
      </c>
      <c r="L1576" s="5">
        <v>5.53</v>
      </c>
      <c r="M1576" s="5">
        <v>46988.2</v>
      </c>
      <c r="N1576" s="5">
        <v>35.43</v>
      </c>
      <c r="O1576" s="6">
        <f t="shared" si="1"/>
        <v>5.525708333</v>
      </c>
      <c r="P1576" s="6" t="str">
        <f t="shared" si="2"/>
        <v>Post-Shift</v>
      </c>
      <c r="Q1576" s="3">
        <f t="shared" si="3"/>
        <v>41</v>
      </c>
    </row>
    <row r="1577">
      <c r="A1577" s="4" t="s">
        <v>98</v>
      </c>
      <c r="B1577" s="2" t="s">
        <v>38</v>
      </c>
      <c r="C1577" s="2" t="s">
        <v>27</v>
      </c>
      <c r="D1577" s="2" t="s">
        <v>32</v>
      </c>
      <c r="E1577" s="2" t="s">
        <v>56</v>
      </c>
      <c r="F1577" s="5">
        <v>28359.0</v>
      </c>
      <c r="G1577" s="5">
        <v>612.0</v>
      </c>
      <c r="H1577" s="5">
        <v>0.0216</v>
      </c>
      <c r="I1577" s="5">
        <v>0.75</v>
      </c>
      <c r="J1577" s="5">
        <v>459.0</v>
      </c>
      <c r="K1577" s="5">
        <v>30.0</v>
      </c>
      <c r="L1577" s="5">
        <v>15.3</v>
      </c>
      <c r="M1577" s="5">
        <v>6591.07</v>
      </c>
      <c r="N1577" s="5">
        <v>14.36</v>
      </c>
      <c r="O1577" s="6">
        <f t="shared" si="1"/>
        <v>15.3</v>
      </c>
      <c r="P1577" s="6" t="str">
        <f t="shared" si="2"/>
        <v>Post-Shift</v>
      </c>
      <c r="Q1577" s="3">
        <f t="shared" si="3"/>
        <v>16</v>
      </c>
    </row>
    <row r="1578">
      <c r="A1578" s="4" t="s">
        <v>169</v>
      </c>
      <c r="B1578" s="2" t="s">
        <v>38</v>
      </c>
      <c r="C1578" s="2" t="s">
        <v>19</v>
      </c>
      <c r="D1578" s="2" t="s">
        <v>45</v>
      </c>
      <c r="E1578" s="2" t="s">
        <v>30</v>
      </c>
      <c r="F1578" s="5">
        <v>81759.0</v>
      </c>
      <c r="G1578" s="5">
        <v>1316.0</v>
      </c>
      <c r="H1578" s="5">
        <v>0.0161</v>
      </c>
      <c r="I1578" s="5">
        <v>0.9</v>
      </c>
      <c r="J1578" s="5">
        <v>1184.4</v>
      </c>
      <c r="K1578" s="5">
        <v>46.0</v>
      </c>
      <c r="L1578" s="5">
        <v>25.75</v>
      </c>
      <c r="M1578" s="5">
        <v>6171.89</v>
      </c>
      <c r="N1578" s="5">
        <v>5.21</v>
      </c>
      <c r="O1578" s="6">
        <f t="shared" si="1"/>
        <v>25.74782609</v>
      </c>
      <c r="P1578" s="6" t="str">
        <f t="shared" si="2"/>
        <v>Post-Shift</v>
      </c>
      <c r="Q1578" s="3">
        <f t="shared" si="3"/>
        <v>26</v>
      </c>
    </row>
    <row r="1579">
      <c r="A1579" s="4">
        <v>45416.0</v>
      </c>
      <c r="B1579" s="2" t="s">
        <v>38</v>
      </c>
      <c r="C1579" s="2" t="s">
        <v>27</v>
      </c>
      <c r="D1579" s="2" t="s">
        <v>45</v>
      </c>
      <c r="E1579" s="2" t="s">
        <v>33</v>
      </c>
      <c r="F1579" s="5">
        <v>131230.0</v>
      </c>
      <c r="G1579" s="5">
        <v>2139.0</v>
      </c>
      <c r="H1579" s="5">
        <v>0.0163</v>
      </c>
      <c r="I1579" s="5">
        <v>2.23</v>
      </c>
      <c r="J1579" s="5">
        <v>4769.97</v>
      </c>
      <c r="K1579" s="5">
        <v>105.0</v>
      </c>
      <c r="L1579" s="5">
        <v>45.43</v>
      </c>
      <c r="M1579" s="5">
        <v>24738.73</v>
      </c>
      <c r="N1579" s="5">
        <v>5.19</v>
      </c>
      <c r="O1579" s="6">
        <f t="shared" si="1"/>
        <v>45.42828571</v>
      </c>
      <c r="P1579" s="6" t="str">
        <f t="shared" si="2"/>
        <v>Baseline</v>
      </c>
      <c r="Q1579" s="3">
        <f t="shared" si="3"/>
        <v>14</v>
      </c>
    </row>
    <row r="1580">
      <c r="A1580" s="4">
        <v>45297.0</v>
      </c>
      <c r="B1580" s="2" t="s">
        <v>23</v>
      </c>
      <c r="C1580" s="2" t="s">
        <v>19</v>
      </c>
      <c r="D1580" s="2" t="s">
        <v>45</v>
      </c>
      <c r="E1580" s="2" t="s">
        <v>36</v>
      </c>
      <c r="F1580" s="5">
        <v>49659.0</v>
      </c>
      <c r="G1580" s="5">
        <v>2413.0</v>
      </c>
      <c r="H1580" s="5">
        <v>0.0486</v>
      </c>
      <c r="I1580" s="5">
        <v>1.45</v>
      </c>
      <c r="J1580" s="5">
        <v>3498.85</v>
      </c>
      <c r="K1580" s="5">
        <v>191.0</v>
      </c>
      <c r="L1580" s="5">
        <v>18.32</v>
      </c>
      <c r="M1580" s="5">
        <v>38157.72</v>
      </c>
      <c r="N1580" s="5">
        <v>10.91</v>
      </c>
      <c r="O1580" s="6">
        <f t="shared" si="1"/>
        <v>18.31858639</v>
      </c>
      <c r="P1580" s="6" t="str">
        <f t="shared" si="2"/>
        <v>Baseline</v>
      </c>
      <c r="Q1580" s="3">
        <f t="shared" si="3"/>
        <v>22</v>
      </c>
    </row>
    <row r="1581">
      <c r="A1581" s="4">
        <v>45475.0</v>
      </c>
      <c r="B1581" s="2" t="s">
        <v>23</v>
      </c>
      <c r="C1581" s="2" t="s">
        <v>41</v>
      </c>
      <c r="D1581" s="2" t="s">
        <v>20</v>
      </c>
      <c r="E1581" s="2" t="s">
        <v>33</v>
      </c>
      <c r="F1581" s="5">
        <v>103029.0</v>
      </c>
      <c r="G1581" s="5">
        <v>6830.0</v>
      </c>
      <c r="H1581" s="5">
        <v>0.0663</v>
      </c>
      <c r="I1581" s="5">
        <v>0.52</v>
      </c>
      <c r="J1581" s="5">
        <v>3551.6</v>
      </c>
      <c r="K1581" s="5">
        <v>148.0</v>
      </c>
      <c r="L1581" s="5">
        <v>24.0</v>
      </c>
      <c r="M1581" s="5">
        <v>14545.74</v>
      </c>
      <c r="N1581" s="5">
        <v>4.1</v>
      </c>
      <c r="O1581" s="6">
        <f t="shared" si="1"/>
        <v>23.9972973</v>
      </c>
      <c r="P1581" s="6" t="str">
        <f t="shared" si="2"/>
        <v>Post-Shift</v>
      </c>
      <c r="Q1581" s="3">
        <f t="shared" si="3"/>
        <v>6</v>
      </c>
    </row>
    <row r="1582">
      <c r="A1582" s="4">
        <v>45297.0</v>
      </c>
      <c r="B1582" s="2" t="s">
        <v>23</v>
      </c>
      <c r="C1582" s="2" t="s">
        <v>31</v>
      </c>
      <c r="D1582" s="2" t="s">
        <v>29</v>
      </c>
      <c r="E1582" s="2" t="s">
        <v>36</v>
      </c>
      <c r="F1582" s="5">
        <v>52368.0</v>
      </c>
      <c r="G1582" s="5">
        <v>3351.0</v>
      </c>
      <c r="H1582" s="5">
        <v>0.064</v>
      </c>
      <c r="I1582" s="5">
        <v>0.61</v>
      </c>
      <c r="J1582" s="5">
        <v>2044.11</v>
      </c>
      <c r="K1582" s="5">
        <v>117.0</v>
      </c>
      <c r="L1582" s="5">
        <v>17.47</v>
      </c>
      <c r="M1582" s="5">
        <v>12829.28</v>
      </c>
      <c r="N1582" s="5">
        <v>6.28</v>
      </c>
      <c r="O1582" s="6">
        <f t="shared" si="1"/>
        <v>17.47102564</v>
      </c>
      <c r="P1582" s="6" t="str">
        <f t="shared" si="2"/>
        <v>Baseline</v>
      </c>
      <c r="Q1582" s="3">
        <f t="shared" si="3"/>
        <v>22</v>
      </c>
    </row>
    <row r="1583">
      <c r="A1583" s="4" t="s">
        <v>26</v>
      </c>
      <c r="B1583" s="2" t="s">
        <v>23</v>
      </c>
      <c r="C1583" s="2" t="s">
        <v>27</v>
      </c>
      <c r="D1583" s="2" t="s">
        <v>24</v>
      </c>
      <c r="E1583" s="2" t="s">
        <v>36</v>
      </c>
      <c r="F1583" s="5">
        <v>144585.0</v>
      </c>
      <c r="G1583" s="5">
        <v>8357.0</v>
      </c>
      <c r="H1583" s="5">
        <v>0.0578</v>
      </c>
      <c r="I1583" s="5">
        <v>0.52</v>
      </c>
      <c r="J1583" s="5">
        <v>4345.64</v>
      </c>
      <c r="K1583" s="5">
        <v>412.0</v>
      </c>
      <c r="L1583" s="5">
        <v>10.55</v>
      </c>
      <c r="M1583" s="5">
        <v>78373.31</v>
      </c>
      <c r="N1583" s="5">
        <v>18.03</v>
      </c>
      <c r="O1583" s="6">
        <f t="shared" si="1"/>
        <v>10.5476699</v>
      </c>
      <c r="P1583" s="6" t="str">
        <f t="shared" si="2"/>
        <v>Post-Shift</v>
      </c>
      <c r="Q1583" s="3">
        <f t="shared" si="3"/>
        <v>24</v>
      </c>
    </row>
    <row r="1584">
      <c r="A1584" s="4" t="s">
        <v>128</v>
      </c>
      <c r="B1584" s="2" t="s">
        <v>23</v>
      </c>
      <c r="C1584" s="2" t="s">
        <v>31</v>
      </c>
      <c r="D1584" s="2" t="s">
        <v>20</v>
      </c>
      <c r="E1584" s="2" t="s">
        <v>25</v>
      </c>
      <c r="F1584" s="5">
        <v>40308.0</v>
      </c>
      <c r="G1584" s="5">
        <v>3853.0</v>
      </c>
      <c r="H1584" s="5">
        <v>0.0956</v>
      </c>
      <c r="I1584" s="5">
        <v>1.09</v>
      </c>
      <c r="J1584" s="5">
        <v>4199.77</v>
      </c>
      <c r="K1584" s="5">
        <v>291.0</v>
      </c>
      <c r="L1584" s="5">
        <v>14.43</v>
      </c>
      <c r="M1584" s="5">
        <v>33059.93</v>
      </c>
      <c r="N1584" s="5">
        <v>7.87</v>
      </c>
      <c r="O1584" s="6">
        <f t="shared" si="1"/>
        <v>14.43219931</v>
      </c>
      <c r="P1584" s="6" t="str">
        <f t="shared" si="2"/>
        <v>Post-Shift</v>
      </c>
      <c r="Q1584" s="3">
        <f t="shared" si="3"/>
        <v>12</v>
      </c>
    </row>
    <row r="1585">
      <c r="A1585" s="4">
        <v>45512.0</v>
      </c>
      <c r="B1585" s="2" t="s">
        <v>23</v>
      </c>
      <c r="C1585" s="2" t="s">
        <v>19</v>
      </c>
      <c r="D1585" s="2" t="s">
        <v>45</v>
      </c>
      <c r="E1585" s="2" t="s">
        <v>33</v>
      </c>
      <c r="F1585" s="5">
        <v>43635.0</v>
      </c>
      <c r="G1585" s="5">
        <v>2469.0</v>
      </c>
      <c r="H1585" s="5">
        <v>0.0566</v>
      </c>
      <c r="I1585" s="5">
        <v>1.21</v>
      </c>
      <c r="J1585" s="5">
        <v>2987.49</v>
      </c>
      <c r="K1585" s="5">
        <v>133.0</v>
      </c>
      <c r="L1585" s="5">
        <v>22.46</v>
      </c>
      <c r="M1585" s="5">
        <v>19667.27</v>
      </c>
      <c r="N1585" s="5">
        <v>6.58</v>
      </c>
      <c r="O1585" s="6">
        <f t="shared" si="1"/>
        <v>22.46233083</v>
      </c>
      <c r="P1585" s="6" t="str">
        <f t="shared" si="2"/>
        <v>Post-Shift</v>
      </c>
      <c r="Q1585" s="3">
        <f t="shared" si="3"/>
        <v>32</v>
      </c>
    </row>
    <row r="1586">
      <c r="A1586" s="4">
        <v>45512.0</v>
      </c>
      <c r="B1586" s="2" t="s">
        <v>38</v>
      </c>
      <c r="C1586" s="2" t="s">
        <v>19</v>
      </c>
      <c r="D1586" s="2" t="s">
        <v>24</v>
      </c>
      <c r="E1586" s="2" t="s">
        <v>56</v>
      </c>
      <c r="F1586" s="5">
        <v>164074.0</v>
      </c>
      <c r="G1586" s="5">
        <v>6152.0</v>
      </c>
      <c r="H1586" s="5">
        <v>0.0375</v>
      </c>
      <c r="I1586" s="5">
        <v>0.95</v>
      </c>
      <c r="J1586" s="5">
        <v>5844.4</v>
      </c>
      <c r="K1586" s="5">
        <v>360.0</v>
      </c>
      <c r="L1586" s="5">
        <v>16.23</v>
      </c>
      <c r="M1586" s="5">
        <v>47241.24</v>
      </c>
      <c r="N1586" s="5">
        <v>8.08</v>
      </c>
      <c r="O1586" s="6">
        <f t="shared" si="1"/>
        <v>16.23444444</v>
      </c>
      <c r="P1586" s="6" t="str">
        <f t="shared" si="2"/>
        <v>Post-Shift</v>
      </c>
      <c r="Q1586" s="3">
        <f t="shared" si="3"/>
        <v>32</v>
      </c>
    </row>
    <row r="1587">
      <c r="A1587" s="4" t="s">
        <v>52</v>
      </c>
      <c r="B1587" s="2" t="s">
        <v>38</v>
      </c>
      <c r="C1587" s="2" t="s">
        <v>31</v>
      </c>
      <c r="D1587" s="2" t="s">
        <v>29</v>
      </c>
      <c r="E1587" s="2" t="s">
        <v>36</v>
      </c>
      <c r="F1587" s="5">
        <v>107300.0</v>
      </c>
      <c r="G1587" s="5">
        <v>2693.0</v>
      </c>
      <c r="H1587" s="5">
        <v>0.0251</v>
      </c>
      <c r="I1587" s="5">
        <v>0.57</v>
      </c>
      <c r="J1587" s="5">
        <v>1535.01</v>
      </c>
      <c r="K1587" s="5">
        <v>153.0</v>
      </c>
      <c r="L1587" s="5">
        <v>10.03</v>
      </c>
      <c r="M1587" s="5">
        <v>18121.16</v>
      </c>
      <c r="N1587" s="5">
        <v>11.81</v>
      </c>
      <c r="O1587" s="6">
        <f t="shared" si="1"/>
        <v>10.0327451</v>
      </c>
      <c r="P1587" s="6" t="str">
        <f t="shared" si="2"/>
        <v>Post-Shift</v>
      </c>
      <c r="Q1587" s="3">
        <f t="shared" si="3"/>
        <v>33</v>
      </c>
    </row>
    <row r="1588">
      <c r="A1588" s="4">
        <v>45393.0</v>
      </c>
      <c r="B1588" s="2" t="s">
        <v>38</v>
      </c>
      <c r="C1588" s="2" t="s">
        <v>41</v>
      </c>
      <c r="D1588" s="2" t="s">
        <v>24</v>
      </c>
      <c r="E1588" s="2" t="s">
        <v>56</v>
      </c>
      <c r="F1588" s="5">
        <v>177443.0</v>
      </c>
      <c r="G1588" s="5">
        <v>4400.0</v>
      </c>
      <c r="H1588" s="5">
        <v>0.0248</v>
      </c>
      <c r="I1588" s="5">
        <v>2.17</v>
      </c>
      <c r="J1588" s="5">
        <v>9548.0</v>
      </c>
      <c r="K1588" s="5">
        <v>231.0</v>
      </c>
      <c r="L1588" s="5">
        <v>41.33</v>
      </c>
      <c r="M1588" s="5">
        <v>43094.26</v>
      </c>
      <c r="N1588" s="5">
        <v>4.51</v>
      </c>
      <c r="O1588" s="6">
        <f t="shared" si="1"/>
        <v>41.33333333</v>
      </c>
      <c r="P1588" s="6" t="str">
        <f t="shared" si="2"/>
        <v>Baseline</v>
      </c>
      <c r="Q1588" s="3">
        <f t="shared" si="3"/>
        <v>45</v>
      </c>
    </row>
    <row r="1589">
      <c r="A1589" s="4" t="s">
        <v>245</v>
      </c>
      <c r="B1589" s="2" t="s">
        <v>23</v>
      </c>
      <c r="C1589" s="2" t="s">
        <v>31</v>
      </c>
      <c r="D1589" s="2" t="s">
        <v>24</v>
      </c>
      <c r="E1589" s="2" t="s">
        <v>21</v>
      </c>
      <c r="F1589" s="5">
        <v>141268.0</v>
      </c>
      <c r="G1589" s="5">
        <v>7402.0</v>
      </c>
      <c r="H1589" s="5">
        <v>0.0524</v>
      </c>
      <c r="I1589" s="5">
        <v>1.24</v>
      </c>
      <c r="J1589" s="5">
        <v>9178.48</v>
      </c>
      <c r="K1589" s="5">
        <v>335.0</v>
      </c>
      <c r="L1589" s="5">
        <v>27.4</v>
      </c>
      <c r="M1589" s="5">
        <v>31326.97</v>
      </c>
      <c r="N1589" s="5">
        <v>3.41</v>
      </c>
      <c r="O1589" s="6">
        <f t="shared" si="1"/>
        <v>27.39844776</v>
      </c>
      <c r="P1589" s="6" t="str">
        <f t="shared" si="2"/>
        <v>Post-Shift</v>
      </c>
      <c r="Q1589" s="3">
        <f t="shared" si="3"/>
        <v>16</v>
      </c>
    </row>
    <row r="1590">
      <c r="A1590" s="4" t="s">
        <v>47</v>
      </c>
      <c r="B1590" s="2" t="s">
        <v>23</v>
      </c>
      <c r="C1590" s="2" t="s">
        <v>41</v>
      </c>
      <c r="D1590" s="2" t="s">
        <v>24</v>
      </c>
      <c r="E1590" s="2" t="s">
        <v>33</v>
      </c>
      <c r="F1590" s="5">
        <v>145631.0</v>
      </c>
      <c r="G1590" s="5">
        <v>4194.0</v>
      </c>
      <c r="H1590" s="5">
        <v>0.0288</v>
      </c>
      <c r="I1590" s="5">
        <v>0.84</v>
      </c>
      <c r="J1590" s="5">
        <v>3522.96</v>
      </c>
      <c r="K1590" s="5">
        <v>59.0</v>
      </c>
      <c r="L1590" s="5">
        <v>59.71</v>
      </c>
      <c r="M1590" s="5">
        <v>15427.34</v>
      </c>
      <c r="N1590" s="5">
        <v>4.38</v>
      </c>
      <c r="O1590" s="6">
        <f t="shared" si="1"/>
        <v>59.71118644</v>
      </c>
      <c r="P1590" s="6" t="str">
        <f t="shared" si="2"/>
        <v>Post-Shift</v>
      </c>
      <c r="Q1590" s="3">
        <f t="shared" si="3"/>
        <v>22</v>
      </c>
    </row>
    <row r="1591">
      <c r="A1591" s="4" t="s">
        <v>133</v>
      </c>
      <c r="B1591" s="2" t="s">
        <v>23</v>
      </c>
      <c r="C1591" s="2" t="s">
        <v>19</v>
      </c>
      <c r="D1591" s="2" t="s">
        <v>24</v>
      </c>
      <c r="E1591" s="2" t="s">
        <v>36</v>
      </c>
      <c r="F1591" s="5">
        <v>191041.0</v>
      </c>
      <c r="G1591" s="5">
        <v>7393.0</v>
      </c>
      <c r="H1591" s="5">
        <v>0.0387</v>
      </c>
      <c r="I1591" s="5">
        <v>0.53</v>
      </c>
      <c r="J1591" s="5">
        <v>3918.29</v>
      </c>
      <c r="K1591" s="5">
        <v>446.0</v>
      </c>
      <c r="L1591" s="5">
        <v>8.79</v>
      </c>
      <c r="M1591" s="5">
        <v>15789.02</v>
      </c>
      <c r="N1591" s="5">
        <v>4.03</v>
      </c>
      <c r="O1591" s="6">
        <f t="shared" si="1"/>
        <v>8.785403587</v>
      </c>
      <c r="P1591" s="6" t="str">
        <f t="shared" si="2"/>
        <v>Post-Shift</v>
      </c>
      <c r="Q1591" s="3">
        <f t="shared" si="3"/>
        <v>47</v>
      </c>
    </row>
    <row r="1592">
      <c r="A1592" s="4" t="s">
        <v>43</v>
      </c>
      <c r="B1592" s="2" t="s">
        <v>23</v>
      </c>
      <c r="C1592" s="2" t="s">
        <v>27</v>
      </c>
      <c r="D1592" s="2" t="s">
        <v>29</v>
      </c>
      <c r="E1592" s="2" t="s">
        <v>25</v>
      </c>
      <c r="F1592" s="5">
        <v>72145.0</v>
      </c>
      <c r="G1592" s="5">
        <v>3058.0</v>
      </c>
      <c r="H1592" s="5">
        <v>0.0424</v>
      </c>
      <c r="I1592" s="5">
        <v>0.77</v>
      </c>
      <c r="J1592" s="5">
        <v>2354.66</v>
      </c>
      <c r="K1592" s="5">
        <v>78.0</v>
      </c>
      <c r="L1592" s="5">
        <v>30.19</v>
      </c>
      <c r="M1592" s="5">
        <v>7543.67</v>
      </c>
      <c r="N1592" s="5">
        <v>3.2</v>
      </c>
      <c r="O1592" s="6">
        <f t="shared" si="1"/>
        <v>30.18794872</v>
      </c>
      <c r="P1592" s="6" t="str">
        <f t="shared" si="2"/>
        <v>Post-Shift</v>
      </c>
      <c r="Q1592" s="3">
        <f t="shared" si="3"/>
        <v>46</v>
      </c>
    </row>
    <row r="1593">
      <c r="A1593" s="4">
        <v>45385.0</v>
      </c>
      <c r="B1593" s="2" t="s">
        <v>38</v>
      </c>
      <c r="C1593" s="2" t="s">
        <v>27</v>
      </c>
      <c r="D1593" s="2" t="s">
        <v>32</v>
      </c>
      <c r="E1593" s="2" t="s">
        <v>21</v>
      </c>
      <c r="F1593" s="5">
        <v>113447.0</v>
      </c>
      <c r="G1593" s="5">
        <v>1826.0</v>
      </c>
      <c r="H1593" s="5">
        <v>0.0161</v>
      </c>
      <c r="I1593" s="5">
        <v>1.73</v>
      </c>
      <c r="J1593" s="5">
        <v>3158.98</v>
      </c>
      <c r="K1593" s="5">
        <v>24.0</v>
      </c>
      <c r="L1593" s="5">
        <v>131.62</v>
      </c>
      <c r="M1593" s="5">
        <v>4477.79</v>
      </c>
      <c r="N1593" s="5">
        <v>1.42</v>
      </c>
      <c r="O1593" s="6">
        <f t="shared" si="1"/>
        <v>131.6241667</v>
      </c>
      <c r="P1593" s="6" t="str">
        <f t="shared" si="2"/>
        <v>Baseline</v>
      </c>
      <c r="Q1593" s="3">
        <f t="shared" si="3"/>
        <v>10</v>
      </c>
    </row>
    <row r="1594">
      <c r="A1594" s="4">
        <v>45638.0</v>
      </c>
      <c r="B1594" s="2" t="s">
        <v>23</v>
      </c>
      <c r="C1594" s="2" t="s">
        <v>19</v>
      </c>
      <c r="D1594" s="2" t="s">
        <v>29</v>
      </c>
      <c r="E1594" s="2" t="s">
        <v>56</v>
      </c>
      <c r="F1594" s="5">
        <v>195512.0</v>
      </c>
      <c r="G1594" s="5">
        <v>8328.0</v>
      </c>
      <c r="H1594" s="5">
        <v>0.0426</v>
      </c>
      <c r="I1594" s="5">
        <v>1.63</v>
      </c>
      <c r="J1594" s="5">
        <v>13574.64</v>
      </c>
      <c r="K1594" s="5">
        <v>198.0</v>
      </c>
      <c r="L1594" s="5">
        <v>68.56</v>
      </c>
      <c r="M1594" s="5">
        <v>14486.58</v>
      </c>
      <c r="N1594" s="5">
        <v>1.07</v>
      </c>
      <c r="O1594" s="6">
        <f t="shared" si="1"/>
        <v>68.55878788</v>
      </c>
      <c r="P1594" s="6" t="str">
        <f t="shared" si="2"/>
        <v>Post-Shift</v>
      </c>
      <c r="Q1594" s="3">
        <f t="shared" si="3"/>
        <v>50</v>
      </c>
    </row>
    <row r="1595">
      <c r="A1595" s="4" t="s">
        <v>194</v>
      </c>
      <c r="B1595" s="2" t="s">
        <v>38</v>
      </c>
      <c r="C1595" s="2" t="s">
        <v>19</v>
      </c>
      <c r="D1595" s="2" t="s">
        <v>32</v>
      </c>
      <c r="E1595" s="2" t="s">
        <v>30</v>
      </c>
      <c r="F1595" s="5">
        <v>149446.0</v>
      </c>
      <c r="G1595" s="5">
        <v>6456.0</v>
      </c>
      <c r="H1595" s="5">
        <v>0.0432</v>
      </c>
      <c r="I1595" s="5">
        <v>2.19</v>
      </c>
      <c r="J1595" s="5">
        <v>14138.64</v>
      </c>
      <c r="K1595" s="5">
        <v>397.0</v>
      </c>
      <c r="L1595" s="5">
        <v>35.61</v>
      </c>
      <c r="M1595" s="5">
        <v>118768.9</v>
      </c>
      <c r="N1595" s="5">
        <v>8.4</v>
      </c>
      <c r="O1595" s="6">
        <f t="shared" si="1"/>
        <v>35.61370277</v>
      </c>
      <c r="P1595" s="6" t="str">
        <f t="shared" si="2"/>
        <v>Post-Shift</v>
      </c>
      <c r="Q1595" s="3">
        <f t="shared" si="3"/>
        <v>25</v>
      </c>
    </row>
    <row r="1596">
      <c r="A1596" s="4">
        <v>45360.0</v>
      </c>
      <c r="B1596" s="2" t="s">
        <v>23</v>
      </c>
      <c r="C1596" s="2" t="s">
        <v>27</v>
      </c>
      <c r="D1596" s="2" t="s">
        <v>32</v>
      </c>
      <c r="E1596" s="2" t="s">
        <v>33</v>
      </c>
      <c r="F1596" s="5">
        <v>154307.0</v>
      </c>
      <c r="G1596" s="5">
        <v>9212.0</v>
      </c>
      <c r="H1596" s="5">
        <v>0.0597</v>
      </c>
      <c r="I1596" s="5">
        <v>1.3</v>
      </c>
      <c r="J1596" s="5">
        <v>11975.6</v>
      </c>
      <c r="K1596" s="5">
        <v>700.0</v>
      </c>
      <c r="L1596" s="5">
        <v>17.11</v>
      </c>
      <c r="M1596" s="5">
        <v>61706.24</v>
      </c>
      <c r="N1596" s="5">
        <v>5.15</v>
      </c>
      <c r="O1596" s="6">
        <f t="shared" si="1"/>
        <v>17.108</v>
      </c>
      <c r="P1596" s="6" t="str">
        <f t="shared" si="2"/>
        <v>Baseline</v>
      </c>
      <c r="Q1596" s="3">
        <f t="shared" si="3"/>
        <v>36</v>
      </c>
    </row>
    <row r="1597">
      <c r="A1597" s="4" t="s">
        <v>62</v>
      </c>
      <c r="B1597" s="2" t="s">
        <v>38</v>
      </c>
      <c r="C1597" s="2" t="s">
        <v>41</v>
      </c>
      <c r="D1597" s="2" t="s">
        <v>29</v>
      </c>
      <c r="E1597" s="2" t="s">
        <v>56</v>
      </c>
      <c r="F1597" s="5">
        <v>149675.0</v>
      </c>
      <c r="G1597" s="5">
        <v>3143.0</v>
      </c>
      <c r="H1597" s="5">
        <v>0.021</v>
      </c>
      <c r="I1597" s="5">
        <v>1.55</v>
      </c>
      <c r="J1597" s="5">
        <v>4871.65</v>
      </c>
      <c r="K1597" s="5">
        <v>147.0</v>
      </c>
      <c r="L1597" s="5">
        <v>33.14</v>
      </c>
      <c r="M1597" s="5">
        <v>33184.47</v>
      </c>
      <c r="N1597" s="5">
        <v>6.81</v>
      </c>
      <c r="O1597" s="6">
        <f t="shared" si="1"/>
        <v>33.14047619</v>
      </c>
      <c r="P1597" s="6" t="str">
        <f t="shared" si="2"/>
        <v>Post-Shift</v>
      </c>
      <c r="Q1597" s="3">
        <f t="shared" si="3"/>
        <v>48</v>
      </c>
    </row>
    <row r="1598">
      <c r="A1598" s="4">
        <v>45416.0</v>
      </c>
      <c r="B1598" s="2" t="s">
        <v>23</v>
      </c>
      <c r="C1598" s="2" t="s">
        <v>31</v>
      </c>
      <c r="D1598" s="2" t="s">
        <v>29</v>
      </c>
      <c r="E1598" s="2" t="s">
        <v>21</v>
      </c>
      <c r="F1598" s="5">
        <v>184065.0</v>
      </c>
      <c r="G1598" s="5">
        <v>6350.0</v>
      </c>
      <c r="H1598" s="5">
        <v>0.0345</v>
      </c>
      <c r="I1598" s="5">
        <v>1.34</v>
      </c>
      <c r="J1598" s="5">
        <v>8509.0</v>
      </c>
      <c r="K1598" s="5">
        <v>273.0</v>
      </c>
      <c r="L1598" s="5">
        <v>31.17</v>
      </c>
      <c r="M1598" s="5">
        <v>39093.51</v>
      </c>
      <c r="N1598" s="5">
        <v>4.59</v>
      </c>
      <c r="O1598" s="6">
        <f t="shared" si="1"/>
        <v>31.16849817</v>
      </c>
      <c r="P1598" s="6" t="str">
        <f t="shared" si="2"/>
        <v>Baseline</v>
      </c>
      <c r="Q1598" s="3">
        <f t="shared" si="3"/>
        <v>14</v>
      </c>
    </row>
    <row r="1599">
      <c r="A1599" s="4">
        <v>45392.0</v>
      </c>
      <c r="B1599" s="2" t="s">
        <v>23</v>
      </c>
      <c r="C1599" s="2" t="s">
        <v>19</v>
      </c>
      <c r="D1599" s="2" t="s">
        <v>24</v>
      </c>
      <c r="E1599" s="2" t="s">
        <v>33</v>
      </c>
      <c r="F1599" s="5">
        <v>64484.0</v>
      </c>
      <c r="G1599" s="5">
        <v>2966.0</v>
      </c>
      <c r="H1599" s="5">
        <v>0.046</v>
      </c>
      <c r="I1599" s="5">
        <v>1.25</v>
      </c>
      <c r="J1599" s="5">
        <v>3707.5</v>
      </c>
      <c r="K1599" s="5">
        <v>227.0</v>
      </c>
      <c r="L1599" s="5">
        <v>16.33</v>
      </c>
      <c r="M1599" s="5">
        <v>27232.61</v>
      </c>
      <c r="N1599" s="5">
        <v>7.35</v>
      </c>
      <c r="O1599" s="6">
        <f t="shared" si="1"/>
        <v>16.33259912</v>
      </c>
      <c r="P1599" s="6" t="str">
        <f t="shared" si="2"/>
        <v>Baseline</v>
      </c>
      <c r="Q1599" s="3">
        <f t="shared" si="3"/>
        <v>40</v>
      </c>
    </row>
    <row r="1600">
      <c r="A1600" s="4" t="s">
        <v>165</v>
      </c>
      <c r="B1600" s="2" t="s">
        <v>38</v>
      </c>
      <c r="C1600" s="2" t="s">
        <v>27</v>
      </c>
      <c r="D1600" s="2" t="s">
        <v>24</v>
      </c>
      <c r="E1600" s="2" t="s">
        <v>21</v>
      </c>
      <c r="F1600" s="5">
        <v>148088.0</v>
      </c>
      <c r="G1600" s="5">
        <v>4561.0</v>
      </c>
      <c r="H1600" s="5">
        <v>0.0308</v>
      </c>
      <c r="I1600" s="5">
        <v>1.36</v>
      </c>
      <c r="J1600" s="5">
        <v>6202.96</v>
      </c>
      <c r="K1600" s="5">
        <v>173.0</v>
      </c>
      <c r="L1600" s="5">
        <v>35.86</v>
      </c>
      <c r="M1600" s="5">
        <v>48056.97</v>
      </c>
      <c r="N1600" s="5">
        <v>7.75</v>
      </c>
      <c r="O1600" s="6">
        <f t="shared" si="1"/>
        <v>35.85526012</v>
      </c>
      <c r="P1600" s="6" t="str">
        <f t="shared" si="2"/>
        <v>Post-Shift</v>
      </c>
      <c r="Q1600" s="3">
        <f t="shared" si="3"/>
        <v>31</v>
      </c>
    </row>
    <row r="1601">
      <c r="A1601" s="4">
        <v>45544.0</v>
      </c>
      <c r="B1601" s="2" t="s">
        <v>18</v>
      </c>
      <c r="C1601" s="2" t="s">
        <v>41</v>
      </c>
      <c r="D1601" s="2" t="s">
        <v>32</v>
      </c>
      <c r="E1601" s="2" t="s">
        <v>56</v>
      </c>
      <c r="F1601" s="5">
        <v>28068.0</v>
      </c>
      <c r="G1601" s="5">
        <v>990.0</v>
      </c>
      <c r="H1601" s="5">
        <v>0.0353</v>
      </c>
      <c r="I1601" s="5">
        <v>1.01</v>
      </c>
      <c r="J1601" s="5">
        <v>999.9</v>
      </c>
      <c r="K1601" s="5">
        <v>28.0</v>
      </c>
      <c r="L1601" s="5">
        <v>35.71</v>
      </c>
      <c r="M1601" s="5">
        <v>5661.1</v>
      </c>
      <c r="N1601" s="5">
        <v>5.66</v>
      </c>
      <c r="O1601" s="6">
        <f t="shared" si="1"/>
        <v>35.71071429</v>
      </c>
      <c r="P1601" s="6" t="str">
        <f t="shared" si="2"/>
        <v>Post-Shift</v>
      </c>
      <c r="Q1601" s="3">
        <f t="shared" si="3"/>
        <v>37</v>
      </c>
    </row>
    <row r="1602">
      <c r="A1602" s="4" t="s">
        <v>201</v>
      </c>
      <c r="B1602" s="2" t="s">
        <v>23</v>
      </c>
      <c r="C1602" s="2" t="s">
        <v>19</v>
      </c>
      <c r="D1602" s="2" t="s">
        <v>29</v>
      </c>
      <c r="E1602" s="2" t="s">
        <v>30</v>
      </c>
      <c r="F1602" s="5">
        <v>131385.0</v>
      </c>
      <c r="G1602" s="5">
        <v>6910.0</v>
      </c>
      <c r="H1602" s="5">
        <v>0.0526</v>
      </c>
      <c r="I1602" s="5">
        <v>0.34</v>
      </c>
      <c r="J1602" s="5">
        <v>2349.4</v>
      </c>
      <c r="K1602" s="5">
        <v>206.0</v>
      </c>
      <c r="L1602" s="5">
        <v>11.4</v>
      </c>
      <c r="M1602" s="5">
        <v>6729.96</v>
      </c>
      <c r="N1602" s="5">
        <v>2.86</v>
      </c>
      <c r="O1602" s="6">
        <f t="shared" si="1"/>
        <v>11.40485437</v>
      </c>
      <c r="P1602" s="6" t="str">
        <f t="shared" si="2"/>
        <v>Post-Shift</v>
      </c>
      <c r="Q1602" s="3">
        <f t="shared" si="3"/>
        <v>12</v>
      </c>
    </row>
    <row r="1603">
      <c r="A1603" s="4" t="s">
        <v>75</v>
      </c>
      <c r="B1603" s="2" t="s">
        <v>23</v>
      </c>
      <c r="C1603" s="2" t="s">
        <v>19</v>
      </c>
      <c r="D1603" s="2" t="s">
        <v>24</v>
      </c>
      <c r="E1603" s="2" t="s">
        <v>21</v>
      </c>
      <c r="F1603" s="5">
        <v>77882.0</v>
      </c>
      <c r="G1603" s="5">
        <v>3029.0</v>
      </c>
      <c r="H1603" s="5">
        <v>0.0389</v>
      </c>
      <c r="I1603" s="5">
        <v>0.47</v>
      </c>
      <c r="J1603" s="5">
        <v>1423.63</v>
      </c>
      <c r="K1603" s="5">
        <v>228.0</v>
      </c>
      <c r="L1603" s="5">
        <v>6.24</v>
      </c>
      <c r="M1603" s="5">
        <v>44433.62</v>
      </c>
      <c r="N1603" s="5">
        <v>31.21</v>
      </c>
      <c r="O1603" s="6">
        <f t="shared" si="1"/>
        <v>6.243991228</v>
      </c>
      <c r="P1603" s="6" t="str">
        <f t="shared" si="2"/>
        <v>Post-Shift</v>
      </c>
      <c r="Q1603" s="3">
        <f t="shared" si="3"/>
        <v>20</v>
      </c>
    </row>
    <row r="1604">
      <c r="A1604" s="4">
        <v>45574.0</v>
      </c>
      <c r="B1604" s="2" t="s">
        <v>23</v>
      </c>
      <c r="C1604" s="2" t="s">
        <v>31</v>
      </c>
      <c r="D1604" s="2" t="s">
        <v>29</v>
      </c>
      <c r="E1604" s="2" t="s">
        <v>21</v>
      </c>
      <c r="F1604" s="5">
        <v>90066.0</v>
      </c>
      <c r="G1604" s="5">
        <v>6025.0</v>
      </c>
      <c r="H1604" s="5">
        <v>0.0669</v>
      </c>
      <c r="I1604" s="5">
        <v>1.77</v>
      </c>
      <c r="J1604" s="5">
        <v>10664.25</v>
      </c>
      <c r="K1604" s="5">
        <v>417.0</v>
      </c>
      <c r="L1604" s="5">
        <v>25.57</v>
      </c>
      <c r="M1604" s="5">
        <v>40275.46</v>
      </c>
      <c r="N1604" s="5">
        <v>3.78</v>
      </c>
      <c r="O1604" s="6">
        <f t="shared" si="1"/>
        <v>25.57374101</v>
      </c>
      <c r="P1604" s="6" t="str">
        <f t="shared" si="2"/>
        <v>Post-Shift</v>
      </c>
      <c r="Q1604" s="3">
        <f t="shared" si="3"/>
        <v>37</v>
      </c>
    </row>
    <row r="1605">
      <c r="A1605" s="4" t="s">
        <v>102</v>
      </c>
      <c r="B1605" s="2" t="s">
        <v>38</v>
      </c>
      <c r="C1605" s="2" t="s">
        <v>31</v>
      </c>
      <c r="D1605" s="2" t="s">
        <v>45</v>
      </c>
      <c r="E1605" s="2" t="s">
        <v>56</v>
      </c>
      <c r="F1605" s="5">
        <v>186775.0</v>
      </c>
      <c r="G1605" s="5">
        <v>2409.0</v>
      </c>
      <c r="H1605" s="5">
        <v>0.0129</v>
      </c>
      <c r="I1605" s="5">
        <v>0.69</v>
      </c>
      <c r="J1605" s="5">
        <v>1662.21</v>
      </c>
      <c r="K1605" s="5">
        <v>107.0</v>
      </c>
      <c r="L1605" s="5">
        <v>15.53</v>
      </c>
      <c r="M1605" s="5">
        <v>10079.71</v>
      </c>
      <c r="N1605" s="5">
        <v>6.06</v>
      </c>
      <c r="O1605" s="6">
        <f t="shared" si="1"/>
        <v>15.5346729</v>
      </c>
      <c r="P1605" s="6" t="str">
        <f t="shared" si="2"/>
        <v>Post-Shift</v>
      </c>
      <c r="Q1605" s="3">
        <f t="shared" si="3"/>
        <v>30</v>
      </c>
    </row>
    <row r="1606">
      <c r="A1606" s="4" t="s">
        <v>98</v>
      </c>
      <c r="B1606" s="2" t="s">
        <v>18</v>
      </c>
      <c r="C1606" s="2" t="s">
        <v>27</v>
      </c>
      <c r="D1606" s="2" t="s">
        <v>20</v>
      </c>
      <c r="E1606" s="2" t="s">
        <v>56</v>
      </c>
      <c r="F1606" s="5">
        <v>57328.0</v>
      </c>
      <c r="G1606" s="5">
        <v>2161.0</v>
      </c>
      <c r="H1606" s="5">
        <v>0.0377</v>
      </c>
      <c r="I1606" s="5">
        <v>1.53</v>
      </c>
      <c r="J1606" s="5">
        <v>3306.33</v>
      </c>
      <c r="K1606" s="5">
        <v>99.0</v>
      </c>
      <c r="L1606" s="5">
        <v>33.4</v>
      </c>
      <c r="M1606" s="5">
        <v>17903.97</v>
      </c>
      <c r="N1606" s="5">
        <v>5.42</v>
      </c>
      <c r="O1606" s="6">
        <f t="shared" si="1"/>
        <v>33.39727273</v>
      </c>
      <c r="P1606" s="6" t="str">
        <f t="shared" si="2"/>
        <v>Post-Shift</v>
      </c>
      <c r="Q1606" s="3">
        <f t="shared" si="3"/>
        <v>16</v>
      </c>
    </row>
    <row r="1607">
      <c r="A1607" s="4" t="s">
        <v>34</v>
      </c>
      <c r="B1607" s="2" t="s">
        <v>18</v>
      </c>
      <c r="C1607" s="2" t="s">
        <v>27</v>
      </c>
      <c r="D1607" s="2" t="s">
        <v>32</v>
      </c>
      <c r="E1607" s="2" t="s">
        <v>56</v>
      </c>
      <c r="F1607" s="5">
        <v>87570.0</v>
      </c>
      <c r="G1607" s="5">
        <v>3415.0</v>
      </c>
      <c r="H1607" s="5">
        <v>0.039</v>
      </c>
      <c r="I1607" s="5">
        <v>2.57</v>
      </c>
      <c r="J1607" s="5">
        <v>8776.55</v>
      </c>
      <c r="K1607" s="5">
        <v>236.0</v>
      </c>
      <c r="L1607" s="5">
        <v>37.19</v>
      </c>
      <c r="M1607" s="5">
        <v>46705.85</v>
      </c>
      <c r="N1607" s="5">
        <v>5.32</v>
      </c>
      <c r="O1607" s="6">
        <f t="shared" si="1"/>
        <v>37.18877119</v>
      </c>
      <c r="P1607" s="6" t="str">
        <f t="shared" si="2"/>
        <v>Post-Shift</v>
      </c>
      <c r="Q1607" s="3">
        <f t="shared" si="3"/>
        <v>8</v>
      </c>
    </row>
    <row r="1608">
      <c r="A1608" s="4" t="s">
        <v>230</v>
      </c>
      <c r="B1608" s="2" t="s">
        <v>38</v>
      </c>
      <c r="C1608" s="2" t="s">
        <v>27</v>
      </c>
      <c r="D1608" s="2" t="s">
        <v>32</v>
      </c>
      <c r="E1608" s="2" t="s">
        <v>21</v>
      </c>
      <c r="F1608" s="5">
        <v>54864.0</v>
      </c>
      <c r="G1608" s="5">
        <v>1876.0</v>
      </c>
      <c r="H1608" s="5">
        <v>0.0342</v>
      </c>
      <c r="I1608" s="5">
        <v>1.52</v>
      </c>
      <c r="J1608" s="5">
        <v>2851.52</v>
      </c>
      <c r="K1608" s="5">
        <v>121.0</v>
      </c>
      <c r="L1608" s="5">
        <v>23.57</v>
      </c>
      <c r="M1608" s="5">
        <v>23640.39</v>
      </c>
      <c r="N1608" s="5">
        <v>8.29</v>
      </c>
      <c r="O1608" s="6">
        <f t="shared" si="1"/>
        <v>23.56628099</v>
      </c>
      <c r="P1608" s="6" t="str">
        <f t="shared" si="2"/>
        <v>Post-Shift</v>
      </c>
      <c r="Q1608" s="3">
        <f t="shared" si="3"/>
        <v>25</v>
      </c>
    </row>
    <row r="1609">
      <c r="A1609" s="4">
        <v>45393.0</v>
      </c>
      <c r="B1609" s="2" t="s">
        <v>18</v>
      </c>
      <c r="C1609" s="2" t="s">
        <v>41</v>
      </c>
      <c r="D1609" s="2" t="s">
        <v>32</v>
      </c>
      <c r="E1609" s="2" t="s">
        <v>58</v>
      </c>
      <c r="F1609" s="5">
        <v>91861.0</v>
      </c>
      <c r="G1609" s="5">
        <v>2535.0</v>
      </c>
      <c r="H1609" s="5">
        <v>0.0276</v>
      </c>
      <c r="I1609" s="5">
        <v>1.24</v>
      </c>
      <c r="J1609" s="5">
        <v>3143.4</v>
      </c>
      <c r="K1609" s="5">
        <v>137.0</v>
      </c>
      <c r="L1609" s="5">
        <v>22.94</v>
      </c>
      <c r="M1609" s="5">
        <v>8299.82</v>
      </c>
      <c r="N1609" s="5">
        <v>2.64</v>
      </c>
      <c r="O1609" s="6">
        <f t="shared" si="1"/>
        <v>22.94452555</v>
      </c>
      <c r="P1609" s="6" t="str">
        <f t="shared" si="2"/>
        <v>Baseline</v>
      </c>
      <c r="Q1609" s="3">
        <f t="shared" si="3"/>
        <v>45</v>
      </c>
    </row>
    <row r="1610">
      <c r="A1610" s="4">
        <v>45388.0</v>
      </c>
      <c r="B1610" s="2" t="s">
        <v>38</v>
      </c>
      <c r="C1610" s="2" t="s">
        <v>19</v>
      </c>
      <c r="D1610" s="2" t="s">
        <v>45</v>
      </c>
      <c r="E1610" s="2" t="s">
        <v>58</v>
      </c>
      <c r="F1610" s="5">
        <v>16920.0</v>
      </c>
      <c r="G1610" s="5">
        <v>389.0</v>
      </c>
      <c r="H1610" s="5">
        <v>0.023</v>
      </c>
      <c r="I1610" s="5">
        <v>1.23</v>
      </c>
      <c r="J1610" s="5">
        <v>478.47</v>
      </c>
      <c r="K1610" s="5">
        <v>15.0</v>
      </c>
      <c r="L1610" s="5">
        <v>31.9</v>
      </c>
      <c r="M1610" s="5">
        <v>3222.58</v>
      </c>
      <c r="N1610" s="5">
        <v>6.74</v>
      </c>
      <c r="O1610" s="6">
        <f t="shared" si="1"/>
        <v>31.898</v>
      </c>
      <c r="P1610" s="6" t="str">
        <f t="shared" si="2"/>
        <v>Baseline</v>
      </c>
      <c r="Q1610" s="3">
        <f t="shared" si="3"/>
        <v>23</v>
      </c>
    </row>
    <row r="1611">
      <c r="A1611" s="4" t="s">
        <v>69</v>
      </c>
      <c r="B1611" s="2" t="s">
        <v>38</v>
      </c>
      <c r="C1611" s="2" t="s">
        <v>31</v>
      </c>
      <c r="D1611" s="2" t="s">
        <v>29</v>
      </c>
      <c r="E1611" s="2" t="s">
        <v>56</v>
      </c>
      <c r="F1611" s="5">
        <v>117421.0</v>
      </c>
      <c r="G1611" s="5">
        <v>3428.0</v>
      </c>
      <c r="H1611" s="5">
        <v>0.0292</v>
      </c>
      <c r="I1611" s="5">
        <v>0.61</v>
      </c>
      <c r="J1611" s="5">
        <v>2091.08</v>
      </c>
      <c r="K1611" s="5">
        <v>99.0</v>
      </c>
      <c r="L1611" s="5">
        <v>21.12</v>
      </c>
      <c r="M1611" s="5">
        <v>25079.21</v>
      </c>
      <c r="N1611" s="5">
        <v>11.99</v>
      </c>
      <c r="O1611" s="6">
        <f t="shared" si="1"/>
        <v>21.1220202</v>
      </c>
      <c r="P1611" s="6" t="str">
        <f t="shared" si="2"/>
        <v>Post-Shift</v>
      </c>
      <c r="Q1611" s="3">
        <f t="shared" si="3"/>
        <v>33</v>
      </c>
    </row>
    <row r="1612">
      <c r="A1612" s="4" t="s">
        <v>251</v>
      </c>
      <c r="B1612" s="2" t="s">
        <v>18</v>
      </c>
      <c r="C1612" s="2" t="s">
        <v>41</v>
      </c>
      <c r="D1612" s="2" t="s">
        <v>24</v>
      </c>
      <c r="E1612" s="2" t="s">
        <v>25</v>
      </c>
      <c r="F1612" s="5">
        <v>146332.0</v>
      </c>
      <c r="G1612" s="5">
        <v>7184.0</v>
      </c>
      <c r="H1612" s="5">
        <v>0.0491</v>
      </c>
      <c r="I1612" s="5">
        <v>2.8</v>
      </c>
      <c r="J1612" s="5">
        <v>20115.2</v>
      </c>
      <c r="K1612" s="5">
        <v>366.0</v>
      </c>
      <c r="L1612" s="5">
        <v>54.96</v>
      </c>
      <c r="M1612" s="5">
        <v>40775.67</v>
      </c>
      <c r="N1612" s="5">
        <v>2.03</v>
      </c>
      <c r="O1612" s="6">
        <f t="shared" si="1"/>
        <v>54.95956284</v>
      </c>
      <c r="P1612" s="6" t="str">
        <f t="shared" si="2"/>
        <v>Post-Shift</v>
      </c>
      <c r="Q1612" s="3">
        <f t="shared" si="3"/>
        <v>26</v>
      </c>
    </row>
    <row r="1613">
      <c r="A1613" s="4">
        <v>45597.0</v>
      </c>
      <c r="B1613" s="2" t="s">
        <v>38</v>
      </c>
      <c r="C1613" s="2" t="s">
        <v>31</v>
      </c>
      <c r="D1613" s="2" t="s">
        <v>32</v>
      </c>
      <c r="E1613" s="2" t="s">
        <v>30</v>
      </c>
      <c r="F1613" s="5">
        <v>144993.0</v>
      </c>
      <c r="G1613" s="5">
        <v>2783.0</v>
      </c>
      <c r="H1613" s="5">
        <v>0.0192</v>
      </c>
      <c r="I1613" s="5">
        <v>1.47</v>
      </c>
      <c r="J1613" s="5">
        <v>4091.01</v>
      </c>
      <c r="K1613" s="5">
        <v>120.0</v>
      </c>
      <c r="L1613" s="5">
        <v>34.09</v>
      </c>
      <c r="M1613" s="5">
        <v>10562.14</v>
      </c>
      <c r="N1613" s="5">
        <v>2.58</v>
      </c>
      <c r="O1613" s="6">
        <f t="shared" si="1"/>
        <v>34.09175</v>
      </c>
      <c r="P1613" s="6" t="str">
        <f t="shared" si="2"/>
        <v>Post-Shift</v>
      </c>
      <c r="Q1613" s="3">
        <f t="shared" si="3"/>
        <v>2</v>
      </c>
    </row>
    <row r="1614">
      <c r="A1614" s="4" t="s">
        <v>165</v>
      </c>
      <c r="B1614" s="2" t="s">
        <v>18</v>
      </c>
      <c r="C1614" s="2" t="s">
        <v>41</v>
      </c>
      <c r="D1614" s="2" t="s">
        <v>20</v>
      </c>
      <c r="E1614" s="2" t="s">
        <v>36</v>
      </c>
      <c r="F1614" s="5">
        <v>35702.0</v>
      </c>
      <c r="G1614" s="5">
        <v>999.0</v>
      </c>
      <c r="H1614" s="5">
        <v>0.028</v>
      </c>
      <c r="I1614" s="5">
        <v>1.58</v>
      </c>
      <c r="J1614" s="5">
        <v>1578.42</v>
      </c>
      <c r="K1614" s="5">
        <v>15.0</v>
      </c>
      <c r="L1614" s="5">
        <v>105.23</v>
      </c>
      <c r="M1614" s="5">
        <v>2820.45</v>
      </c>
      <c r="N1614" s="5">
        <v>1.79</v>
      </c>
      <c r="O1614" s="6">
        <f t="shared" si="1"/>
        <v>105.228</v>
      </c>
      <c r="P1614" s="6" t="str">
        <f t="shared" si="2"/>
        <v>Post-Shift</v>
      </c>
      <c r="Q1614" s="3">
        <f t="shared" si="3"/>
        <v>31</v>
      </c>
    </row>
    <row r="1615">
      <c r="A1615" s="4">
        <v>45300.0</v>
      </c>
      <c r="B1615" s="2" t="s">
        <v>18</v>
      </c>
      <c r="C1615" s="2" t="s">
        <v>31</v>
      </c>
      <c r="D1615" s="2" t="s">
        <v>29</v>
      </c>
      <c r="E1615" s="2" t="s">
        <v>33</v>
      </c>
      <c r="F1615" s="5">
        <v>184976.0</v>
      </c>
      <c r="G1615" s="5">
        <v>6270.0</v>
      </c>
      <c r="H1615" s="5">
        <v>0.0339</v>
      </c>
      <c r="I1615" s="5">
        <v>2.66</v>
      </c>
      <c r="J1615" s="5">
        <v>16678.2</v>
      </c>
      <c r="K1615" s="5">
        <v>412.0</v>
      </c>
      <c r="L1615" s="5">
        <v>40.48</v>
      </c>
      <c r="M1615" s="5">
        <v>40433.91</v>
      </c>
      <c r="N1615" s="5">
        <v>2.42</v>
      </c>
      <c r="O1615" s="6">
        <f t="shared" si="1"/>
        <v>40.48106796</v>
      </c>
      <c r="P1615" s="6" t="str">
        <f t="shared" si="2"/>
        <v>Baseline</v>
      </c>
      <c r="Q1615" s="3">
        <f t="shared" si="3"/>
        <v>36</v>
      </c>
    </row>
    <row r="1616">
      <c r="A1616" s="4">
        <v>45571.0</v>
      </c>
      <c r="B1616" s="2" t="s">
        <v>18</v>
      </c>
      <c r="C1616" s="2" t="s">
        <v>19</v>
      </c>
      <c r="D1616" s="2" t="s">
        <v>45</v>
      </c>
      <c r="E1616" s="2" t="s">
        <v>21</v>
      </c>
      <c r="F1616" s="5">
        <v>119235.0</v>
      </c>
      <c r="G1616" s="5">
        <v>5258.0</v>
      </c>
      <c r="H1616" s="5">
        <v>0.0441</v>
      </c>
      <c r="I1616" s="5">
        <v>1.1</v>
      </c>
      <c r="J1616" s="5">
        <v>5783.8</v>
      </c>
      <c r="K1616" s="5">
        <v>141.0</v>
      </c>
      <c r="L1616" s="5">
        <v>41.02</v>
      </c>
      <c r="M1616" s="5">
        <v>24150.02</v>
      </c>
      <c r="N1616" s="5">
        <v>4.18</v>
      </c>
      <c r="O1616" s="6">
        <f t="shared" si="1"/>
        <v>41.01985816</v>
      </c>
      <c r="P1616" s="6" t="str">
        <f t="shared" si="2"/>
        <v>Post-Shift</v>
      </c>
      <c r="Q1616" s="3">
        <f t="shared" si="3"/>
        <v>24</v>
      </c>
    </row>
    <row r="1617">
      <c r="A1617" s="4" t="s">
        <v>37</v>
      </c>
      <c r="B1617" s="2" t="s">
        <v>18</v>
      </c>
      <c r="C1617" s="2" t="s">
        <v>31</v>
      </c>
      <c r="D1617" s="2" t="s">
        <v>24</v>
      </c>
      <c r="E1617" s="2" t="s">
        <v>56</v>
      </c>
      <c r="F1617" s="5">
        <v>127211.0</v>
      </c>
      <c r="G1617" s="5">
        <v>3968.0</v>
      </c>
      <c r="H1617" s="5">
        <v>0.0312</v>
      </c>
      <c r="I1617" s="5">
        <v>2.63</v>
      </c>
      <c r="J1617" s="5">
        <v>10435.84</v>
      </c>
      <c r="K1617" s="5">
        <v>194.0</v>
      </c>
      <c r="L1617" s="5">
        <v>53.79</v>
      </c>
      <c r="M1617" s="5">
        <v>37337.18</v>
      </c>
      <c r="N1617" s="5">
        <v>3.58</v>
      </c>
      <c r="O1617" s="6">
        <f t="shared" si="1"/>
        <v>53.79298969</v>
      </c>
      <c r="P1617" s="6" t="str">
        <f t="shared" si="2"/>
        <v>Post-Shift</v>
      </c>
      <c r="Q1617" s="3">
        <f t="shared" si="3"/>
        <v>33</v>
      </c>
    </row>
    <row r="1618">
      <c r="A1618" s="4" t="s">
        <v>155</v>
      </c>
      <c r="B1618" s="2" t="s">
        <v>23</v>
      </c>
      <c r="C1618" s="2" t="s">
        <v>27</v>
      </c>
      <c r="D1618" s="2" t="s">
        <v>20</v>
      </c>
      <c r="E1618" s="2" t="s">
        <v>30</v>
      </c>
      <c r="F1618" s="5">
        <v>27584.0</v>
      </c>
      <c r="G1618" s="5">
        <v>1561.0</v>
      </c>
      <c r="H1618" s="5">
        <v>0.0566</v>
      </c>
      <c r="I1618" s="5">
        <v>0.94</v>
      </c>
      <c r="J1618" s="5">
        <v>1467.34</v>
      </c>
      <c r="K1618" s="5">
        <v>93.0</v>
      </c>
      <c r="L1618" s="5">
        <v>15.78</v>
      </c>
      <c r="M1618" s="5">
        <v>19425.98</v>
      </c>
      <c r="N1618" s="5">
        <v>13.24</v>
      </c>
      <c r="O1618" s="6">
        <f t="shared" si="1"/>
        <v>15.77784946</v>
      </c>
      <c r="P1618" s="6" t="str">
        <f t="shared" si="2"/>
        <v>Post-Shift</v>
      </c>
      <c r="Q1618" s="3">
        <f t="shared" si="3"/>
        <v>51</v>
      </c>
    </row>
    <row r="1619">
      <c r="A1619" s="4" t="s">
        <v>116</v>
      </c>
      <c r="B1619" s="2" t="s">
        <v>18</v>
      </c>
      <c r="C1619" s="2" t="s">
        <v>31</v>
      </c>
      <c r="D1619" s="2" t="s">
        <v>32</v>
      </c>
      <c r="E1619" s="2" t="s">
        <v>33</v>
      </c>
      <c r="F1619" s="5">
        <v>194928.0</v>
      </c>
      <c r="G1619" s="5">
        <v>9161.0</v>
      </c>
      <c r="H1619" s="5">
        <v>0.047</v>
      </c>
      <c r="I1619" s="5">
        <v>1.88</v>
      </c>
      <c r="J1619" s="5">
        <v>17222.68</v>
      </c>
      <c r="K1619" s="5">
        <v>571.0</v>
      </c>
      <c r="L1619" s="5">
        <v>30.16</v>
      </c>
      <c r="M1619" s="5">
        <v>17839.23</v>
      </c>
      <c r="N1619" s="5">
        <v>1.04</v>
      </c>
      <c r="O1619" s="6">
        <f t="shared" si="1"/>
        <v>30.16231173</v>
      </c>
      <c r="P1619" s="6" t="str">
        <f t="shared" si="2"/>
        <v>Post-Shift</v>
      </c>
      <c r="Q1619" s="3">
        <f t="shared" si="3"/>
        <v>21</v>
      </c>
    </row>
    <row r="1620">
      <c r="A1620" s="4" t="s">
        <v>103</v>
      </c>
      <c r="B1620" s="2" t="s">
        <v>18</v>
      </c>
      <c r="C1620" s="2" t="s">
        <v>19</v>
      </c>
      <c r="D1620" s="2" t="s">
        <v>45</v>
      </c>
      <c r="E1620" s="2" t="s">
        <v>58</v>
      </c>
      <c r="F1620" s="5">
        <v>90349.0</v>
      </c>
      <c r="G1620" s="5">
        <v>5420.0</v>
      </c>
      <c r="H1620" s="5">
        <v>0.06</v>
      </c>
      <c r="I1620" s="5">
        <v>3.02</v>
      </c>
      <c r="J1620" s="5">
        <v>16368.4</v>
      </c>
      <c r="K1620" s="5">
        <v>105.0</v>
      </c>
      <c r="L1620" s="5">
        <v>155.89</v>
      </c>
      <c r="M1620" s="5">
        <v>16913.07</v>
      </c>
      <c r="N1620" s="5">
        <v>1.03</v>
      </c>
      <c r="O1620" s="6">
        <f t="shared" si="1"/>
        <v>155.8895238</v>
      </c>
      <c r="P1620" s="6" t="str">
        <f t="shared" si="2"/>
        <v>Post-Shift</v>
      </c>
      <c r="Q1620" s="3">
        <f t="shared" si="3"/>
        <v>43</v>
      </c>
    </row>
    <row r="1621">
      <c r="A1621" s="4">
        <v>45511.0</v>
      </c>
      <c r="B1621" s="2" t="s">
        <v>23</v>
      </c>
      <c r="C1621" s="2" t="s">
        <v>27</v>
      </c>
      <c r="D1621" s="2" t="s">
        <v>24</v>
      </c>
      <c r="E1621" s="2" t="s">
        <v>33</v>
      </c>
      <c r="F1621" s="5">
        <v>170011.0</v>
      </c>
      <c r="G1621" s="5">
        <v>10149.0</v>
      </c>
      <c r="H1621" s="5">
        <v>0.0597</v>
      </c>
      <c r="I1621" s="5">
        <v>0.55</v>
      </c>
      <c r="J1621" s="5">
        <v>5581.95</v>
      </c>
      <c r="K1621" s="5">
        <v>110.0</v>
      </c>
      <c r="L1621" s="5">
        <v>50.74</v>
      </c>
      <c r="M1621" s="5">
        <v>29617.76</v>
      </c>
      <c r="N1621" s="5">
        <v>5.31</v>
      </c>
      <c r="O1621" s="6">
        <f t="shared" si="1"/>
        <v>50.745</v>
      </c>
      <c r="P1621" s="6" t="str">
        <f t="shared" si="2"/>
        <v>Post-Shift</v>
      </c>
      <c r="Q1621" s="3">
        <f t="shared" si="3"/>
        <v>28</v>
      </c>
    </row>
    <row r="1622">
      <c r="A1622" s="4">
        <v>45451.0</v>
      </c>
      <c r="B1622" s="2" t="s">
        <v>18</v>
      </c>
      <c r="C1622" s="2" t="s">
        <v>41</v>
      </c>
      <c r="D1622" s="2" t="s">
        <v>29</v>
      </c>
      <c r="E1622" s="2" t="s">
        <v>30</v>
      </c>
      <c r="F1622" s="5">
        <v>54158.0</v>
      </c>
      <c r="G1622" s="5">
        <v>3374.0</v>
      </c>
      <c r="H1622" s="5">
        <v>0.0623</v>
      </c>
      <c r="I1622" s="5">
        <v>0.81</v>
      </c>
      <c r="J1622" s="5">
        <v>2732.94</v>
      </c>
      <c r="K1622" s="5">
        <v>55.0</v>
      </c>
      <c r="L1622" s="5">
        <v>49.69</v>
      </c>
      <c r="M1622" s="5">
        <v>5839.17</v>
      </c>
      <c r="N1622" s="5">
        <v>2.14</v>
      </c>
      <c r="O1622" s="6">
        <f t="shared" si="1"/>
        <v>49.68981818</v>
      </c>
      <c r="P1622" s="6" t="str">
        <f t="shared" si="2"/>
        <v>Baseline</v>
      </c>
      <c r="Q1622" s="3">
        <f t="shared" si="3"/>
        <v>32</v>
      </c>
    </row>
    <row r="1623">
      <c r="A1623" s="4">
        <v>45323.0</v>
      </c>
      <c r="B1623" s="2" t="s">
        <v>38</v>
      </c>
      <c r="C1623" s="2" t="s">
        <v>41</v>
      </c>
      <c r="D1623" s="2" t="s">
        <v>32</v>
      </c>
      <c r="E1623" s="2" t="s">
        <v>25</v>
      </c>
      <c r="F1623" s="5">
        <v>143485.0</v>
      </c>
      <c r="G1623" s="5">
        <v>3945.0</v>
      </c>
      <c r="H1623" s="5">
        <v>0.0275</v>
      </c>
      <c r="I1623" s="5">
        <v>0.71</v>
      </c>
      <c r="J1623" s="5">
        <v>2800.95</v>
      </c>
      <c r="K1623" s="5">
        <v>187.0</v>
      </c>
      <c r="L1623" s="5">
        <v>14.98</v>
      </c>
      <c r="M1623" s="5">
        <v>30765.32</v>
      </c>
      <c r="N1623" s="5">
        <v>10.98</v>
      </c>
      <c r="O1623" s="6">
        <f t="shared" si="1"/>
        <v>14.97834225</v>
      </c>
      <c r="P1623" s="6" t="str">
        <f t="shared" si="2"/>
        <v>Baseline</v>
      </c>
      <c r="Q1623" s="3">
        <f t="shared" si="3"/>
        <v>1</v>
      </c>
    </row>
    <row r="1624">
      <c r="A1624" s="4" t="s">
        <v>114</v>
      </c>
      <c r="B1624" s="2" t="s">
        <v>18</v>
      </c>
      <c r="C1624" s="2" t="s">
        <v>27</v>
      </c>
      <c r="D1624" s="2" t="s">
        <v>20</v>
      </c>
      <c r="E1624" s="2" t="s">
        <v>36</v>
      </c>
      <c r="F1624" s="5">
        <v>165470.0</v>
      </c>
      <c r="G1624" s="5">
        <v>4136.0</v>
      </c>
      <c r="H1624" s="5">
        <v>0.025</v>
      </c>
      <c r="I1624" s="5">
        <v>0.82</v>
      </c>
      <c r="J1624" s="5">
        <v>3391.52</v>
      </c>
      <c r="K1624" s="5">
        <v>56.0</v>
      </c>
      <c r="L1624" s="5">
        <v>60.56</v>
      </c>
      <c r="M1624" s="5">
        <v>12113.24</v>
      </c>
      <c r="N1624" s="5">
        <v>3.57</v>
      </c>
      <c r="O1624" s="6">
        <f t="shared" si="1"/>
        <v>60.56285714</v>
      </c>
      <c r="P1624" s="6" t="str">
        <f t="shared" si="2"/>
        <v>Post-Shift</v>
      </c>
      <c r="Q1624" s="3">
        <f t="shared" si="3"/>
        <v>8</v>
      </c>
    </row>
    <row r="1625">
      <c r="A1625" s="4">
        <v>45601.0</v>
      </c>
      <c r="B1625" s="2" t="s">
        <v>38</v>
      </c>
      <c r="C1625" s="2" t="s">
        <v>19</v>
      </c>
      <c r="D1625" s="2" t="s">
        <v>24</v>
      </c>
      <c r="E1625" s="2" t="s">
        <v>30</v>
      </c>
      <c r="F1625" s="5">
        <v>112596.0</v>
      </c>
      <c r="G1625" s="5">
        <v>2668.0</v>
      </c>
      <c r="H1625" s="5">
        <v>0.0237</v>
      </c>
      <c r="I1625" s="5">
        <v>1.2</v>
      </c>
      <c r="J1625" s="5">
        <v>3201.6</v>
      </c>
      <c r="K1625" s="5">
        <v>39.0</v>
      </c>
      <c r="L1625" s="5">
        <v>82.09</v>
      </c>
      <c r="M1625" s="5">
        <v>10899.61</v>
      </c>
      <c r="N1625" s="5">
        <v>3.4</v>
      </c>
      <c r="O1625" s="6">
        <f t="shared" si="1"/>
        <v>82.09230769</v>
      </c>
      <c r="P1625" s="6" t="str">
        <f t="shared" si="2"/>
        <v>Post-Shift</v>
      </c>
      <c r="Q1625" s="3">
        <f t="shared" si="3"/>
        <v>19</v>
      </c>
    </row>
    <row r="1626">
      <c r="A1626" s="4">
        <v>45358.0</v>
      </c>
      <c r="B1626" s="2" t="s">
        <v>18</v>
      </c>
      <c r="C1626" s="2" t="s">
        <v>27</v>
      </c>
      <c r="D1626" s="2" t="s">
        <v>24</v>
      </c>
      <c r="E1626" s="2" t="s">
        <v>36</v>
      </c>
      <c r="F1626" s="5">
        <v>82604.0</v>
      </c>
      <c r="G1626" s="5">
        <v>5146.0</v>
      </c>
      <c r="H1626" s="5">
        <v>0.0623</v>
      </c>
      <c r="I1626" s="5">
        <v>2.88</v>
      </c>
      <c r="J1626" s="5">
        <v>14820.48</v>
      </c>
      <c r="K1626" s="5">
        <v>75.0</v>
      </c>
      <c r="L1626" s="5">
        <v>197.61</v>
      </c>
      <c r="M1626" s="5">
        <v>11977.45</v>
      </c>
      <c r="N1626" s="5">
        <v>0.81</v>
      </c>
      <c r="O1626" s="6">
        <f t="shared" si="1"/>
        <v>197.6064</v>
      </c>
      <c r="P1626" s="6" t="str">
        <f t="shared" si="2"/>
        <v>Baseline</v>
      </c>
      <c r="Q1626" s="3">
        <f t="shared" si="3"/>
        <v>27</v>
      </c>
    </row>
    <row r="1627">
      <c r="A1627" s="4" t="s">
        <v>151</v>
      </c>
      <c r="B1627" s="2" t="s">
        <v>18</v>
      </c>
      <c r="C1627" s="2" t="s">
        <v>41</v>
      </c>
      <c r="D1627" s="2" t="s">
        <v>29</v>
      </c>
      <c r="E1627" s="2" t="s">
        <v>21</v>
      </c>
      <c r="F1627" s="5">
        <v>162454.0</v>
      </c>
      <c r="G1627" s="5">
        <v>4337.0</v>
      </c>
      <c r="H1627" s="5">
        <v>0.0267</v>
      </c>
      <c r="I1627" s="5">
        <v>1.57</v>
      </c>
      <c r="J1627" s="5">
        <v>6809.09</v>
      </c>
      <c r="K1627" s="5">
        <v>329.0</v>
      </c>
      <c r="L1627" s="5">
        <v>20.7</v>
      </c>
      <c r="M1627" s="5">
        <v>13568.06</v>
      </c>
      <c r="N1627" s="5">
        <v>1.99</v>
      </c>
      <c r="O1627" s="6">
        <f t="shared" si="1"/>
        <v>20.69632219</v>
      </c>
      <c r="P1627" s="6" t="str">
        <f t="shared" si="2"/>
        <v>Post-Shift</v>
      </c>
      <c r="Q1627" s="3">
        <f t="shared" si="3"/>
        <v>26</v>
      </c>
    </row>
    <row r="1628">
      <c r="A1628" s="4" t="s">
        <v>166</v>
      </c>
      <c r="B1628" s="2" t="s">
        <v>23</v>
      </c>
      <c r="C1628" s="2" t="s">
        <v>31</v>
      </c>
      <c r="D1628" s="2" t="s">
        <v>45</v>
      </c>
      <c r="E1628" s="2" t="s">
        <v>25</v>
      </c>
      <c r="F1628" s="5">
        <v>143667.0</v>
      </c>
      <c r="G1628" s="5">
        <v>6852.0</v>
      </c>
      <c r="H1628" s="5">
        <v>0.0477</v>
      </c>
      <c r="I1628" s="5">
        <v>1.13</v>
      </c>
      <c r="J1628" s="5">
        <v>7742.76</v>
      </c>
      <c r="K1628" s="5">
        <v>142.0</v>
      </c>
      <c r="L1628" s="5">
        <v>54.53</v>
      </c>
      <c r="M1628" s="5">
        <v>19589.64</v>
      </c>
      <c r="N1628" s="5">
        <v>2.53</v>
      </c>
      <c r="O1628" s="6">
        <f t="shared" si="1"/>
        <v>54.52647887</v>
      </c>
      <c r="P1628" s="6" t="str">
        <f t="shared" si="2"/>
        <v>Post-Shift</v>
      </c>
      <c r="Q1628" s="3">
        <f t="shared" si="3"/>
        <v>43</v>
      </c>
    </row>
    <row r="1629">
      <c r="A1629" s="4" t="s">
        <v>241</v>
      </c>
      <c r="B1629" s="2" t="s">
        <v>18</v>
      </c>
      <c r="C1629" s="2" t="s">
        <v>27</v>
      </c>
      <c r="D1629" s="2" t="s">
        <v>29</v>
      </c>
      <c r="E1629" s="2" t="s">
        <v>58</v>
      </c>
      <c r="F1629" s="5">
        <v>83702.0</v>
      </c>
      <c r="G1629" s="5">
        <v>3900.0</v>
      </c>
      <c r="H1629" s="5">
        <v>0.0466</v>
      </c>
      <c r="I1629" s="5">
        <v>2.18</v>
      </c>
      <c r="J1629" s="5">
        <v>8502.0</v>
      </c>
      <c r="K1629" s="5">
        <v>60.0</v>
      </c>
      <c r="L1629" s="5">
        <v>141.7</v>
      </c>
      <c r="M1629" s="5">
        <v>11812.78</v>
      </c>
      <c r="N1629" s="5">
        <v>1.39</v>
      </c>
      <c r="O1629" s="6">
        <f t="shared" si="1"/>
        <v>141.7</v>
      </c>
      <c r="P1629" s="6" t="str">
        <f t="shared" si="2"/>
        <v>Post-Shift</v>
      </c>
      <c r="Q1629" s="3">
        <f t="shared" si="3"/>
        <v>7</v>
      </c>
    </row>
    <row r="1630">
      <c r="A1630" s="4">
        <v>45628.0</v>
      </c>
      <c r="B1630" s="2" t="s">
        <v>23</v>
      </c>
      <c r="C1630" s="2" t="s">
        <v>27</v>
      </c>
      <c r="D1630" s="2" t="s">
        <v>20</v>
      </c>
      <c r="E1630" s="2" t="s">
        <v>30</v>
      </c>
      <c r="F1630" s="5">
        <v>41497.0</v>
      </c>
      <c r="G1630" s="5">
        <v>3299.0</v>
      </c>
      <c r="H1630" s="5">
        <v>0.0795</v>
      </c>
      <c r="I1630" s="5">
        <v>0.65</v>
      </c>
      <c r="J1630" s="5">
        <v>2144.35</v>
      </c>
      <c r="K1630" s="5">
        <v>112.0</v>
      </c>
      <c r="L1630" s="5">
        <v>19.15</v>
      </c>
      <c r="M1630" s="5">
        <v>6822.75</v>
      </c>
      <c r="N1630" s="5">
        <v>3.18</v>
      </c>
      <c r="O1630" s="6">
        <f t="shared" si="1"/>
        <v>19.14598214</v>
      </c>
      <c r="P1630" s="6" t="str">
        <f t="shared" si="2"/>
        <v>Post-Shift</v>
      </c>
      <c r="Q1630" s="3">
        <f t="shared" si="3"/>
        <v>7</v>
      </c>
    </row>
    <row r="1631">
      <c r="A1631" s="4" t="s">
        <v>47</v>
      </c>
      <c r="B1631" s="2" t="s">
        <v>18</v>
      </c>
      <c r="C1631" s="2" t="s">
        <v>19</v>
      </c>
      <c r="D1631" s="2" t="s">
        <v>20</v>
      </c>
      <c r="E1631" s="2" t="s">
        <v>21</v>
      </c>
      <c r="F1631" s="5">
        <v>88442.0</v>
      </c>
      <c r="G1631" s="5">
        <v>2485.0</v>
      </c>
      <c r="H1631" s="5">
        <v>0.0281</v>
      </c>
      <c r="I1631" s="5">
        <v>2.89</v>
      </c>
      <c r="J1631" s="5">
        <v>7181.65</v>
      </c>
      <c r="K1631" s="5">
        <v>69.0</v>
      </c>
      <c r="L1631" s="5">
        <v>104.08</v>
      </c>
      <c r="M1631" s="5">
        <v>12989.18</v>
      </c>
      <c r="N1631" s="5">
        <v>1.81</v>
      </c>
      <c r="O1631" s="6">
        <f t="shared" si="1"/>
        <v>104.0818841</v>
      </c>
      <c r="P1631" s="6" t="str">
        <f t="shared" si="2"/>
        <v>Post-Shift</v>
      </c>
      <c r="Q1631" s="3">
        <f t="shared" si="3"/>
        <v>22</v>
      </c>
    </row>
    <row r="1632">
      <c r="A1632" s="4" t="s">
        <v>220</v>
      </c>
      <c r="B1632" s="2" t="s">
        <v>18</v>
      </c>
      <c r="C1632" s="2" t="s">
        <v>31</v>
      </c>
      <c r="D1632" s="2" t="s">
        <v>32</v>
      </c>
      <c r="E1632" s="2" t="s">
        <v>21</v>
      </c>
      <c r="F1632" s="5">
        <v>143723.0</v>
      </c>
      <c r="G1632" s="5">
        <v>4254.0</v>
      </c>
      <c r="H1632" s="5">
        <v>0.0296</v>
      </c>
      <c r="I1632" s="5">
        <v>1.14</v>
      </c>
      <c r="J1632" s="5">
        <v>4849.56</v>
      </c>
      <c r="K1632" s="5">
        <v>281.0</v>
      </c>
      <c r="L1632" s="5">
        <v>17.26</v>
      </c>
      <c r="M1632" s="5">
        <v>41783.61</v>
      </c>
      <c r="N1632" s="5">
        <v>8.62</v>
      </c>
      <c r="O1632" s="6">
        <f t="shared" si="1"/>
        <v>17.25822064</v>
      </c>
      <c r="P1632" s="6" t="str">
        <f t="shared" si="2"/>
        <v>Post-Shift</v>
      </c>
      <c r="Q1632" s="3">
        <f t="shared" si="3"/>
        <v>8</v>
      </c>
    </row>
    <row r="1633">
      <c r="A1633" s="4" t="s">
        <v>35</v>
      </c>
      <c r="B1633" s="2" t="s">
        <v>38</v>
      </c>
      <c r="C1633" s="2" t="s">
        <v>19</v>
      </c>
      <c r="D1633" s="2" t="s">
        <v>32</v>
      </c>
      <c r="E1633" s="2" t="s">
        <v>25</v>
      </c>
      <c r="F1633" s="5">
        <v>30392.0</v>
      </c>
      <c r="G1633" s="5">
        <v>1325.0</v>
      </c>
      <c r="H1633" s="5">
        <v>0.0436</v>
      </c>
      <c r="I1633" s="5">
        <v>1.31</v>
      </c>
      <c r="J1633" s="5">
        <v>1735.75</v>
      </c>
      <c r="K1633" s="5">
        <v>101.0</v>
      </c>
      <c r="L1633" s="5">
        <v>17.19</v>
      </c>
      <c r="M1633" s="5">
        <v>3539.63</v>
      </c>
      <c r="N1633" s="5">
        <v>2.04</v>
      </c>
      <c r="O1633" s="6">
        <f t="shared" si="1"/>
        <v>17.18564356</v>
      </c>
      <c r="P1633" s="6" t="str">
        <f t="shared" si="2"/>
        <v>Post-Shift</v>
      </c>
      <c r="Q1633" s="3">
        <f t="shared" si="3"/>
        <v>42</v>
      </c>
    </row>
    <row r="1634">
      <c r="A1634" s="4">
        <v>45570.0</v>
      </c>
      <c r="B1634" s="2" t="s">
        <v>18</v>
      </c>
      <c r="C1634" s="2" t="s">
        <v>27</v>
      </c>
      <c r="D1634" s="2" t="s">
        <v>45</v>
      </c>
      <c r="E1634" s="2" t="s">
        <v>56</v>
      </c>
      <c r="F1634" s="5">
        <v>94412.0</v>
      </c>
      <c r="G1634" s="5">
        <v>4786.0</v>
      </c>
      <c r="H1634" s="5">
        <v>0.0507</v>
      </c>
      <c r="I1634" s="5">
        <v>1.29</v>
      </c>
      <c r="J1634" s="5">
        <v>6173.94</v>
      </c>
      <c r="K1634" s="5">
        <v>343.0</v>
      </c>
      <c r="L1634" s="5">
        <v>18.0</v>
      </c>
      <c r="M1634" s="5">
        <v>93767.6</v>
      </c>
      <c r="N1634" s="5">
        <v>15.19</v>
      </c>
      <c r="O1634" s="6">
        <f t="shared" si="1"/>
        <v>17.99982507</v>
      </c>
      <c r="P1634" s="6" t="str">
        <f t="shared" si="2"/>
        <v>Post-Shift</v>
      </c>
      <c r="Q1634" s="3">
        <f t="shared" si="3"/>
        <v>19</v>
      </c>
    </row>
    <row r="1635">
      <c r="A1635" s="4" t="s">
        <v>109</v>
      </c>
      <c r="B1635" s="2" t="s">
        <v>18</v>
      </c>
      <c r="C1635" s="2" t="s">
        <v>27</v>
      </c>
      <c r="D1635" s="2" t="s">
        <v>24</v>
      </c>
      <c r="E1635" s="2" t="s">
        <v>25</v>
      </c>
      <c r="F1635" s="5">
        <v>56305.0</v>
      </c>
      <c r="G1635" s="5">
        <v>1644.0</v>
      </c>
      <c r="H1635" s="5">
        <v>0.0292</v>
      </c>
      <c r="I1635" s="5">
        <v>1.65</v>
      </c>
      <c r="J1635" s="5">
        <v>2712.6</v>
      </c>
      <c r="K1635" s="5">
        <v>126.0</v>
      </c>
      <c r="L1635" s="5">
        <v>21.53</v>
      </c>
      <c r="M1635" s="5">
        <v>24269.48</v>
      </c>
      <c r="N1635" s="5">
        <v>8.95</v>
      </c>
      <c r="O1635" s="6">
        <f t="shared" si="1"/>
        <v>21.52857143</v>
      </c>
      <c r="P1635" s="6" t="str">
        <f t="shared" si="2"/>
        <v>Post-Shift</v>
      </c>
      <c r="Q1635" s="3">
        <f t="shared" si="3"/>
        <v>21</v>
      </c>
    </row>
    <row r="1636">
      <c r="A1636" s="4" t="s">
        <v>188</v>
      </c>
      <c r="B1636" s="2" t="s">
        <v>23</v>
      </c>
      <c r="C1636" s="2" t="s">
        <v>41</v>
      </c>
      <c r="D1636" s="2" t="s">
        <v>32</v>
      </c>
      <c r="E1636" s="2" t="s">
        <v>33</v>
      </c>
      <c r="F1636" s="5">
        <v>142456.0</v>
      </c>
      <c r="G1636" s="5">
        <v>9943.0</v>
      </c>
      <c r="H1636" s="5">
        <v>0.0698</v>
      </c>
      <c r="I1636" s="5">
        <v>0.91</v>
      </c>
      <c r="J1636" s="5">
        <v>9048.13</v>
      </c>
      <c r="K1636" s="5">
        <v>266.0</v>
      </c>
      <c r="L1636" s="5">
        <v>34.02</v>
      </c>
      <c r="M1636" s="5">
        <v>72736.17</v>
      </c>
      <c r="N1636" s="5">
        <v>8.04</v>
      </c>
      <c r="O1636" s="6">
        <f t="shared" si="1"/>
        <v>34.01552632</v>
      </c>
      <c r="P1636" s="6" t="str">
        <f t="shared" si="2"/>
        <v>Post-Shift</v>
      </c>
      <c r="Q1636" s="3">
        <f t="shared" si="3"/>
        <v>40</v>
      </c>
    </row>
    <row r="1637">
      <c r="A1637" s="4" t="s">
        <v>60</v>
      </c>
      <c r="B1637" s="2" t="s">
        <v>38</v>
      </c>
      <c r="C1637" s="2" t="s">
        <v>41</v>
      </c>
      <c r="D1637" s="2" t="s">
        <v>24</v>
      </c>
      <c r="E1637" s="2" t="s">
        <v>58</v>
      </c>
      <c r="F1637" s="5">
        <v>27169.0</v>
      </c>
      <c r="G1637" s="5">
        <v>546.0</v>
      </c>
      <c r="H1637" s="5">
        <v>0.0201</v>
      </c>
      <c r="I1637" s="5">
        <v>1.08</v>
      </c>
      <c r="J1637" s="5">
        <v>589.68</v>
      </c>
      <c r="K1637" s="5">
        <v>15.0</v>
      </c>
      <c r="L1637" s="5">
        <v>39.31</v>
      </c>
      <c r="M1637" s="5">
        <v>1578.78</v>
      </c>
      <c r="N1637" s="5">
        <v>2.68</v>
      </c>
      <c r="O1637" s="6">
        <f t="shared" si="1"/>
        <v>39.312</v>
      </c>
      <c r="P1637" s="6" t="str">
        <f t="shared" si="2"/>
        <v>Post-Shift</v>
      </c>
      <c r="Q1637" s="3">
        <f t="shared" si="3"/>
        <v>52</v>
      </c>
    </row>
    <row r="1638">
      <c r="A1638" s="4" t="s">
        <v>123</v>
      </c>
      <c r="B1638" s="2" t="s">
        <v>18</v>
      </c>
      <c r="C1638" s="2" t="s">
        <v>27</v>
      </c>
      <c r="D1638" s="2" t="s">
        <v>32</v>
      </c>
      <c r="E1638" s="2" t="s">
        <v>33</v>
      </c>
      <c r="F1638" s="5">
        <v>127179.0</v>
      </c>
      <c r="G1638" s="5">
        <v>5125.0</v>
      </c>
      <c r="H1638" s="5">
        <v>0.0403</v>
      </c>
      <c r="I1638" s="5">
        <v>2.22</v>
      </c>
      <c r="J1638" s="5">
        <v>11377.5</v>
      </c>
      <c r="K1638" s="5">
        <v>87.0</v>
      </c>
      <c r="L1638" s="5">
        <v>130.78</v>
      </c>
      <c r="M1638" s="5">
        <v>5905.23</v>
      </c>
      <c r="N1638" s="5">
        <v>0.52</v>
      </c>
      <c r="O1638" s="6">
        <f t="shared" si="1"/>
        <v>130.7758621</v>
      </c>
      <c r="P1638" s="6" t="str">
        <f t="shared" si="2"/>
        <v>Post-Shift</v>
      </c>
      <c r="Q1638" s="3">
        <f t="shared" si="3"/>
        <v>38</v>
      </c>
    </row>
    <row r="1639">
      <c r="A1639" s="4" t="s">
        <v>163</v>
      </c>
      <c r="B1639" s="2" t="s">
        <v>18</v>
      </c>
      <c r="C1639" s="2" t="s">
        <v>31</v>
      </c>
      <c r="D1639" s="2" t="s">
        <v>20</v>
      </c>
      <c r="E1639" s="2" t="s">
        <v>30</v>
      </c>
      <c r="F1639" s="5">
        <v>20797.0</v>
      </c>
      <c r="G1639" s="5">
        <v>846.0</v>
      </c>
      <c r="H1639" s="5">
        <v>0.0407</v>
      </c>
      <c r="I1639" s="5">
        <v>1.08</v>
      </c>
      <c r="J1639" s="5">
        <v>913.68</v>
      </c>
      <c r="K1639" s="5">
        <v>56.0</v>
      </c>
      <c r="L1639" s="5">
        <v>16.32</v>
      </c>
      <c r="M1639" s="5">
        <v>11660.97</v>
      </c>
      <c r="N1639" s="5">
        <v>12.76</v>
      </c>
      <c r="O1639" s="6">
        <f t="shared" si="1"/>
        <v>16.31571429</v>
      </c>
      <c r="P1639" s="6" t="str">
        <f t="shared" si="2"/>
        <v>Post-Shift</v>
      </c>
      <c r="Q1639" s="3">
        <f t="shared" si="3"/>
        <v>29</v>
      </c>
    </row>
    <row r="1640">
      <c r="A1640" s="4" t="s">
        <v>52</v>
      </c>
      <c r="B1640" s="2" t="s">
        <v>38</v>
      </c>
      <c r="C1640" s="2" t="s">
        <v>31</v>
      </c>
      <c r="D1640" s="2" t="s">
        <v>45</v>
      </c>
      <c r="E1640" s="2" t="s">
        <v>30</v>
      </c>
      <c r="F1640" s="5">
        <v>188201.0</v>
      </c>
      <c r="G1640" s="5">
        <v>5627.0</v>
      </c>
      <c r="H1640" s="5">
        <v>0.0299</v>
      </c>
      <c r="I1640" s="5">
        <v>1.88</v>
      </c>
      <c r="J1640" s="5">
        <v>10578.76</v>
      </c>
      <c r="K1640" s="5">
        <v>77.0</v>
      </c>
      <c r="L1640" s="5">
        <v>137.39</v>
      </c>
      <c r="M1640" s="5">
        <v>14242.93</v>
      </c>
      <c r="N1640" s="5">
        <v>1.35</v>
      </c>
      <c r="O1640" s="6">
        <f t="shared" si="1"/>
        <v>137.3864935</v>
      </c>
      <c r="P1640" s="6" t="str">
        <f t="shared" si="2"/>
        <v>Post-Shift</v>
      </c>
      <c r="Q1640" s="3">
        <f t="shared" si="3"/>
        <v>33</v>
      </c>
    </row>
    <row r="1641">
      <c r="A1641" s="4">
        <v>45357.0</v>
      </c>
      <c r="B1641" s="2" t="s">
        <v>23</v>
      </c>
      <c r="C1641" s="2" t="s">
        <v>31</v>
      </c>
      <c r="D1641" s="2" t="s">
        <v>45</v>
      </c>
      <c r="E1641" s="2" t="s">
        <v>36</v>
      </c>
      <c r="F1641" s="5">
        <v>77726.0</v>
      </c>
      <c r="G1641" s="5">
        <v>2557.0</v>
      </c>
      <c r="H1641" s="5">
        <v>0.0329</v>
      </c>
      <c r="I1641" s="5">
        <v>0.49</v>
      </c>
      <c r="J1641" s="5">
        <v>1252.93</v>
      </c>
      <c r="K1641" s="5">
        <v>37.0</v>
      </c>
      <c r="L1641" s="5">
        <v>33.86</v>
      </c>
      <c r="M1641" s="5">
        <v>2932.31</v>
      </c>
      <c r="N1641" s="5">
        <v>2.34</v>
      </c>
      <c r="O1641" s="6">
        <f t="shared" si="1"/>
        <v>33.86297297</v>
      </c>
      <c r="P1641" s="6" t="str">
        <f t="shared" si="2"/>
        <v>Baseline</v>
      </c>
      <c r="Q1641" s="3">
        <f t="shared" si="3"/>
        <v>23</v>
      </c>
    </row>
    <row r="1642">
      <c r="A1642" s="4">
        <v>45568.0</v>
      </c>
      <c r="B1642" s="2" t="s">
        <v>38</v>
      </c>
      <c r="C1642" s="2" t="s">
        <v>19</v>
      </c>
      <c r="D1642" s="2" t="s">
        <v>24</v>
      </c>
      <c r="E1642" s="2" t="s">
        <v>58</v>
      </c>
      <c r="F1642" s="5">
        <v>23123.0</v>
      </c>
      <c r="G1642" s="5">
        <v>286.0</v>
      </c>
      <c r="H1642" s="5">
        <v>0.0124</v>
      </c>
      <c r="I1642" s="5">
        <v>1.21</v>
      </c>
      <c r="J1642" s="5">
        <v>346.06</v>
      </c>
      <c r="K1642" s="5">
        <v>3.0</v>
      </c>
      <c r="L1642" s="5">
        <v>115.35</v>
      </c>
      <c r="M1642" s="5">
        <v>585.7</v>
      </c>
      <c r="N1642" s="5">
        <v>1.69</v>
      </c>
      <c r="O1642" s="6">
        <f t="shared" si="1"/>
        <v>115.3533333</v>
      </c>
      <c r="P1642" s="6" t="str">
        <f t="shared" si="2"/>
        <v>Post-Shift</v>
      </c>
      <c r="Q1642" s="3">
        <f t="shared" si="3"/>
        <v>11</v>
      </c>
    </row>
    <row r="1643">
      <c r="A1643" s="4">
        <v>45447.0</v>
      </c>
      <c r="B1643" s="2" t="s">
        <v>18</v>
      </c>
      <c r="C1643" s="2" t="s">
        <v>19</v>
      </c>
      <c r="D1643" s="2" t="s">
        <v>32</v>
      </c>
      <c r="E1643" s="2" t="s">
        <v>36</v>
      </c>
      <c r="F1643" s="5">
        <v>86689.0</v>
      </c>
      <c r="G1643" s="5">
        <v>3727.0</v>
      </c>
      <c r="H1643" s="5">
        <v>0.043</v>
      </c>
      <c r="I1643" s="5">
        <v>1.16</v>
      </c>
      <c r="J1643" s="5">
        <v>4323.32</v>
      </c>
      <c r="K1643" s="5">
        <v>276.0</v>
      </c>
      <c r="L1643" s="5">
        <v>15.66</v>
      </c>
      <c r="M1643" s="5">
        <v>76876.24</v>
      </c>
      <c r="N1643" s="5">
        <v>17.78</v>
      </c>
      <c r="O1643" s="6">
        <f t="shared" si="1"/>
        <v>15.6642029</v>
      </c>
      <c r="P1643" s="6" t="str">
        <f t="shared" si="2"/>
        <v>Baseline</v>
      </c>
      <c r="Q1643" s="3">
        <f t="shared" si="3"/>
        <v>14</v>
      </c>
    </row>
    <row r="1644">
      <c r="A1644" s="4" t="s">
        <v>71</v>
      </c>
      <c r="B1644" s="2" t="s">
        <v>18</v>
      </c>
      <c r="C1644" s="2" t="s">
        <v>19</v>
      </c>
      <c r="D1644" s="2" t="s">
        <v>29</v>
      </c>
      <c r="E1644" s="2" t="s">
        <v>30</v>
      </c>
      <c r="F1644" s="5">
        <v>159251.0</v>
      </c>
      <c r="G1644" s="5">
        <v>9172.0</v>
      </c>
      <c r="H1644" s="5">
        <v>0.0576</v>
      </c>
      <c r="I1644" s="5">
        <v>2.84</v>
      </c>
      <c r="J1644" s="5">
        <v>26048.48</v>
      </c>
      <c r="K1644" s="5">
        <v>407.0</v>
      </c>
      <c r="L1644" s="5">
        <v>64.0</v>
      </c>
      <c r="M1644" s="5">
        <v>30602.6</v>
      </c>
      <c r="N1644" s="5">
        <v>1.17</v>
      </c>
      <c r="O1644" s="6">
        <f t="shared" si="1"/>
        <v>64.00117936</v>
      </c>
      <c r="P1644" s="6" t="str">
        <f t="shared" si="2"/>
        <v>Post-Shift</v>
      </c>
      <c r="Q1644" s="3">
        <f t="shared" si="3"/>
        <v>20</v>
      </c>
    </row>
    <row r="1645">
      <c r="A1645" s="4" t="s">
        <v>157</v>
      </c>
      <c r="B1645" s="2" t="s">
        <v>38</v>
      </c>
      <c r="C1645" s="2" t="s">
        <v>41</v>
      </c>
      <c r="D1645" s="2" t="s">
        <v>45</v>
      </c>
      <c r="E1645" s="2" t="s">
        <v>25</v>
      </c>
      <c r="F1645" s="5">
        <v>70180.0</v>
      </c>
      <c r="G1645" s="5">
        <v>736.0</v>
      </c>
      <c r="H1645" s="5">
        <v>0.0105</v>
      </c>
      <c r="I1645" s="5">
        <v>1.4</v>
      </c>
      <c r="J1645" s="5">
        <v>1030.4</v>
      </c>
      <c r="K1645" s="5">
        <v>45.0</v>
      </c>
      <c r="L1645" s="5">
        <v>22.9</v>
      </c>
      <c r="M1645" s="5">
        <v>2168.72</v>
      </c>
      <c r="N1645" s="5">
        <v>2.1</v>
      </c>
      <c r="O1645" s="6">
        <f t="shared" si="1"/>
        <v>22.89777778</v>
      </c>
      <c r="P1645" s="6" t="str">
        <f t="shared" si="2"/>
        <v>Post-Shift</v>
      </c>
      <c r="Q1645" s="3">
        <f t="shared" si="3"/>
        <v>2</v>
      </c>
    </row>
    <row r="1646">
      <c r="A1646" s="4" t="s">
        <v>134</v>
      </c>
      <c r="B1646" s="2" t="s">
        <v>18</v>
      </c>
      <c r="C1646" s="2" t="s">
        <v>27</v>
      </c>
      <c r="D1646" s="2" t="s">
        <v>20</v>
      </c>
      <c r="E1646" s="2" t="s">
        <v>36</v>
      </c>
      <c r="F1646" s="5">
        <v>83466.0</v>
      </c>
      <c r="G1646" s="5">
        <v>4089.0</v>
      </c>
      <c r="H1646" s="5">
        <v>0.049</v>
      </c>
      <c r="I1646" s="5">
        <v>2.26</v>
      </c>
      <c r="J1646" s="5">
        <v>9241.14</v>
      </c>
      <c r="K1646" s="5">
        <v>108.0</v>
      </c>
      <c r="L1646" s="5">
        <v>85.57</v>
      </c>
      <c r="M1646" s="5">
        <v>12521.2</v>
      </c>
      <c r="N1646" s="5">
        <v>1.35</v>
      </c>
      <c r="O1646" s="6">
        <f t="shared" si="1"/>
        <v>85.56611111</v>
      </c>
      <c r="P1646" s="6" t="str">
        <f t="shared" si="2"/>
        <v>Post-Shift</v>
      </c>
      <c r="Q1646" s="3">
        <f t="shared" si="3"/>
        <v>38</v>
      </c>
    </row>
    <row r="1647">
      <c r="A1647" s="4" t="s">
        <v>43</v>
      </c>
      <c r="B1647" s="2" t="s">
        <v>38</v>
      </c>
      <c r="C1647" s="2" t="s">
        <v>41</v>
      </c>
      <c r="D1647" s="2" t="s">
        <v>32</v>
      </c>
      <c r="E1647" s="2" t="s">
        <v>56</v>
      </c>
      <c r="F1647" s="5">
        <v>137602.0</v>
      </c>
      <c r="G1647" s="5">
        <v>2641.0</v>
      </c>
      <c r="H1647" s="5">
        <v>0.0192</v>
      </c>
      <c r="I1647" s="5">
        <v>0.59</v>
      </c>
      <c r="J1647" s="5">
        <v>1558.19</v>
      </c>
      <c r="K1647" s="5">
        <v>179.0</v>
      </c>
      <c r="L1647" s="5">
        <v>8.7</v>
      </c>
      <c r="M1647" s="5">
        <v>52473.54</v>
      </c>
      <c r="N1647" s="5">
        <v>33.68</v>
      </c>
      <c r="O1647" s="6">
        <f t="shared" si="1"/>
        <v>8.704972067</v>
      </c>
      <c r="P1647" s="6" t="str">
        <f t="shared" si="2"/>
        <v>Post-Shift</v>
      </c>
      <c r="Q1647" s="3">
        <f t="shared" si="3"/>
        <v>46</v>
      </c>
    </row>
    <row r="1648">
      <c r="A1648" s="4">
        <v>45360.0</v>
      </c>
      <c r="B1648" s="2" t="s">
        <v>23</v>
      </c>
      <c r="C1648" s="2" t="s">
        <v>27</v>
      </c>
      <c r="D1648" s="2" t="s">
        <v>32</v>
      </c>
      <c r="E1648" s="2" t="s">
        <v>21</v>
      </c>
      <c r="F1648" s="5">
        <v>64222.0</v>
      </c>
      <c r="G1648" s="5">
        <v>2067.0</v>
      </c>
      <c r="H1648" s="5">
        <v>0.0322</v>
      </c>
      <c r="I1648" s="5">
        <v>1.89</v>
      </c>
      <c r="J1648" s="5">
        <v>3906.63</v>
      </c>
      <c r="K1648" s="5">
        <v>68.0</v>
      </c>
      <c r="L1648" s="5">
        <v>57.45</v>
      </c>
      <c r="M1648" s="5">
        <v>14851.97</v>
      </c>
      <c r="N1648" s="5">
        <v>3.8</v>
      </c>
      <c r="O1648" s="6">
        <f t="shared" si="1"/>
        <v>57.45044118</v>
      </c>
      <c r="P1648" s="6" t="str">
        <f t="shared" si="2"/>
        <v>Baseline</v>
      </c>
      <c r="Q1648" s="3">
        <f t="shared" si="3"/>
        <v>36</v>
      </c>
    </row>
    <row r="1649">
      <c r="A1649" s="4">
        <v>45511.0</v>
      </c>
      <c r="B1649" s="2" t="s">
        <v>23</v>
      </c>
      <c r="C1649" s="2" t="s">
        <v>31</v>
      </c>
      <c r="D1649" s="2" t="s">
        <v>29</v>
      </c>
      <c r="E1649" s="2" t="s">
        <v>56</v>
      </c>
      <c r="F1649" s="5">
        <v>116739.0</v>
      </c>
      <c r="G1649" s="5">
        <v>4319.0</v>
      </c>
      <c r="H1649" s="5">
        <v>0.037</v>
      </c>
      <c r="I1649" s="5">
        <v>0.34</v>
      </c>
      <c r="J1649" s="5">
        <v>1468.46</v>
      </c>
      <c r="K1649" s="5">
        <v>306.0</v>
      </c>
      <c r="L1649" s="5">
        <v>4.8</v>
      </c>
      <c r="M1649" s="5">
        <v>46873.98</v>
      </c>
      <c r="N1649" s="5">
        <v>31.92</v>
      </c>
      <c r="O1649" s="6">
        <f t="shared" si="1"/>
        <v>4.798888889</v>
      </c>
      <c r="P1649" s="6" t="str">
        <f t="shared" si="2"/>
        <v>Post-Shift</v>
      </c>
      <c r="Q1649" s="3">
        <f t="shared" si="3"/>
        <v>28</v>
      </c>
    </row>
    <row r="1650">
      <c r="A1650" s="4" t="s">
        <v>55</v>
      </c>
      <c r="B1650" s="2" t="s">
        <v>38</v>
      </c>
      <c r="C1650" s="2" t="s">
        <v>31</v>
      </c>
      <c r="D1650" s="2" t="s">
        <v>29</v>
      </c>
      <c r="E1650" s="2" t="s">
        <v>30</v>
      </c>
      <c r="F1650" s="5">
        <v>50869.0</v>
      </c>
      <c r="G1650" s="5">
        <v>890.0</v>
      </c>
      <c r="H1650" s="5">
        <v>0.0175</v>
      </c>
      <c r="I1650" s="5">
        <v>1.08</v>
      </c>
      <c r="J1650" s="5">
        <v>961.2</v>
      </c>
      <c r="K1650" s="5">
        <v>61.0</v>
      </c>
      <c r="L1650" s="5">
        <v>15.76</v>
      </c>
      <c r="M1650" s="5">
        <v>16803.54</v>
      </c>
      <c r="N1650" s="5">
        <v>17.48</v>
      </c>
      <c r="O1650" s="6">
        <f t="shared" si="1"/>
        <v>15.75737705</v>
      </c>
      <c r="P1650" s="6" t="str">
        <f t="shared" si="2"/>
        <v>Post-Shift</v>
      </c>
      <c r="Q1650" s="3">
        <f t="shared" si="3"/>
        <v>53</v>
      </c>
    </row>
    <row r="1651">
      <c r="A1651" s="4">
        <v>45334.0</v>
      </c>
      <c r="B1651" s="2" t="s">
        <v>38</v>
      </c>
      <c r="C1651" s="2" t="s">
        <v>19</v>
      </c>
      <c r="D1651" s="2" t="s">
        <v>24</v>
      </c>
      <c r="E1651" s="2" t="s">
        <v>33</v>
      </c>
      <c r="F1651" s="5">
        <v>127155.0</v>
      </c>
      <c r="G1651" s="5">
        <v>3089.0</v>
      </c>
      <c r="H1651" s="5">
        <v>0.0243</v>
      </c>
      <c r="I1651" s="5">
        <v>1.25</v>
      </c>
      <c r="J1651" s="5">
        <v>3861.25</v>
      </c>
      <c r="K1651" s="5">
        <v>95.0</v>
      </c>
      <c r="L1651" s="5">
        <v>40.64</v>
      </c>
      <c r="M1651" s="5">
        <v>23894.64</v>
      </c>
      <c r="N1651" s="5">
        <v>6.19</v>
      </c>
      <c r="O1651" s="6">
        <f t="shared" si="1"/>
        <v>40.64473684</v>
      </c>
      <c r="P1651" s="6" t="str">
        <f t="shared" si="2"/>
        <v>Baseline</v>
      </c>
      <c r="Q1651" s="3">
        <f t="shared" si="3"/>
        <v>49</v>
      </c>
    </row>
    <row r="1652">
      <c r="A1652" s="4" t="s">
        <v>82</v>
      </c>
      <c r="B1652" s="2" t="s">
        <v>18</v>
      </c>
      <c r="C1652" s="2" t="s">
        <v>27</v>
      </c>
      <c r="D1652" s="2" t="s">
        <v>24</v>
      </c>
      <c r="E1652" s="2" t="s">
        <v>33</v>
      </c>
      <c r="F1652" s="5">
        <v>162883.0</v>
      </c>
      <c r="G1652" s="5">
        <v>8974.0</v>
      </c>
      <c r="H1652" s="5">
        <v>0.0551</v>
      </c>
      <c r="I1652" s="5">
        <v>2.38</v>
      </c>
      <c r="J1652" s="5">
        <v>21358.12</v>
      </c>
      <c r="K1652" s="5">
        <v>292.0</v>
      </c>
      <c r="L1652" s="5">
        <v>73.14</v>
      </c>
      <c r="M1652" s="5">
        <v>80812.08</v>
      </c>
      <c r="N1652" s="5">
        <v>3.78</v>
      </c>
      <c r="O1652" s="6">
        <f t="shared" si="1"/>
        <v>73.14424658</v>
      </c>
      <c r="P1652" s="6" t="str">
        <f t="shared" si="2"/>
        <v>Post-Shift</v>
      </c>
      <c r="Q1652" s="3">
        <f t="shared" si="3"/>
        <v>13</v>
      </c>
    </row>
    <row r="1653">
      <c r="A1653" s="4" t="s">
        <v>143</v>
      </c>
      <c r="B1653" s="2" t="s">
        <v>23</v>
      </c>
      <c r="C1653" s="2" t="s">
        <v>19</v>
      </c>
      <c r="D1653" s="2" t="s">
        <v>32</v>
      </c>
      <c r="E1653" s="2" t="s">
        <v>36</v>
      </c>
      <c r="F1653" s="5">
        <v>115716.0</v>
      </c>
      <c r="G1653" s="5">
        <v>7394.0</v>
      </c>
      <c r="H1653" s="5">
        <v>0.0639</v>
      </c>
      <c r="I1653" s="5">
        <v>1.16</v>
      </c>
      <c r="J1653" s="5">
        <v>8577.04</v>
      </c>
      <c r="K1653" s="5">
        <v>242.0</v>
      </c>
      <c r="L1653" s="5">
        <v>35.44</v>
      </c>
      <c r="M1653" s="5">
        <v>49142.56</v>
      </c>
      <c r="N1653" s="5">
        <v>5.73</v>
      </c>
      <c r="O1653" s="6">
        <f t="shared" si="1"/>
        <v>35.44231405</v>
      </c>
      <c r="P1653" s="6" t="str">
        <f t="shared" si="2"/>
        <v>Post-Shift</v>
      </c>
      <c r="Q1653" s="3">
        <f t="shared" si="3"/>
        <v>3</v>
      </c>
    </row>
    <row r="1654">
      <c r="A1654" s="4" t="s">
        <v>237</v>
      </c>
      <c r="B1654" s="2" t="s">
        <v>18</v>
      </c>
      <c r="C1654" s="2" t="s">
        <v>27</v>
      </c>
      <c r="D1654" s="2" t="s">
        <v>24</v>
      </c>
      <c r="E1654" s="2" t="s">
        <v>30</v>
      </c>
      <c r="F1654" s="5">
        <v>40306.0</v>
      </c>
      <c r="G1654" s="5">
        <v>1176.0</v>
      </c>
      <c r="H1654" s="5">
        <v>0.0292</v>
      </c>
      <c r="I1654" s="5">
        <v>0.85</v>
      </c>
      <c r="J1654" s="5">
        <v>999.6</v>
      </c>
      <c r="K1654" s="5">
        <v>41.0</v>
      </c>
      <c r="L1654" s="5">
        <v>24.38</v>
      </c>
      <c r="M1654" s="5">
        <v>11838.48</v>
      </c>
      <c r="N1654" s="5">
        <v>11.84</v>
      </c>
      <c r="O1654" s="6">
        <f t="shared" si="1"/>
        <v>24.3804878</v>
      </c>
      <c r="P1654" s="6" t="str">
        <f t="shared" si="2"/>
        <v>Post-Shift</v>
      </c>
      <c r="Q1654" s="3">
        <f t="shared" si="3"/>
        <v>24</v>
      </c>
    </row>
    <row r="1655">
      <c r="A1655" s="4" t="s">
        <v>49</v>
      </c>
      <c r="B1655" s="2" t="s">
        <v>23</v>
      </c>
      <c r="C1655" s="2" t="s">
        <v>19</v>
      </c>
      <c r="D1655" s="2" t="s">
        <v>20</v>
      </c>
      <c r="E1655" s="2" t="s">
        <v>36</v>
      </c>
      <c r="F1655" s="5">
        <v>138025.0</v>
      </c>
      <c r="G1655" s="5">
        <v>9192.0</v>
      </c>
      <c r="H1655" s="5">
        <v>0.0666</v>
      </c>
      <c r="I1655" s="5">
        <v>0.64</v>
      </c>
      <c r="J1655" s="5">
        <v>5882.88</v>
      </c>
      <c r="K1655" s="5">
        <v>420.0</v>
      </c>
      <c r="L1655" s="5">
        <v>14.01</v>
      </c>
      <c r="M1655" s="5">
        <v>38810.35</v>
      </c>
      <c r="N1655" s="5">
        <v>6.6</v>
      </c>
      <c r="O1655" s="6">
        <f t="shared" si="1"/>
        <v>14.00685714</v>
      </c>
      <c r="P1655" s="6" t="str">
        <f t="shared" si="2"/>
        <v>Post-Shift</v>
      </c>
      <c r="Q1655" s="3">
        <f t="shared" si="3"/>
        <v>9</v>
      </c>
    </row>
    <row r="1656">
      <c r="A1656" s="4">
        <v>45414.0</v>
      </c>
      <c r="B1656" s="2" t="s">
        <v>38</v>
      </c>
      <c r="C1656" s="2" t="s">
        <v>27</v>
      </c>
      <c r="D1656" s="2" t="s">
        <v>32</v>
      </c>
      <c r="E1656" s="2" t="s">
        <v>56</v>
      </c>
      <c r="F1656" s="5">
        <v>145510.0</v>
      </c>
      <c r="G1656" s="5">
        <v>5805.0</v>
      </c>
      <c r="H1656" s="5">
        <v>0.0399</v>
      </c>
      <c r="I1656" s="5">
        <v>1.04</v>
      </c>
      <c r="J1656" s="5">
        <v>6037.2</v>
      </c>
      <c r="K1656" s="5">
        <v>166.0</v>
      </c>
      <c r="L1656" s="5">
        <v>36.37</v>
      </c>
      <c r="M1656" s="5">
        <v>30713.7</v>
      </c>
      <c r="N1656" s="5">
        <v>5.09</v>
      </c>
      <c r="O1656" s="6">
        <f t="shared" si="1"/>
        <v>36.3686747</v>
      </c>
      <c r="P1656" s="6" t="str">
        <f t="shared" si="2"/>
        <v>Baseline</v>
      </c>
      <c r="Q1656" s="3">
        <f t="shared" si="3"/>
        <v>6</v>
      </c>
    </row>
    <row r="1657">
      <c r="A1657" s="4">
        <v>45482.0</v>
      </c>
      <c r="B1657" s="2" t="s">
        <v>23</v>
      </c>
      <c r="C1657" s="2" t="s">
        <v>41</v>
      </c>
      <c r="D1657" s="2" t="s">
        <v>20</v>
      </c>
      <c r="E1657" s="2" t="s">
        <v>30</v>
      </c>
      <c r="F1657" s="5">
        <v>168297.0</v>
      </c>
      <c r="G1657" s="5">
        <v>10535.0</v>
      </c>
      <c r="H1657" s="5">
        <v>0.0626</v>
      </c>
      <c r="I1657" s="5">
        <v>1.4</v>
      </c>
      <c r="J1657" s="5">
        <v>14749.0</v>
      </c>
      <c r="K1657" s="5">
        <v>561.0</v>
      </c>
      <c r="L1657" s="5">
        <v>26.29</v>
      </c>
      <c r="M1657" s="5">
        <v>30094.65</v>
      </c>
      <c r="N1657" s="5">
        <v>2.04</v>
      </c>
      <c r="O1657" s="6">
        <f t="shared" si="1"/>
        <v>26.29055258</v>
      </c>
      <c r="P1657" s="6" t="str">
        <f t="shared" si="2"/>
        <v>Post-Shift</v>
      </c>
      <c r="Q1657" s="3">
        <f t="shared" si="3"/>
        <v>36</v>
      </c>
    </row>
    <row r="1658">
      <c r="A1658" s="4" t="s">
        <v>57</v>
      </c>
      <c r="B1658" s="2" t="s">
        <v>38</v>
      </c>
      <c r="C1658" s="2" t="s">
        <v>19</v>
      </c>
      <c r="D1658" s="2" t="s">
        <v>45</v>
      </c>
      <c r="E1658" s="2" t="s">
        <v>58</v>
      </c>
      <c r="F1658" s="5">
        <v>66157.0</v>
      </c>
      <c r="G1658" s="5">
        <v>1687.0</v>
      </c>
      <c r="H1658" s="5">
        <v>0.0255</v>
      </c>
      <c r="I1658" s="5">
        <v>1.3</v>
      </c>
      <c r="J1658" s="5">
        <v>2193.1</v>
      </c>
      <c r="K1658" s="5">
        <v>41.0</v>
      </c>
      <c r="L1658" s="5">
        <v>53.49</v>
      </c>
      <c r="M1658" s="5">
        <v>5082.94</v>
      </c>
      <c r="N1658" s="5">
        <v>2.32</v>
      </c>
      <c r="O1658" s="6">
        <f t="shared" si="1"/>
        <v>53.4902439</v>
      </c>
      <c r="P1658" s="6" t="str">
        <f t="shared" si="2"/>
        <v>Post-Shift</v>
      </c>
      <c r="Q1658" s="3">
        <f t="shared" si="3"/>
        <v>50</v>
      </c>
    </row>
    <row r="1659">
      <c r="A1659" s="4" t="s">
        <v>82</v>
      </c>
      <c r="B1659" s="2" t="s">
        <v>38</v>
      </c>
      <c r="C1659" s="2" t="s">
        <v>31</v>
      </c>
      <c r="D1659" s="2" t="s">
        <v>20</v>
      </c>
      <c r="E1659" s="2" t="s">
        <v>56</v>
      </c>
      <c r="F1659" s="5">
        <v>115003.0</v>
      </c>
      <c r="G1659" s="5">
        <v>2921.0</v>
      </c>
      <c r="H1659" s="5">
        <v>0.0254</v>
      </c>
      <c r="I1659" s="5">
        <v>0.4</v>
      </c>
      <c r="J1659" s="5">
        <v>1168.4</v>
      </c>
      <c r="K1659" s="5">
        <v>36.0</v>
      </c>
      <c r="L1659" s="5">
        <v>32.46</v>
      </c>
      <c r="M1659" s="5">
        <v>4203.19</v>
      </c>
      <c r="N1659" s="5">
        <v>3.6</v>
      </c>
      <c r="O1659" s="6">
        <f t="shared" si="1"/>
        <v>32.45555556</v>
      </c>
      <c r="P1659" s="6" t="str">
        <f t="shared" si="2"/>
        <v>Post-Shift</v>
      </c>
      <c r="Q1659" s="3">
        <f t="shared" si="3"/>
        <v>13</v>
      </c>
    </row>
    <row r="1660">
      <c r="A1660" s="4" t="s">
        <v>107</v>
      </c>
      <c r="B1660" s="2" t="s">
        <v>38</v>
      </c>
      <c r="C1660" s="2" t="s">
        <v>31</v>
      </c>
      <c r="D1660" s="2" t="s">
        <v>29</v>
      </c>
      <c r="E1660" s="2" t="s">
        <v>30</v>
      </c>
      <c r="F1660" s="5">
        <v>173292.0</v>
      </c>
      <c r="G1660" s="5">
        <v>7330.0</v>
      </c>
      <c r="H1660" s="5">
        <v>0.0423</v>
      </c>
      <c r="I1660" s="5">
        <v>1.88</v>
      </c>
      <c r="J1660" s="5">
        <v>13780.4</v>
      </c>
      <c r="K1660" s="5">
        <v>355.0</v>
      </c>
      <c r="L1660" s="5">
        <v>38.82</v>
      </c>
      <c r="M1660" s="5">
        <v>66981.68</v>
      </c>
      <c r="N1660" s="5">
        <v>4.86</v>
      </c>
      <c r="O1660" s="6">
        <f t="shared" si="1"/>
        <v>38.81802817</v>
      </c>
      <c r="P1660" s="6" t="str">
        <f t="shared" si="2"/>
        <v>Post-Shift</v>
      </c>
      <c r="Q1660" s="3">
        <f t="shared" si="3"/>
        <v>3</v>
      </c>
    </row>
    <row r="1661">
      <c r="A1661" s="4">
        <v>45474.0</v>
      </c>
      <c r="B1661" s="2" t="s">
        <v>38</v>
      </c>
      <c r="C1661" s="2" t="s">
        <v>27</v>
      </c>
      <c r="D1661" s="2" t="s">
        <v>24</v>
      </c>
      <c r="E1661" s="2" t="s">
        <v>33</v>
      </c>
      <c r="F1661" s="5">
        <v>94440.0</v>
      </c>
      <c r="G1661" s="5">
        <v>2219.0</v>
      </c>
      <c r="H1661" s="5">
        <v>0.0235</v>
      </c>
      <c r="I1661" s="5">
        <v>1.93</v>
      </c>
      <c r="J1661" s="5">
        <v>4282.67</v>
      </c>
      <c r="K1661" s="5">
        <v>156.0</v>
      </c>
      <c r="L1661" s="5">
        <v>27.45</v>
      </c>
      <c r="M1661" s="5">
        <v>39424.24</v>
      </c>
      <c r="N1661" s="5">
        <v>9.21</v>
      </c>
      <c r="O1661" s="6">
        <f t="shared" si="1"/>
        <v>27.45301282</v>
      </c>
      <c r="P1661" s="6" t="str">
        <f t="shared" si="2"/>
        <v>Post-Shift</v>
      </c>
      <c r="Q1661" s="3">
        <f t="shared" si="3"/>
        <v>2</v>
      </c>
    </row>
    <row r="1662">
      <c r="A1662" s="4" t="s">
        <v>91</v>
      </c>
      <c r="B1662" s="2" t="s">
        <v>38</v>
      </c>
      <c r="C1662" s="2" t="s">
        <v>27</v>
      </c>
      <c r="D1662" s="2" t="s">
        <v>29</v>
      </c>
      <c r="E1662" s="2" t="s">
        <v>56</v>
      </c>
      <c r="F1662" s="5">
        <v>93003.0</v>
      </c>
      <c r="G1662" s="5">
        <v>1283.0</v>
      </c>
      <c r="H1662" s="5">
        <v>0.0138</v>
      </c>
      <c r="I1662" s="5">
        <v>1.76</v>
      </c>
      <c r="J1662" s="5">
        <v>2258.08</v>
      </c>
      <c r="K1662" s="5">
        <v>49.0</v>
      </c>
      <c r="L1662" s="5">
        <v>46.08</v>
      </c>
      <c r="M1662" s="5">
        <v>1614.11</v>
      </c>
      <c r="N1662" s="5">
        <v>0.71</v>
      </c>
      <c r="O1662" s="6">
        <f t="shared" si="1"/>
        <v>46.08326531</v>
      </c>
      <c r="P1662" s="6" t="str">
        <f t="shared" si="2"/>
        <v>Post-Shift</v>
      </c>
      <c r="Q1662" s="3">
        <f t="shared" si="3"/>
        <v>26</v>
      </c>
    </row>
    <row r="1663">
      <c r="A1663" s="4">
        <v>45324.0</v>
      </c>
      <c r="B1663" s="2" t="s">
        <v>23</v>
      </c>
      <c r="C1663" s="2" t="s">
        <v>27</v>
      </c>
      <c r="D1663" s="2" t="s">
        <v>45</v>
      </c>
      <c r="E1663" s="2" t="s">
        <v>30</v>
      </c>
      <c r="F1663" s="5">
        <v>112294.0</v>
      </c>
      <c r="G1663" s="5">
        <v>9039.0</v>
      </c>
      <c r="H1663" s="5">
        <v>0.0805</v>
      </c>
      <c r="I1663" s="5">
        <v>0.99</v>
      </c>
      <c r="J1663" s="5">
        <v>8948.61</v>
      </c>
      <c r="K1663" s="5">
        <v>99.0</v>
      </c>
      <c r="L1663" s="5">
        <v>90.39</v>
      </c>
      <c r="M1663" s="5">
        <v>20435.34</v>
      </c>
      <c r="N1663" s="5">
        <v>2.28</v>
      </c>
      <c r="O1663" s="6">
        <f t="shared" si="1"/>
        <v>90.39</v>
      </c>
      <c r="P1663" s="6" t="str">
        <f t="shared" si="2"/>
        <v>Baseline</v>
      </c>
      <c r="Q1663" s="3">
        <f t="shared" si="3"/>
        <v>5</v>
      </c>
    </row>
    <row r="1664">
      <c r="A1664" s="4" t="s">
        <v>120</v>
      </c>
      <c r="B1664" s="2" t="s">
        <v>38</v>
      </c>
      <c r="C1664" s="2" t="s">
        <v>41</v>
      </c>
      <c r="D1664" s="2" t="s">
        <v>32</v>
      </c>
      <c r="E1664" s="2" t="s">
        <v>30</v>
      </c>
      <c r="F1664" s="5">
        <v>165321.0</v>
      </c>
      <c r="G1664" s="5">
        <v>4447.0</v>
      </c>
      <c r="H1664" s="5">
        <v>0.0269</v>
      </c>
      <c r="I1664" s="5">
        <v>1.56</v>
      </c>
      <c r="J1664" s="5">
        <v>6937.32</v>
      </c>
      <c r="K1664" s="5">
        <v>301.0</v>
      </c>
      <c r="L1664" s="5">
        <v>23.05</v>
      </c>
      <c r="M1664" s="5">
        <v>23975.23</v>
      </c>
      <c r="N1664" s="5">
        <v>3.46</v>
      </c>
      <c r="O1664" s="6">
        <f t="shared" si="1"/>
        <v>23.04757475</v>
      </c>
      <c r="P1664" s="6" t="str">
        <f t="shared" si="2"/>
        <v>Post-Shift</v>
      </c>
      <c r="Q1664" s="3">
        <f t="shared" si="3"/>
        <v>21</v>
      </c>
    </row>
    <row r="1665">
      <c r="A1665" s="4">
        <v>45607.0</v>
      </c>
      <c r="B1665" s="2" t="s">
        <v>23</v>
      </c>
      <c r="C1665" s="2" t="s">
        <v>27</v>
      </c>
      <c r="D1665" s="2" t="s">
        <v>29</v>
      </c>
      <c r="E1665" s="2" t="s">
        <v>30</v>
      </c>
      <c r="F1665" s="5">
        <v>137895.0</v>
      </c>
      <c r="G1665" s="5">
        <v>5901.0</v>
      </c>
      <c r="H1665" s="5">
        <v>0.0428</v>
      </c>
      <c r="I1665" s="5">
        <v>1.34</v>
      </c>
      <c r="J1665" s="5">
        <v>7907.34</v>
      </c>
      <c r="K1665" s="5">
        <v>379.0</v>
      </c>
      <c r="L1665" s="5">
        <v>20.86</v>
      </c>
      <c r="M1665" s="5">
        <v>86835.97</v>
      </c>
      <c r="N1665" s="5">
        <v>10.98</v>
      </c>
      <c r="O1665" s="6">
        <f t="shared" si="1"/>
        <v>20.86369393</v>
      </c>
      <c r="P1665" s="6" t="str">
        <f t="shared" si="2"/>
        <v>Post-Shift</v>
      </c>
      <c r="Q1665" s="3">
        <f t="shared" si="3"/>
        <v>46</v>
      </c>
    </row>
    <row r="1666">
      <c r="A1666" s="4" t="s">
        <v>64</v>
      </c>
      <c r="B1666" s="2" t="s">
        <v>23</v>
      </c>
      <c r="C1666" s="2" t="s">
        <v>41</v>
      </c>
      <c r="D1666" s="2" t="s">
        <v>45</v>
      </c>
      <c r="E1666" s="2" t="s">
        <v>33</v>
      </c>
      <c r="F1666" s="5">
        <v>7978.0</v>
      </c>
      <c r="G1666" s="5">
        <v>557.0</v>
      </c>
      <c r="H1666" s="5">
        <v>0.0699</v>
      </c>
      <c r="I1666" s="5">
        <v>0.61</v>
      </c>
      <c r="J1666" s="5">
        <v>339.77</v>
      </c>
      <c r="K1666" s="5">
        <v>34.0</v>
      </c>
      <c r="L1666" s="5">
        <v>9.99</v>
      </c>
      <c r="M1666" s="5">
        <v>6686.61</v>
      </c>
      <c r="N1666" s="5">
        <v>19.68</v>
      </c>
      <c r="O1666" s="6">
        <f t="shared" si="1"/>
        <v>9.993235294</v>
      </c>
      <c r="P1666" s="6" t="str">
        <f t="shared" si="2"/>
        <v>Post-Shift</v>
      </c>
      <c r="Q1666" s="3">
        <f t="shared" si="3"/>
        <v>9</v>
      </c>
    </row>
    <row r="1667">
      <c r="A1667" s="4">
        <v>45506.0</v>
      </c>
      <c r="B1667" s="2" t="s">
        <v>23</v>
      </c>
      <c r="C1667" s="2" t="s">
        <v>41</v>
      </c>
      <c r="D1667" s="2" t="s">
        <v>20</v>
      </c>
      <c r="E1667" s="2" t="s">
        <v>33</v>
      </c>
      <c r="F1667" s="5">
        <v>113994.0</v>
      </c>
      <c r="G1667" s="5">
        <v>4320.0</v>
      </c>
      <c r="H1667" s="5">
        <v>0.0379</v>
      </c>
      <c r="I1667" s="5">
        <v>0.77</v>
      </c>
      <c r="J1667" s="5">
        <v>3326.4</v>
      </c>
      <c r="K1667" s="5">
        <v>142.0</v>
      </c>
      <c r="L1667" s="5">
        <v>23.43</v>
      </c>
      <c r="M1667" s="5">
        <v>25985.24</v>
      </c>
      <c r="N1667" s="5">
        <v>7.81</v>
      </c>
      <c r="O1667" s="6">
        <f t="shared" si="1"/>
        <v>23.42535211</v>
      </c>
      <c r="P1667" s="6" t="str">
        <f t="shared" si="2"/>
        <v>Post-Shift</v>
      </c>
      <c r="Q1667" s="3">
        <f t="shared" si="3"/>
        <v>6</v>
      </c>
    </row>
    <row r="1668">
      <c r="A1668" s="4" t="s">
        <v>241</v>
      </c>
      <c r="B1668" s="2" t="s">
        <v>18</v>
      </c>
      <c r="C1668" s="2" t="s">
        <v>19</v>
      </c>
      <c r="D1668" s="2" t="s">
        <v>24</v>
      </c>
      <c r="E1668" s="2" t="s">
        <v>21</v>
      </c>
      <c r="F1668" s="5">
        <v>90794.0</v>
      </c>
      <c r="G1668" s="5">
        <v>5638.0</v>
      </c>
      <c r="H1668" s="5">
        <v>0.0621</v>
      </c>
      <c r="I1668" s="5">
        <v>3.1</v>
      </c>
      <c r="J1668" s="5">
        <v>17477.8</v>
      </c>
      <c r="K1668" s="5">
        <v>217.0</v>
      </c>
      <c r="L1668" s="5">
        <v>80.54</v>
      </c>
      <c r="M1668" s="5">
        <v>54642.18</v>
      </c>
      <c r="N1668" s="5">
        <v>3.13</v>
      </c>
      <c r="O1668" s="6">
        <f t="shared" si="1"/>
        <v>80.54285714</v>
      </c>
      <c r="P1668" s="6" t="str">
        <f t="shared" si="2"/>
        <v>Post-Shift</v>
      </c>
      <c r="Q1668" s="3">
        <f t="shared" si="3"/>
        <v>7</v>
      </c>
    </row>
    <row r="1669">
      <c r="A1669" s="4" t="s">
        <v>138</v>
      </c>
      <c r="B1669" s="2" t="s">
        <v>38</v>
      </c>
      <c r="C1669" s="2" t="s">
        <v>41</v>
      </c>
      <c r="D1669" s="2" t="s">
        <v>29</v>
      </c>
      <c r="E1669" s="2" t="s">
        <v>58</v>
      </c>
      <c r="F1669" s="5">
        <v>118694.0</v>
      </c>
      <c r="G1669" s="5">
        <v>2338.0</v>
      </c>
      <c r="H1669" s="5">
        <v>0.0197</v>
      </c>
      <c r="I1669" s="5">
        <v>2.26</v>
      </c>
      <c r="J1669" s="5">
        <v>5283.88</v>
      </c>
      <c r="K1669" s="5">
        <v>76.0</v>
      </c>
      <c r="L1669" s="5">
        <v>69.52</v>
      </c>
      <c r="M1669" s="5">
        <v>6774.6</v>
      </c>
      <c r="N1669" s="5">
        <v>1.28</v>
      </c>
      <c r="O1669" s="6">
        <f t="shared" si="1"/>
        <v>69.52473684</v>
      </c>
      <c r="P1669" s="6" t="str">
        <f t="shared" si="2"/>
        <v>Post-Shift</v>
      </c>
      <c r="Q1669" s="3">
        <f t="shared" si="3"/>
        <v>51</v>
      </c>
    </row>
    <row r="1670">
      <c r="A1670" s="4" t="s">
        <v>197</v>
      </c>
      <c r="B1670" s="2" t="s">
        <v>18</v>
      </c>
      <c r="C1670" s="2" t="s">
        <v>31</v>
      </c>
      <c r="D1670" s="2" t="s">
        <v>29</v>
      </c>
      <c r="E1670" s="2" t="s">
        <v>21</v>
      </c>
      <c r="F1670" s="5">
        <v>99805.0</v>
      </c>
      <c r="G1670" s="5">
        <v>1936.0</v>
      </c>
      <c r="H1670" s="5">
        <v>0.0194</v>
      </c>
      <c r="I1670" s="5">
        <v>1.4</v>
      </c>
      <c r="J1670" s="5">
        <v>2710.4</v>
      </c>
      <c r="K1670" s="5">
        <v>112.0</v>
      </c>
      <c r="L1670" s="5">
        <v>24.2</v>
      </c>
      <c r="M1670" s="5">
        <v>29346.97</v>
      </c>
      <c r="N1670" s="5">
        <v>10.83</v>
      </c>
      <c r="O1670" s="6">
        <f t="shared" si="1"/>
        <v>24.2</v>
      </c>
      <c r="P1670" s="6" t="str">
        <f t="shared" si="2"/>
        <v>Post-Shift</v>
      </c>
      <c r="Q1670" s="3">
        <f t="shared" si="3"/>
        <v>29</v>
      </c>
    </row>
    <row r="1671">
      <c r="A1671" s="4" t="s">
        <v>236</v>
      </c>
      <c r="B1671" s="2" t="s">
        <v>18</v>
      </c>
      <c r="C1671" s="2" t="s">
        <v>19</v>
      </c>
      <c r="D1671" s="2" t="s">
        <v>20</v>
      </c>
      <c r="E1671" s="2" t="s">
        <v>36</v>
      </c>
      <c r="F1671" s="5">
        <v>187156.0</v>
      </c>
      <c r="G1671" s="5">
        <v>3986.0</v>
      </c>
      <c r="H1671" s="5">
        <v>0.0213</v>
      </c>
      <c r="I1671" s="5">
        <v>2.39</v>
      </c>
      <c r="J1671" s="5">
        <v>9526.54</v>
      </c>
      <c r="K1671" s="5">
        <v>269.0</v>
      </c>
      <c r="L1671" s="5">
        <v>35.41</v>
      </c>
      <c r="M1671" s="5">
        <v>34393.23</v>
      </c>
      <c r="N1671" s="5">
        <v>3.61</v>
      </c>
      <c r="O1671" s="6">
        <f t="shared" si="1"/>
        <v>35.41464684</v>
      </c>
      <c r="P1671" s="6" t="str">
        <f t="shared" si="2"/>
        <v>Post-Shift</v>
      </c>
      <c r="Q1671" s="3">
        <f t="shared" si="3"/>
        <v>5</v>
      </c>
    </row>
    <row r="1672">
      <c r="A1672" s="4">
        <v>45390.0</v>
      </c>
      <c r="B1672" s="2" t="s">
        <v>23</v>
      </c>
      <c r="C1672" s="2" t="s">
        <v>27</v>
      </c>
      <c r="D1672" s="2" t="s">
        <v>24</v>
      </c>
      <c r="E1672" s="2" t="s">
        <v>21</v>
      </c>
      <c r="F1672" s="5">
        <v>120152.0</v>
      </c>
      <c r="G1672" s="5">
        <v>4613.0</v>
      </c>
      <c r="H1672" s="5">
        <v>0.0384</v>
      </c>
      <c r="I1672" s="5">
        <v>0.97</v>
      </c>
      <c r="J1672" s="5">
        <v>4474.61</v>
      </c>
      <c r="K1672" s="5">
        <v>108.0</v>
      </c>
      <c r="L1672" s="5">
        <v>41.43</v>
      </c>
      <c r="M1672" s="5">
        <v>27205.77</v>
      </c>
      <c r="N1672" s="5">
        <v>6.08</v>
      </c>
      <c r="O1672" s="6">
        <f t="shared" si="1"/>
        <v>41.43157407</v>
      </c>
      <c r="P1672" s="6" t="str">
        <f t="shared" si="2"/>
        <v>Baseline</v>
      </c>
      <c r="Q1672" s="3">
        <f t="shared" si="3"/>
        <v>32</v>
      </c>
    </row>
    <row r="1673">
      <c r="A1673" s="4" t="s">
        <v>155</v>
      </c>
      <c r="B1673" s="2" t="s">
        <v>18</v>
      </c>
      <c r="C1673" s="2" t="s">
        <v>19</v>
      </c>
      <c r="D1673" s="2" t="s">
        <v>20</v>
      </c>
      <c r="E1673" s="2" t="s">
        <v>25</v>
      </c>
      <c r="F1673" s="5">
        <v>117458.0</v>
      </c>
      <c r="G1673" s="5">
        <v>6824.0</v>
      </c>
      <c r="H1673" s="5">
        <v>0.0581</v>
      </c>
      <c r="I1673" s="5">
        <v>2.01</v>
      </c>
      <c r="J1673" s="5">
        <v>13716.24</v>
      </c>
      <c r="K1673" s="5">
        <v>251.0</v>
      </c>
      <c r="L1673" s="5">
        <v>54.65</v>
      </c>
      <c r="M1673" s="5">
        <v>12200.18</v>
      </c>
      <c r="N1673" s="5">
        <v>0.89</v>
      </c>
      <c r="O1673" s="6">
        <f t="shared" si="1"/>
        <v>54.6463745</v>
      </c>
      <c r="P1673" s="6" t="str">
        <f t="shared" si="2"/>
        <v>Post-Shift</v>
      </c>
      <c r="Q1673" s="3">
        <f t="shared" si="3"/>
        <v>51</v>
      </c>
    </row>
    <row r="1674">
      <c r="A1674" s="4" t="s">
        <v>259</v>
      </c>
      <c r="B1674" s="2" t="s">
        <v>38</v>
      </c>
      <c r="C1674" s="2" t="s">
        <v>27</v>
      </c>
      <c r="D1674" s="2" t="s">
        <v>24</v>
      </c>
      <c r="E1674" s="2" t="s">
        <v>58</v>
      </c>
      <c r="F1674" s="5">
        <v>35398.0</v>
      </c>
      <c r="G1674" s="5">
        <v>1044.0</v>
      </c>
      <c r="H1674" s="5">
        <v>0.0295</v>
      </c>
      <c r="I1674" s="5">
        <v>0.45</v>
      </c>
      <c r="J1674" s="5">
        <v>469.8</v>
      </c>
      <c r="K1674" s="5">
        <v>20.0</v>
      </c>
      <c r="L1674" s="5">
        <v>23.49</v>
      </c>
      <c r="M1674" s="5">
        <v>1596.24</v>
      </c>
      <c r="N1674" s="5">
        <v>3.4</v>
      </c>
      <c r="O1674" s="6">
        <f t="shared" si="1"/>
        <v>23.49</v>
      </c>
      <c r="P1674" s="6" t="str">
        <f t="shared" si="2"/>
        <v>Post-Shift</v>
      </c>
      <c r="Q1674" s="3">
        <f t="shared" si="3"/>
        <v>25</v>
      </c>
    </row>
    <row r="1675">
      <c r="A1675" s="4" t="s">
        <v>191</v>
      </c>
      <c r="B1675" s="2" t="s">
        <v>23</v>
      </c>
      <c r="C1675" s="2" t="s">
        <v>27</v>
      </c>
      <c r="D1675" s="2" t="s">
        <v>29</v>
      </c>
      <c r="E1675" s="2" t="s">
        <v>56</v>
      </c>
      <c r="F1675" s="5">
        <v>98386.0</v>
      </c>
      <c r="G1675" s="5">
        <v>7556.0</v>
      </c>
      <c r="H1675" s="5">
        <v>0.0768</v>
      </c>
      <c r="I1675" s="5">
        <v>0.35</v>
      </c>
      <c r="J1675" s="5">
        <v>2644.6</v>
      </c>
      <c r="K1675" s="5">
        <v>385.0</v>
      </c>
      <c r="L1675" s="5">
        <v>6.87</v>
      </c>
      <c r="M1675" s="5">
        <v>43735.3</v>
      </c>
      <c r="N1675" s="5">
        <v>16.54</v>
      </c>
      <c r="O1675" s="6">
        <f t="shared" si="1"/>
        <v>6.869090909</v>
      </c>
      <c r="P1675" s="6" t="str">
        <f t="shared" si="2"/>
        <v>Post-Shift</v>
      </c>
      <c r="Q1675" s="3">
        <f t="shared" si="3"/>
        <v>13</v>
      </c>
    </row>
    <row r="1676">
      <c r="A1676" s="4">
        <v>45451.0</v>
      </c>
      <c r="B1676" s="2" t="s">
        <v>38</v>
      </c>
      <c r="C1676" s="2" t="s">
        <v>27</v>
      </c>
      <c r="D1676" s="2" t="s">
        <v>45</v>
      </c>
      <c r="E1676" s="2" t="s">
        <v>36</v>
      </c>
      <c r="F1676" s="5">
        <v>70133.0</v>
      </c>
      <c r="G1676" s="5">
        <v>2293.0</v>
      </c>
      <c r="H1676" s="5">
        <v>0.0327</v>
      </c>
      <c r="I1676" s="5">
        <v>1.04</v>
      </c>
      <c r="J1676" s="5">
        <v>2384.72</v>
      </c>
      <c r="K1676" s="5">
        <v>75.0</v>
      </c>
      <c r="L1676" s="5">
        <v>31.8</v>
      </c>
      <c r="M1676" s="5">
        <v>14249.95</v>
      </c>
      <c r="N1676" s="5">
        <v>5.98</v>
      </c>
      <c r="O1676" s="6">
        <f t="shared" si="1"/>
        <v>31.79626667</v>
      </c>
      <c r="P1676" s="6" t="str">
        <f t="shared" si="2"/>
        <v>Baseline</v>
      </c>
      <c r="Q1676" s="3">
        <f t="shared" si="3"/>
        <v>32</v>
      </c>
    </row>
    <row r="1677">
      <c r="A1677" s="4" t="s">
        <v>202</v>
      </c>
      <c r="B1677" s="2" t="s">
        <v>18</v>
      </c>
      <c r="C1677" s="2" t="s">
        <v>27</v>
      </c>
      <c r="D1677" s="2" t="s">
        <v>32</v>
      </c>
      <c r="E1677" s="2" t="s">
        <v>30</v>
      </c>
      <c r="F1677" s="5">
        <v>30169.0</v>
      </c>
      <c r="G1677" s="5">
        <v>1523.0</v>
      </c>
      <c r="H1677" s="5">
        <v>0.0505</v>
      </c>
      <c r="I1677" s="5">
        <v>1.44</v>
      </c>
      <c r="J1677" s="5">
        <v>2193.12</v>
      </c>
      <c r="K1677" s="5">
        <v>34.0</v>
      </c>
      <c r="L1677" s="5">
        <v>64.5</v>
      </c>
      <c r="M1677" s="5">
        <v>8282.71</v>
      </c>
      <c r="N1677" s="5">
        <v>3.78</v>
      </c>
      <c r="O1677" s="6">
        <f t="shared" si="1"/>
        <v>64.50352941</v>
      </c>
      <c r="P1677" s="6" t="str">
        <f t="shared" si="2"/>
        <v>Post-Shift</v>
      </c>
      <c r="Q1677" s="3">
        <f t="shared" si="3"/>
        <v>26</v>
      </c>
    </row>
    <row r="1678">
      <c r="A1678" s="4" t="s">
        <v>110</v>
      </c>
      <c r="B1678" s="2" t="s">
        <v>18</v>
      </c>
      <c r="C1678" s="2" t="s">
        <v>19</v>
      </c>
      <c r="D1678" s="2" t="s">
        <v>24</v>
      </c>
      <c r="E1678" s="2" t="s">
        <v>33</v>
      </c>
      <c r="F1678" s="5">
        <v>122959.0</v>
      </c>
      <c r="G1678" s="5">
        <v>3553.0</v>
      </c>
      <c r="H1678" s="5">
        <v>0.0289</v>
      </c>
      <c r="I1678" s="5">
        <v>1.67</v>
      </c>
      <c r="J1678" s="5">
        <v>5933.51</v>
      </c>
      <c r="K1678" s="5">
        <v>133.0</v>
      </c>
      <c r="L1678" s="5">
        <v>44.61</v>
      </c>
      <c r="M1678" s="5">
        <v>11079.66</v>
      </c>
      <c r="N1678" s="5">
        <v>1.87</v>
      </c>
      <c r="O1678" s="6">
        <f t="shared" si="1"/>
        <v>44.61285714</v>
      </c>
      <c r="P1678" s="6" t="str">
        <f t="shared" si="2"/>
        <v>Post-Shift</v>
      </c>
      <c r="Q1678" s="3">
        <f t="shared" si="3"/>
        <v>4</v>
      </c>
    </row>
    <row r="1679">
      <c r="A1679" s="4">
        <v>45630.0</v>
      </c>
      <c r="B1679" s="2" t="s">
        <v>38</v>
      </c>
      <c r="C1679" s="2" t="s">
        <v>19</v>
      </c>
      <c r="D1679" s="2" t="s">
        <v>29</v>
      </c>
      <c r="E1679" s="2" t="s">
        <v>58</v>
      </c>
      <c r="F1679" s="5">
        <v>73083.0</v>
      </c>
      <c r="G1679" s="5">
        <v>3040.0</v>
      </c>
      <c r="H1679" s="5">
        <v>0.0416</v>
      </c>
      <c r="I1679" s="5">
        <v>0.6</v>
      </c>
      <c r="J1679" s="5">
        <v>1824.0</v>
      </c>
      <c r="K1679" s="5">
        <v>203.0</v>
      </c>
      <c r="L1679" s="5">
        <v>8.99</v>
      </c>
      <c r="M1679" s="5">
        <v>29701.35</v>
      </c>
      <c r="N1679" s="5">
        <v>16.28</v>
      </c>
      <c r="O1679" s="6">
        <f t="shared" si="1"/>
        <v>8.985221675</v>
      </c>
      <c r="P1679" s="6" t="str">
        <f t="shared" si="2"/>
        <v>Post-Shift</v>
      </c>
      <c r="Q1679" s="3">
        <f t="shared" si="3"/>
        <v>15</v>
      </c>
    </row>
    <row r="1680">
      <c r="A1680" s="4">
        <v>45327.0</v>
      </c>
      <c r="B1680" s="2" t="s">
        <v>38</v>
      </c>
      <c r="C1680" s="2" t="s">
        <v>41</v>
      </c>
      <c r="D1680" s="2" t="s">
        <v>20</v>
      </c>
      <c r="E1680" s="2" t="s">
        <v>56</v>
      </c>
      <c r="F1680" s="5">
        <v>113889.0</v>
      </c>
      <c r="G1680" s="5">
        <v>4623.0</v>
      </c>
      <c r="H1680" s="5">
        <v>0.0406</v>
      </c>
      <c r="I1680" s="5">
        <v>1.19</v>
      </c>
      <c r="J1680" s="5">
        <v>5501.37</v>
      </c>
      <c r="K1680" s="5">
        <v>362.0</v>
      </c>
      <c r="L1680" s="5">
        <v>15.2</v>
      </c>
      <c r="M1680" s="5">
        <v>19216.96</v>
      </c>
      <c r="N1680" s="5">
        <v>3.49</v>
      </c>
      <c r="O1680" s="6">
        <f t="shared" si="1"/>
        <v>15.1971547</v>
      </c>
      <c r="P1680" s="6" t="str">
        <f t="shared" si="2"/>
        <v>Baseline</v>
      </c>
      <c r="Q1680" s="3">
        <f t="shared" si="3"/>
        <v>18</v>
      </c>
    </row>
    <row r="1681">
      <c r="A1681" s="4" t="s">
        <v>77</v>
      </c>
      <c r="B1681" s="2" t="s">
        <v>38</v>
      </c>
      <c r="C1681" s="2" t="s">
        <v>19</v>
      </c>
      <c r="D1681" s="2" t="s">
        <v>29</v>
      </c>
      <c r="E1681" s="2" t="s">
        <v>58</v>
      </c>
      <c r="F1681" s="5">
        <v>57203.0</v>
      </c>
      <c r="G1681" s="5">
        <v>1029.0</v>
      </c>
      <c r="H1681" s="5">
        <v>0.018</v>
      </c>
      <c r="I1681" s="5">
        <v>0.87</v>
      </c>
      <c r="J1681" s="5">
        <v>895.23</v>
      </c>
      <c r="K1681" s="5">
        <v>11.0</v>
      </c>
      <c r="L1681" s="5">
        <v>81.38</v>
      </c>
      <c r="M1681" s="5">
        <v>1505.4</v>
      </c>
      <c r="N1681" s="5">
        <v>1.68</v>
      </c>
      <c r="O1681" s="6">
        <f t="shared" si="1"/>
        <v>81.38454545</v>
      </c>
      <c r="P1681" s="6" t="str">
        <f t="shared" si="2"/>
        <v>Post-Shift</v>
      </c>
      <c r="Q1681" s="3">
        <f t="shared" si="3"/>
        <v>26</v>
      </c>
    </row>
    <row r="1682">
      <c r="A1682" s="4">
        <v>45633.0</v>
      </c>
      <c r="B1682" s="2" t="s">
        <v>23</v>
      </c>
      <c r="C1682" s="2" t="s">
        <v>41</v>
      </c>
      <c r="D1682" s="2" t="s">
        <v>32</v>
      </c>
      <c r="E1682" s="2" t="s">
        <v>21</v>
      </c>
      <c r="F1682" s="5">
        <v>36562.0</v>
      </c>
      <c r="G1682" s="5">
        <v>1257.0</v>
      </c>
      <c r="H1682" s="5">
        <v>0.0344</v>
      </c>
      <c r="I1682" s="5">
        <v>0.43</v>
      </c>
      <c r="J1682" s="5">
        <v>540.51</v>
      </c>
      <c r="K1682" s="5">
        <v>74.0</v>
      </c>
      <c r="L1682" s="5">
        <v>7.3</v>
      </c>
      <c r="M1682" s="5">
        <v>11838.52</v>
      </c>
      <c r="N1682" s="5">
        <v>21.9</v>
      </c>
      <c r="O1682" s="6">
        <f t="shared" si="1"/>
        <v>7.304189189</v>
      </c>
      <c r="P1682" s="6" t="str">
        <f t="shared" si="2"/>
        <v>Post-Shift</v>
      </c>
      <c r="Q1682" s="3">
        <f t="shared" si="3"/>
        <v>28</v>
      </c>
    </row>
    <row r="1683">
      <c r="A1683" s="4">
        <v>45303.0</v>
      </c>
      <c r="B1683" s="2" t="s">
        <v>18</v>
      </c>
      <c r="C1683" s="2" t="s">
        <v>19</v>
      </c>
      <c r="D1683" s="2" t="s">
        <v>24</v>
      </c>
      <c r="E1683" s="2" t="s">
        <v>30</v>
      </c>
      <c r="F1683" s="5">
        <v>177256.0</v>
      </c>
      <c r="G1683" s="5">
        <v>4059.0</v>
      </c>
      <c r="H1683" s="5">
        <v>0.0229</v>
      </c>
      <c r="I1683" s="5">
        <v>2.19</v>
      </c>
      <c r="J1683" s="5">
        <v>8889.21</v>
      </c>
      <c r="K1683" s="5">
        <v>138.0</v>
      </c>
      <c r="L1683" s="5">
        <v>64.41</v>
      </c>
      <c r="M1683" s="5">
        <v>32140.46</v>
      </c>
      <c r="N1683" s="5">
        <v>3.62</v>
      </c>
      <c r="O1683" s="6">
        <f t="shared" si="1"/>
        <v>64.41456522</v>
      </c>
      <c r="P1683" s="6" t="str">
        <f t="shared" si="2"/>
        <v>Baseline</v>
      </c>
      <c r="Q1683" s="3">
        <f t="shared" si="3"/>
        <v>49</v>
      </c>
    </row>
    <row r="1684">
      <c r="A1684" s="4" t="s">
        <v>220</v>
      </c>
      <c r="B1684" s="2" t="s">
        <v>23</v>
      </c>
      <c r="C1684" s="2" t="s">
        <v>31</v>
      </c>
      <c r="D1684" s="2" t="s">
        <v>32</v>
      </c>
      <c r="E1684" s="2" t="s">
        <v>56</v>
      </c>
      <c r="F1684" s="5">
        <v>179036.0</v>
      </c>
      <c r="G1684" s="5">
        <v>11046.0</v>
      </c>
      <c r="H1684" s="5">
        <v>0.0617</v>
      </c>
      <c r="I1684" s="5">
        <v>0.87</v>
      </c>
      <c r="J1684" s="5">
        <v>9610.02</v>
      </c>
      <c r="K1684" s="5">
        <v>787.0</v>
      </c>
      <c r="L1684" s="5">
        <v>12.21</v>
      </c>
      <c r="M1684" s="5">
        <v>127296.8</v>
      </c>
      <c r="N1684" s="5">
        <v>13.25</v>
      </c>
      <c r="O1684" s="6">
        <f t="shared" si="1"/>
        <v>12.21095299</v>
      </c>
      <c r="P1684" s="6" t="str">
        <f t="shared" si="2"/>
        <v>Post-Shift</v>
      </c>
      <c r="Q1684" s="3">
        <f t="shared" si="3"/>
        <v>8</v>
      </c>
    </row>
    <row r="1685">
      <c r="A1685" s="4">
        <v>45329.0</v>
      </c>
      <c r="B1685" s="2" t="s">
        <v>18</v>
      </c>
      <c r="C1685" s="2" t="s">
        <v>41</v>
      </c>
      <c r="D1685" s="2" t="s">
        <v>24</v>
      </c>
      <c r="E1685" s="2" t="s">
        <v>33</v>
      </c>
      <c r="F1685" s="5">
        <v>87481.0</v>
      </c>
      <c r="G1685" s="5">
        <v>4181.0</v>
      </c>
      <c r="H1685" s="5">
        <v>0.0478</v>
      </c>
      <c r="I1685" s="5">
        <v>2.88</v>
      </c>
      <c r="J1685" s="5">
        <v>12041.28</v>
      </c>
      <c r="K1685" s="5">
        <v>104.0</v>
      </c>
      <c r="L1685" s="5">
        <v>115.78</v>
      </c>
      <c r="M1685" s="5">
        <v>28643.42</v>
      </c>
      <c r="N1685" s="5">
        <v>2.38</v>
      </c>
      <c r="O1685" s="6">
        <f t="shared" si="1"/>
        <v>115.7815385</v>
      </c>
      <c r="P1685" s="6" t="str">
        <f t="shared" si="2"/>
        <v>Baseline</v>
      </c>
      <c r="Q1685" s="3">
        <f t="shared" si="3"/>
        <v>27</v>
      </c>
    </row>
    <row r="1686">
      <c r="A1686" s="4" t="s">
        <v>259</v>
      </c>
      <c r="B1686" s="2" t="s">
        <v>23</v>
      </c>
      <c r="C1686" s="2" t="s">
        <v>31</v>
      </c>
      <c r="D1686" s="2" t="s">
        <v>45</v>
      </c>
      <c r="E1686" s="2" t="s">
        <v>56</v>
      </c>
      <c r="F1686" s="5">
        <v>130645.0</v>
      </c>
      <c r="G1686" s="5">
        <v>8243.0</v>
      </c>
      <c r="H1686" s="5">
        <v>0.0631</v>
      </c>
      <c r="I1686" s="5">
        <v>0.95</v>
      </c>
      <c r="J1686" s="5">
        <v>7830.85</v>
      </c>
      <c r="K1686" s="5">
        <v>356.0</v>
      </c>
      <c r="L1686" s="5">
        <v>22.0</v>
      </c>
      <c r="M1686" s="5">
        <v>16420.6</v>
      </c>
      <c r="N1686" s="5">
        <v>2.1</v>
      </c>
      <c r="O1686" s="6">
        <f t="shared" si="1"/>
        <v>21.99676966</v>
      </c>
      <c r="P1686" s="6" t="str">
        <f t="shared" si="2"/>
        <v>Post-Shift</v>
      </c>
      <c r="Q1686" s="3">
        <f t="shared" si="3"/>
        <v>25</v>
      </c>
    </row>
    <row r="1687">
      <c r="A1687" s="4" t="s">
        <v>228</v>
      </c>
      <c r="B1687" s="2" t="s">
        <v>18</v>
      </c>
      <c r="C1687" s="2" t="s">
        <v>19</v>
      </c>
      <c r="D1687" s="2" t="s">
        <v>32</v>
      </c>
      <c r="E1687" s="2" t="s">
        <v>56</v>
      </c>
      <c r="F1687" s="5">
        <v>121089.0</v>
      </c>
      <c r="G1687" s="5">
        <v>3499.0</v>
      </c>
      <c r="H1687" s="5">
        <v>0.0289</v>
      </c>
      <c r="I1687" s="5">
        <v>0.93</v>
      </c>
      <c r="J1687" s="5">
        <v>3254.07</v>
      </c>
      <c r="K1687" s="5">
        <v>185.0</v>
      </c>
      <c r="L1687" s="5">
        <v>17.59</v>
      </c>
      <c r="M1687" s="5">
        <v>28042.42</v>
      </c>
      <c r="N1687" s="5">
        <v>8.62</v>
      </c>
      <c r="O1687" s="6">
        <f t="shared" si="1"/>
        <v>17.58956757</v>
      </c>
      <c r="P1687" s="6" t="str">
        <f t="shared" si="2"/>
        <v>Post-Shift</v>
      </c>
      <c r="Q1687" s="3">
        <f t="shared" si="3"/>
        <v>48</v>
      </c>
    </row>
    <row r="1688">
      <c r="A1688" s="4">
        <v>45478.0</v>
      </c>
      <c r="B1688" s="2" t="s">
        <v>18</v>
      </c>
      <c r="C1688" s="2" t="s">
        <v>19</v>
      </c>
      <c r="D1688" s="2" t="s">
        <v>24</v>
      </c>
      <c r="E1688" s="2" t="s">
        <v>36</v>
      </c>
      <c r="F1688" s="5">
        <v>15589.0</v>
      </c>
      <c r="G1688" s="5">
        <v>285.0</v>
      </c>
      <c r="H1688" s="5">
        <v>0.0183</v>
      </c>
      <c r="I1688" s="5">
        <v>1.18</v>
      </c>
      <c r="J1688" s="5">
        <v>336.3</v>
      </c>
      <c r="K1688" s="5">
        <v>10.0</v>
      </c>
      <c r="L1688" s="5">
        <v>33.63</v>
      </c>
      <c r="M1688" s="5">
        <v>1359.76</v>
      </c>
      <c r="N1688" s="5">
        <v>4.04</v>
      </c>
      <c r="O1688" s="6">
        <f t="shared" si="1"/>
        <v>33.63</v>
      </c>
      <c r="P1688" s="6" t="str">
        <f t="shared" si="2"/>
        <v>Post-Shift</v>
      </c>
      <c r="Q1688" s="3">
        <f t="shared" si="3"/>
        <v>19</v>
      </c>
    </row>
    <row r="1689">
      <c r="A1689" s="4">
        <v>45604.0</v>
      </c>
      <c r="B1689" s="2" t="s">
        <v>23</v>
      </c>
      <c r="C1689" s="2" t="s">
        <v>19</v>
      </c>
      <c r="D1689" s="2" t="s">
        <v>20</v>
      </c>
      <c r="E1689" s="2" t="s">
        <v>33</v>
      </c>
      <c r="F1689" s="5">
        <v>101411.0</v>
      </c>
      <c r="G1689" s="5">
        <v>9370.0</v>
      </c>
      <c r="H1689" s="5">
        <v>0.0924</v>
      </c>
      <c r="I1689" s="5">
        <v>0.81</v>
      </c>
      <c r="J1689" s="5">
        <v>7589.7</v>
      </c>
      <c r="K1689" s="5">
        <v>523.0</v>
      </c>
      <c r="L1689" s="5">
        <v>14.51</v>
      </c>
      <c r="M1689" s="5">
        <v>26633.21</v>
      </c>
      <c r="N1689" s="5">
        <v>3.51</v>
      </c>
      <c r="O1689" s="6">
        <f t="shared" si="1"/>
        <v>14.51185468</v>
      </c>
      <c r="P1689" s="6" t="str">
        <f t="shared" si="2"/>
        <v>Post-Shift</v>
      </c>
      <c r="Q1689" s="3">
        <f t="shared" si="3"/>
        <v>33</v>
      </c>
    </row>
    <row r="1690">
      <c r="A1690" s="4" t="s">
        <v>224</v>
      </c>
      <c r="B1690" s="2" t="s">
        <v>18</v>
      </c>
      <c r="C1690" s="2" t="s">
        <v>31</v>
      </c>
      <c r="D1690" s="2" t="s">
        <v>45</v>
      </c>
      <c r="E1690" s="2" t="s">
        <v>25</v>
      </c>
      <c r="F1690" s="5">
        <v>142045.0</v>
      </c>
      <c r="G1690" s="5">
        <v>9161.0</v>
      </c>
      <c r="H1690" s="5">
        <v>0.0645</v>
      </c>
      <c r="I1690" s="5">
        <v>2.39</v>
      </c>
      <c r="J1690" s="5">
        <v>21894.79</v>
      </c>
      <c r="K1690" s="5">
        <v>525.0</v>
      </c>
      <c r="L1690" s="5">
        <v>41.7</v>
      </c>
      <c r="M1690" s="5">
        <v>131680.2</v>
      </c>
      <c r="N1690" s="5">
        <v>6.01</v>
      </c>
      <c r="O1690" s="6">
        <f t="shared" si="1"/>
        <v>41.7043619</v>
      </c>
      <c r="P1690" s="6" t="str">
        <f t="shared" si="2"/>
        <v>Post-Shift</v>
      </c>
      <c r="Q1690" s="3">
        <f t="shared" si="3"/>
        <v>13</v>
      </c>
    </row>
    <row r="1691">
      <c r="A1691" s="4">
        <v>45419.0</v>
      </c>
      <c r="B1691" s="2" t="s">
        <v>38</v>
      </c>
      <c r="C1691" s="2" t="s">
        <v>31</v>
      </c>
      <c r="D1691" s="2" t="s">
        <v>29</v>
      </c>
      <c r="E1691" s="2" t="s">
        <v>25</v>
      </c>
      <c r="F1691" s="5">
        <v>42236.0</v>
      </c>
      <c r="G1691" s="5">
        <v>1013.0</v>
      </c>
      <c r="H1691" s="5">
        <v>0.024</v>
      </c>
      <c r="I1691" s="5">
        <v>1.43</v>
      </c>
      <c r="J1691" s="5">
        <v>1448.59</v>
      </c>
      <c r="K1691" s="5">
        <v>29.0</v>
      </c>
      <c r="L1691" s="5">
        <v>49.95</v>
      </c>
      <c r="M1691" s="5">
        <v>4720.08</v>
      </c>
      <c r="N1691" s="5">
        <v>3.26</v>
      </c>
      <c r="O1691" s="6">
        <f t="shared" si="1"/>
        <v>49.95137931</v>
      </c>
      <c r="P1691" s="6" t="str">
        <f t="shared" si="2"/>
        <v>Baseline</v>
      </c>
      <c r="Q1691" s="3">
        <f t="shared" si="3"/>
        <v>27</v>
      </c>
    </row>
    <row r="1692">
      <c r="A1692" s="4" t="s">
        <v>61</v>
      </c>
      <c r="B1692" s="2" t="s">
        <v>38</v>
      </c>
      <c r="C1692" s="2" t="s">
        <v>31</v>
      </c>
      <c r="D1692" s="2" t="s">
        <v>45</v>
      </c>
      <c r="E1692" s="2" t="s">
        <v>36</v>
      </c>
      <c r="F1692" s="5">
        <v>75628.0</v>
      </c>
      <c r="G1692" s="5">
        <v>794.0</v>
      </c>
      <c r="H1692" s="5">
        <v>0.0105</v>
      </c>
      <c r="I1692" s="5">
        <v>0.5</v>
      </c>
      <c r="J1692" s="5">
        <v>397.0</v>
      </c>
      <c r="K1692" s="5">
        <v>49.0</v>
      </c>
      <c r="L1692" s="5">
        <v>8.1</v>
      </c>
      <c r="M1692" s="5">
        <v>3639.22</v>
      </c>
      <c r="N1692" s="5">
        <v>9.17</v>
      </c>
      <c r="O1692" s="6">
        <f t="shared" si="1"/>
        <v>8.102040816</v>
      </c>
      <c r="P1692" s="6" t="str">
        <f t="shared" si="2"/>
        <v>Post-Shift</v>
      </c>
      <c r="Q1692" s="3">
        <f t="shared" si="3"/>
        <v>21</v>
      </c>
    </row>
    <row r="1693">
      <c r="A1693" s="4">
        <v>45516.0</v>
      </c>
      <c r="B1693" s="2" t="s">
        <v>23</v>
      </c>
      <c r="C1693" s="2" t="s">
        <v>27</v>
      </c>
      <c r="D1693" s="2" t="s">
        <v>20</v>
      </c>
      <c r="E1693" s="2" t="s">
        <v>33</v>
      </c>
      <c r="F1693" s="5">
        <v>116184.0</v>
      </c>
      <c r="G1693" s="5">
        <v>4089.0</v>
      </c>
      <c r="H1693" s="5">
        <v>0.0352</v>
      </c>
      <c r="I1693" s="5">
        <v>0.34</v>
      </c>
      <c r="J1693" s="5">
        <v>1390.26</v>
      </c>
      <c r="K1693" s="5">
        <v>263.0</v>
      </c>
      <c r="L1693" s="5">
        <v>5.29</v>
      </c>
      <c r="M1693" s="5">
        <v>54249.41</v>
      </c>
      <c r="N1693" s="5">
        <v>39.02</v>
      </c>
      <c r="O1693" s="6">
        <f t="shared" si="1"/>
        <v>5.286159696</v>
      </c>
      <c r="P1693" s="6" t="str">
        <f t="shared" si="2"/>
        <v>Post-Shift</v>
      </c>
      <c r="Q1693" s="3">
        <f t="shared" si="3"/>
        <v>50</v>
      </c>
    </row>
    <row r="1694">
      <c r="A1694" s="4" t="s">
        <v>229</v>
      </c>
      <c r="B1694" s="2" t="s">
        <v>18</v>
      </c>
      <c r="C1694" s="2" t="s">
        <v>27</v>
      </c>
      <c r="D1694" s="2" t="s">
        <v>45</v>
      </c>
      <c r="E1694" s="2" t="s">
        <v>30</v>
      </c>
      <c r="F1694" s="5">
        <v>121465.0</v>
      </c>
      <c r="G1694" s="5">
        <v>5575.0</v>
      </c>
      <c r="H1694" s="5">
        <v>0.0459</v>
      </c>
      <c r="I1694" s="5">
        <v>1.64</v>
      </c>
      <c r="J1694" s="5">
        <v>9143.0</v>
      </c>
      <c r="K1694" s="5">
        <v>273.0</v>
      </c>
      <c r="L1694" s="5">
        <v>33.49</v>
      </c>
      <c r="M1694" s="5">
        <v>28769.59</v>
      </c>
      <c r="N1694" s="5">
        <v>3.15</v>
      </c>
      <c r="O1694" s="6">
        <f t="shared" si="1"/>
        <v>33.49084249</v>
      </c>
      <c r="P1694" s="6" t="str">
        <f t="shared" si="2"/>
        <v>Post-Shift</v>
      </c>
      <c r="Q1694" s="3">
        <f t="shared" si="3"/>
        <v>42</v>
      </c>
    </row>
    <row r="1695">
      <c r="A1695" s="4">
        <v>45536.0</v>
      </c>
      <c r="B1695" s="2" t="s">
        <v>18</v>
      </c>
      <c r="C1695" s="2" t="s">
        <v>27</v>
      </c>
      <c r="D1695" s="2" t="s">
        <v>20</v>
      </c>
      <c r="E1695" s="2" t="s">
        <v>25</v>
      </c>
      <c r="F1695" s="5">
        <v>108510.0</v>
      </c>
      <c r="G1695" s="5">
        <v>3721.0</v>
      </c>
      <c r="H1695" s="5">
        <v>0.0343</v>
      </c>
      <c r="I1695" s="5">
        <v>1.41</v>
      </c>
      <c r="J1695" s="5">
        <v>5246.61</v>
      </c>
      <c r="K1695" s="5">
        <v>116.0</v>
      </c>
      <c r="L1695" s="5">
        <v>45.23</v>
      </c>
      <c r="M1695" s="5">
        <v>23480.01</v>
      </c>
      <c r="N1695" s="5">
        <v>4.48</v>
      </c>
      <c r="O1695" s="6">
        <f t="shared" si="1"/>
        <v>45.22939655</v>
      </c>
      <c r="P1695" s="6" t="str">
        <f t="shared" si="2"/>
        <v>Post-Shift</v>
      </c>
      <c r="Q1695" s="3">
        <f t="shared" si="3"/>
        <v>2</v>
      </c>
    </row>
    <row r="1696">
      <c r="A1696" s="4">
        <v>45629.0</v>
      </c>
      <c r="B1696" s="2" t="s">
        <v>38</v>
      </c>
      <c r="C1696" s="2" t="s">
        <v>31</v>
      </c>
      <c r="D1696" s="2" t="s">
        <v>29</v>
      </c>
      <c r="E1696" s="2" t="s">
        <v>36</v>
      </c>
      <c r="F1696" s="5">
        <v>199650.0</v>
      </c>
      <c r="G1696" s="5">
        <v>4152.0</v>
      </c>
      <c r="H1696" s="5">
        <v>0.0208</v>
      </c>
      <c r="I1696" s="5">
        <v>0.78</v>
      </c>
      <c r="J1696" s="5">
        <v>3238.56</v>
      </c>
      <c r="K1696" s="5">
        <v>165.0</v>
      </c>
      <c r="L1696" s="5">
        <v>19.63</v>
      </c>
      <c r="M1696" s="5">
        <v>10558.75</v>
      </c>
      <c r="N1696" s="5">
        <v>3.26</v>
      </c>
      <c r="O1696" s="6">
        <f t="shared" si="1"/>
        <v>19.62763636</v>
      </c>
      <c r="P1696" s="6" t="str">
        <f t="shared" si="2"/>
        <v>Post-Shift</v>
      </c>
      <c r="Q1696" s="3">
        <f t="shared" si="3"/>
        <v>11</v>
      </c>
    </row>
    <row r="1697">
      <c r="A1697" s="4">
        <v>45572.0</v>
      </c>
      <c r="B1697" s="2" t="s">
        <v>18</v>
      </c>
      <c r="C1697" s="2" t="s">
        <v>31</v>
      </c>
      <c r="D1697" s="2" t="s">
        <v>32</v>
      </c>
      <c r="E1697" s="2" t="s">
        <v>30</v>
      </c>
      <c r="F1697" s="5">
        <v>73734.0</v>
      </c>
      <c r="G1697" s="5">
        <v>1990.0</v>
      </c>
      <c r="H1697" s="5">
        <v>0.027</v>
      </c>
      <c r="I1697" s="5">
        <v>0.82</v>
      </c>
      <c r="J1697" s="5">
        <v>1631.8</v>
      </c>
      <c r="K1697" s="5">
        <v>143.0</v>
      </c>
      <c r="L1697" s="5">
        <v>11.41</v>
      </c>
      <c r="M1697" s="5">
        <v>16954.02</v>
      </c>
      <c r="N1697" s="5">
        <v>10.39</v>
      </c>
      <c r="O1697" s="6">
        <f t="shared" si="1"/>
        <v>11.41118881</v>
      </c>
      <c r="P1697" s="6" t="str">
        <f t="shared" si="2"/>
        <v>Post-Shift</v>
      </c>
      <c r="Q1697" s="3">
        <f t="shared" si="3"/>
        <v>28</v>
      </c>
    </row>
    <row r="1698">
      <c r="A1698" s="4">
        <v>45568.0</v>
      </c>
      <c r="B1698" s="2" t="s">
        <v>38</v>
      </c>
      <c r="C1698" s="2" t="s">
        <v>31</v>
      </c>
      <c r="D1698" s="2" t="s">
        <v>45</v>
      </c>
      <c r="E1698" s="2" t="s">
        <v>36</v>
      </c>
      <c r="F1698" s="5">
        <v>149532.0</v>
      </c>
      <c r="G1698" s="5">
        <v>5069.0</v>
      </c>
      <c r="H1698" s="5">
        <v>0.0339</v>
      </c>
      <c r="I1698" s="5">
        <v>2.39</v>
      </c>
      <c r="J1698" s="5">
        <v>12114.91</v>
      </c>
      <c r="K1698" s="5">
        <v>397.0</v>
      </c>
      <c r="L1698" s="5">
        <v>30.52</v>
      </c>
      <c r="M1698" s="5">
        <v>95392.09</v>
      </c>
      <c r="N1698" s="5">
        <v>7.87</v>
      </c>
      <c r="O1698" s="6">
        <f t="shared" si="1"/>
        <v>30.5161461</v>
      </c>
      <c r="P1698" s="6" t="str">
        <f t="shared" si="2"/>
        <v>Post-Shift</v>
      </c>
      <c r="Q1698" s="3">
        <f t="shared" si="3"/>
        <v>11</v>
      </c>
    </row>
    <row r="1699">
      <c r="A1699" s="4" t="s">
        <v>192</v>
      </c>
      <c r="B1699" s="2" t="s">
        <v>18</v>
      </c>
      <c r="C1699" s="2" t="s">
        <v>19</v>
      </c>
      <c r="D1699" s="2" t="s">
        <v>20</v>
      </c>
      <c r="E1699" s="2" t="s">
        <v>56</v>
      </c>
      <c r="F1699" s="5">
        <v>79432.0</v>
      </c>
      <c r="G1699" s="5">
        <v>4130.0</v>
      </c>
      <c r="H1699" s="5">
        <v>0.052</v>
      </c>
      <c r="I1699" s="5">
        <v>2.29</v>
      </c>
      <c r="J1699" s="5">
        <v>9457.7</v>
      </c>
      <c r="K1699" s="5">
        <v>311.0</v>
      </c>
      <c r="L1699" s="5">
        <v>30.41</v>
      </c>
      <c r="M1699" s="5">
        <v>59366.41</v>
      </c>
      <c r="N1699" s="5">
        <v>6.28</v>
      </c>
      <c r="O1699" s="6">
        <f t="shared" si="1"/>
        <v>30.41061093</v>
      </c>
      <c r="P1699" s="6" t="str">
        <f t="shared" si="2"/>
        <v>Post-Shift</v>
      </c>
      <c r="Q1699" s="3">
        <f t="shared" si="3"/>
        <v>4</v>
      </c>
    </row>
    <row r="1700">
      <c r="A1700" s="4">
        <v>45483.0</v>
      </c>
      <c r="B1700" s="2" t="s">
        <v>23</v>
      </c>
      <c r="C1700" s="2" t="s">
        <v>41</v>
      </c>
      <c r="D1700" s="2" t="s">
        <v>20</v>
      </c>
      <c r="E1700" s="2" t="s">
        <v>36</v>
      </c>
      <c r="F1700" s="5">
        <v>192583.0</v>
      </c>
      <c r="G1700" s="5">
        <v>11285.0</v>
      </c>
      <c r="H1700" s="5">
        <v>0.0586</v>
      </c>
      <c r="I1700" s="5">
        <v>1.63</v>
      </c>
      <c r="J1700" s="5">
        <v>18394.55</v>
      </c>
      <c r="K1700" s="5">
        <v>562.0</v>
      </c>
      <c r="L1700" s="5">
        <v>32.73</v>
      </c>
      <c r="M1700" s="5">
        <v>124224.3</v>
      </c>
      <c r="N1700" s="5">
        <v>6.75</v>
      </c>
      <c r="O1700" s="6">
        <f t="shared" si="1"/>
        <v>32.73051601</v>
      </c>
      <c r="P1700" s="6" t="str">
        <f t="shared" si="2"/>
        <v>Post-Shift</v>
      </c>
      <c r="Q1700" s="3">
        <f t="shared" si="3"/>
        <v>41</v>
      </c>
    </row>
    <row r="1701">
      <c r="A1701" s="4">
        <v>45538.0</v>
      </c>
      <c r="B1701" s="2" t="s">
        <v>38</v>
      </c>
      <c r="C1701" s="2" t="s">
        <v>27</v>
      </c>
      <c r="D1701" s="2" t="s">
        <v>32</v>
      </c>
      <c r="E1701" s="2" t="s">
        <v>58</v>
      </c>
      <c r="F1701" s="5">
        <v>79266.0</v>
      </c>
      <c r="G1701" s="5">
        <v>2425.0</v>
      </c>
      <c r="H1701" s="5">
        <v>0.0306</v>
      </c>
      <c r="I1701" s="5">
        <v>0.72</v>
      </c>
      <c r="J1701" s="5">
        <v>1746.0</v>
      </c>
      <c r="K1701" s="5">
        <v>104.0</v>
      </c>
      <c r="L1701" s="5">
        <v>16.79</v>
      </c>
      <c r="M1701" s="5">
        <v>20287.27</v>
      </c>
      <c r="N1701" s="5">
        <v>11.62</v>
      </c>
      <c r="O1701" s="6">
        <f t="shared" si="1"/>
        <v>16.78846154</v>
      </c>
      <c r="P1701" s="6" t="str">
        <f t="shared" si="2"/>
        <v>Post-Shift</v>
      </c>
      <c r="Q1701" s="3">
        <f t="shared" si="3"/>
        <v>10</v>
      </c>
    </row>
    <row r="1702">
      <c r="A1702" s="4" t="s">
        <v>178</v>
      </c>
      <c r="B1702" s="2" t="s">
        <v>18</v>
      </c>
      <c r="C1702" s="2" t="s">
        <v>27</v>
      </c>
      <c r="D1702" s="2" t="s">
        <v>20</v>
      </c>
      <c r="E1702" s="2" t="s">
        <v>58</v>
      </c>
      <c r="F1702" s="5">
        <v>33695.0</v>
      </c>
      <c r="G1702" s="5">
        <v>1277.0</v>
      </c>
      <c r="H1702" s="5">
        <v>0.0379</v>
      </c>
      <c r="I1702" s="5">
        <v>2.88</v>
      </c>
      <c r="J1702" s="5">
        <v>3677.76</v>
      </c>
      <c r="K1702" s="5">
        <v>89.0</v>
      </c>
      <c r="L1702" s="5">
        <v>41.32</v>
      </c>
      <c r="M1702" s="5">
        <v>25041.09</v>
      </c>
      <c r="N1702" s="5">
        <v>6.81</v>
      </c>
      <c r="O1702" s="6">
        <f t="shared" si="1"/>
        <v>41.32314607</v>
      </c>
      <c r="P1702" s="6" t="str">
        <f t="shared" si="2"/>
        <v>Post-Shift</v>
      </c>
      <c r="Q1702" s="3">
        <f t="shared" si="3"/>
        <v>9</v>
      </c>
    </row>
    <row r="1703">
      <c r="A1703" s="4" t="s">
        <v>227</v>
      </c>
      <c r="B1703" s="2" t="s">
        <v>23</v>
      </c>
      <c r="C1703" s="2" t="s">
        <v>19</v>
      </c>
      <c r="D1703" s="2" t="s">
        <v>20</v>
      </c>
      <c r="E1703" s="2" t="s">
        <v>56</v>
      </c>
      <c r="F1703" s="5">
        <v>92030.0</v>
      </c>
      <c r="G1703" s="5">
        <v>6267.0</v>
      </c>
      <c r="H1703" s="5">
        <v>0.0681</v>
      </c>
      <c r="I1703" s="5">
        <v>0.58</v>
      </c>
      <c r="J1703" s="5">
        <v>3634.86</v>
      </c>
      <c r="K1703" s="5">
        <v>136.0</v>
      </c>
      <c r="L1703" s="5">
        <v>26.73</v>
      </c>
      <c r="M1703" s="5">
        <v>11204.78</v>
      </c>
      <c r="N1703" s="5">
        <v>3.08</v>
      </c>
      <c r="O1703" s="6">
        <f t="shared" si="1"/>
        <v>26.72691176</v>
      </c>
      <c r="P1703" s="6" t="str">
        <f t="shared" si="2"/>
        <v>Post-Shift</v>
      </c>
      <c r="Q1703" s="3">
        <f t="shared" si="3"/>
        <v>12</v>
      </c>
    </row>
    <row r="1704">
      <c r="A1704" s="4">
        <v>45333.0</v>
      </c>
      <c r="B1704" s="2" t="s">
        <v>18</v>
      </c>
      <c r="C1704" s="2" t="s">
        <v>19</v>
      </c>
      <c r="D1704" s="2" t="s">
        <v>29</v>
      </c>
      <c r="E1704" s="2" t="s">
        <v>56</v>
      </c>
      <c r="F1704" s="5">
        <v>26259.0</v>
      </c>
      <c r="G1704" s="5">
        <v>669.0</v>
      </c>
      <c r="H1704" s="5">
        <v>0.0255</v>
      </c>
      <c r="I1704" s="5">
        <v>1.41</v>
      </c>
      <c r="J1704" s="5">
        <v>943.29</v>
      </c>
      <c r="K1704" s="5">
        <v>22.0</v>
      </c>
      <c r="L1704" s="5">
        <v>42.88</v>
      </c>
      <c r="M1704" s="5">
        <v>2731.41</v>
      </c>
      <c r="N1704" s="5">
        <v>2.9</v>
      </c>
      <c r="O1704" s="6">
        <f t="shared" si="1"/>
        <v>42.87681818</v>
      </c>
      <c r="P1704" s="6" t="str">
        <f t="shared" si="2"/>
        <v>Baseline</v>
      </c>
      <c r="Q1704" s="3">
        <f t="shared" si="3"/>
        <v>44</v>
      </c>
    </row>
    <row r="1705">
      <c r="A1705" s="4" t="s">
        <v>98</v>
      </c>
      <c r="B1705" s="2" t="s">
        <v>18</v>
      </c>
      <c r="C1705" s="2" t="s">
        <v>27</v>
      </c>
      <c r="D1705" s="2" t="s">
        <v>20</v>
      </c>
      <c r="E1705" s="2" t="s">
        <v>25</v>
      </c>
      <c r="F1705" s="5">
        <v>99447.0</v>
      </c>
      <c r="G1705" s="5">
        <v>5917.0</v>
      </c>
      <c r="H1705" s="5">
        <v>0.0595</v>
      </c>
      <c r="I1705" s="5">
        <v>1.05</v>
      </c>
      <c r="J1705" s="5">
        <v>6212.85</v>
      </c>
      <c r="K1705" s="5">
        <v>195.0</v>
      </c>
      <c r="L1705" s="5">
        <v>31.86</v>
      </c>
      <c r="M1705" s="5">
        <v>28481.71</v>
      </c>
      <c r="N1705" s="5">
        <v>4.58</v>
      </c>
      <c r="O1705" s="6">
        <f t="shared" si="1"/>
        <v>31.86076923</v>
      </c>
      <c r="P1705" s="6" t="str">
        <f t="shared" si="2"/>
        <v>Post-Shift</v>
      </c>
      <c r="Q1705" s="3">
        <f t="shared" si="3"/>
        <v>16</v>
      </c>
    </row>
    <row r="1706">
      <c r="A1706" s="4" t="s">
        <v>252</v>
      </c>
      <c r="B1706" s="2" t="s">
        <v>38</v>
      </c>
      <c r="C1706" s="2" t="s">
        <v>31</v>
      </c>
      <c r="D1706" s="2" t="s">
        <v>29</v>
      </c>
      <c r="E1706" s="2" t="s">
        <v>21</v>
      </c>
      <c r="F1706" s="5">
        <v>170910.0</v>
      </c>
      <c r="G1706" s="5">
        <v>3315.0</v>
      </c>
      <c r="H1706" s="5">
        <v>0.0194</v>
      </c>
      <c r="I1706" s="5">
        <v>0.5</v>
      </c>
      <c r="J1706" s="5">
        <v>1657.5</v>
      </c>
      <c r="K1706" s="5">
        <v>167.0</v>
      </c>
      <c r="L1706" s="5">
        <v>9.93</v>
      </c>
      <c r="M1706" s="5">
        <v>41334.16</v>
      </c>
      <c r="N1706" s="5">
        <v>24.94</v>
      </c>
      <c r="O1706" s="6">
        <f t="shared" si="1"/>
        <v>9.925149701</v>
      </c>
      <c r="P1706" s="6" t="str">
        <f t="shared" si="2"/>
        <v>Post-Shift</v>
      </c>
      <c r="Q1706" s="3">
        <f t="shared" si="3"/>
        <v>47</v>
      </c>
    </row>
    <row r="1707">
      <c r="A1707" s="4">
        <v>45385.0</v>
      </c>
      <c r="B1707" s="2" t="s">
        <v>38</v>
      </c>
      <c r="C1707" s="2" t="s">
        <v>27</v>
      </c>
      <c r="D1707" s="2" t="s">
        <v>29</v>
      </c>
      <c r="E1707" s="2" t="s">
        <v>30</v>
      </c>
      <c r="F1707" s="5">
        <v>180259.0</v>
      </c>
      <c r="G1707" s="5">
        <v>2072.0</v>
      </c>
      <c r="H1707" s="5">
        <v>0.0115</v>
      </c>
      <c r="I1707" s="5">
        <v>1.37</v>
      </c>
      <c r="J1707" s="5">
        <v>2838.64</v>
      </c>
      <c r="K1707" s="5">
        <v>136.0</v>
      </c>
      <c r="L1707" s="5">
        <v>20.87</v>
      </c>
      <c r="M1707" s="5">
        <v>10032.66</v>
      </c>
      <c r="N1707" s="5">
        <v>3.53</v>
      </c>
      <c r="O1707" s="6">
        <f t="shared" si="1"/>
        <v>20.87235294</v>
      </c>
      <c r="P1707" s="6" t="str">
        <f t="shared" si="2"/>
        <v>Baseline</v>
      </c>
      <c r="Q1707" s="3">
        <f t="shared" si="3"/>
        <v>10</v>
      </c>
    </row>
    <row r="1708">
      <c r="A1708" s="4" t="s">
        <v>220</v>
      </c>
      <c r="B1708" s="2" t="s">
        <v>38</v>
      </c>
      <c r="C1708" s="2" t="s">
        <v>27</v>
      </c>
      <c r="D1708" s="2" t="s">
        <v>29</v>
      </c>
      <c r="E1708" s="2" t="s">
        <v>21</v>
      </c>
      <c r="F1708" s="5">
        <v>146964.0</v>
      </c>
      <c r="G1708" s="5">
        <v>5246.0</v>
      </c>
      <c r="H1708" s="5">
        <v>0.0357</v>
      </c>
      <c r="I1708" s="5">
        <v>1.99</v>
      </c>
      <c r="J1708" s="5">
        <v>10439.54</v>
      </c>
      <c r="K1708" s="5">
        <v>131.0</v>
      </c>
      <c r="L1708" s="5">
        <v>79.69</v>
      </c>
      <c r="M1708" s="5">
        <v>7261.59</v>
      </c>
      <c r="N1708" s="5">
        <v>0.7</v>
      </c>
      <c r="O1708" s="6">
        <f t="shared" si="1"/>
        <v>79.69114504</v>
      </c>
      <c r="P1708" s="6" t="str">
        <f t="shared" si="2"/>
        <v>Post-Shift</v>
      </c>
      <c r="Q1708" s="3">
        <f t="shared" si="3"/>
        <v>8</v>
      </c>
    </row>
    <row r="1709">
      <c r="A1709" s="4">
        <v>45574.0</v>
      </c>
      <c r="B1709" s="2" t="s">
        <v>38</v>
      </c>
      <c r="C1709" s="2" t="s">
        <v>41</v>
      </c>
      <c r="D1709" s="2" t="s">
        <v>24</v>
      </c>
      <c r="E1709" s="2" t="s">
        <v>33</v>
      </c>
      <c r="F1709" s="5">
        <v>153057.0</v>
      </c>
      <c r="G1709" s="5">
        <v>2969.0</v>
      </c>
      <c r="H1709" s="5">
        <v>0.0194</v>
      </c>
      <c r="I1709" s="5">
        <v>2.24</v>
      </c>
      <c r="J1709" s="5">
        <v>6650.56</v>
      </c>
      <c r="K1709" s="5">
        <v>148.0</v>
      </c>
      <c r="L1709" s="5">
        <v>44.94</v>
      </c>
      <c r="M1709" s="5">
        <v>28216.02</v>
      </c>
      <c r="N1709" s="5">
        <v>4.24</v>
      </c>
      <c r="O1709" s="6">
        <f t="shared" si="1"/>
        <v>44.93621622</v>
      </c>
      <c r="P1709" s="6" t="str">
        <f t="shared" si="2"/>
        <v>Post-Shift</v>
      </c>
      <c r="Q1709" s="3">
        <f t="shared" si="3"/>
        <v>37</v>
      </c>
    </row>
    <row r="1710">
      <c r="A1710" s="4">
        <v>45516.0</v>
      </c>
      <c r="B1710" s="2" t="s">
        <v>18</v>
      </c>
      <c r="C1710" s="2" t="s">
        <v>19</v>
      </c>
      <c r="D1710" s="2" t="s">
        <v>32</v>
      </c>
      <c r="E1710" s="2" t="s">
        <v>25</v>
      </c>
      <c r="F1710" s="5">
        <v>78635.0</v>
      </c>
      <c r="G1710" s="5">
        <v>2587.0</v>
      </c>
      <c r="H1710" s="5">
        <v>0.0329</v>
      </c>
      <c r="I1710" s="5">
        <v>2.35</v>
      </c>
      <c r="J1710" s="5">
        <v>6079.45</v>
      </c>
      <c r="K1710" s="5">
        <v>106.0</v>
      </c>
      <c r="L1710" s="5">
        <v>57.35</v>
      </c>
      <c r="M1710" s="5">
        <v>21303.72</v>
      </c>
      <c r="N1710" s="5">
        <v>3.5</v>
      </c>
      <c r="O1710" s="6">
        <f t="shared" si="1"/>
        <v>57.35330189</v>
      </c>
      <c r="P1710" s="6" t="str">
        <f t="shared" si="2"/>
        <v>Post-Shift</v>
      </c>
      <c r="Q1710" s="3">
        <f t="shared" si="3"/>
        <v>50</v>
      </c>
    </row>
    <row r="1711">
      <c r="A1711" s="4">
        <v>45637.0</v>
      </c>
      <c r="B1711" s="2" t="s">
        <v>38</v>
      </c>
      <c r="C1711" s="2" t="s">
        <v>41</v>
      </c>
      <c r="D1711" s="2" t="s">
        <v>29</v>
      </c>
      <c r="E1711" s="2" t="s">
        <v>21</v>
      </c>
      <c r="F1711" s="5">
        <v>54031.0</v>
      </c>
      <c r="G1711" s="5">
        <v>2215.0</v>
      </c>
      <c r="H1711" s="5">
        <v>0.041</v>
      </c>
      <c r="I1711" s="5">
        <v>1.66</v>
      </c>
      <c r="J1711" s="5">
        <v>3676.9</v>
      </c>
      <c r="K1711" s="5">
        <v>157.0</v>
      </c>
      <c r="L1711" s="5">
        <v>23.42</v>
      </c>
      <c r="M1711" s="5">
        <v>22778.62</v>
      </c>
      <c r="N1711" s="5">
        <v>6.2</v>
      </c>
      <c r="O1711" s="6">
        <f t="shared" si="1"/>
        <v>23.41974522</v>
      </c>
      <c r="P1711" s="6" t="str">
        <f t="shared" si="2"/>
        <v>Post-Shift</v>
      </c>
      <c r="Q1711" s="3">
        <f t="shared" si="3"/>
        <v>46</v>
      </c>
    </row>
    <row r="1712">
      <c r="A1712" s="4" t="s">
        <v>233</v>
      </c>
      <c r="B1712" s="2" t="s">
        <v>18</v>
      </c>
      <c r="C1712" s="2" t="s">
        <v>27</v>
      </c>
      <c r="D1712" s="2" t="s">
        <v>32</v>
      </c>
      <c r="E1712" s="2" t="s">
        <v>33</v>
      </c>
      <c r="F1712" s="5">
        <v>162743.0</v>
      </c>
      <c r="G1712" s="5">
        <v>8723.0</v>
      </c>
      <c r="H1712" s="5">
        <v>0.0536</v>
      </c>
      <c r="I1712" s="5">
        <v>1.77</v>
      </c>
      <c r="J1712" s="5">
        <v>15439.71</v>
      </c>
      <c r="K1712" s="5">
        <v>106.0</v>
      </c>
      <c r="L1712" s="5">
        <v>145.66</v>
      </c>
      <c r="M1712" s="5">
        <v>20056.78</v>
      </c>
      <c r="N1712" s="5">
        <v>1.3</v>
      </c>
      <c r="O1712" s="6">
        <f t="shared" si="1"/>
        <v>145.6576415</v>
      </c>
      <c r="P1712" s="6" t="str">
        <f t="shared" si="2"/>
        <v>Post-Shift</v>
      </c>
      <c r="Q1712" s="3">
        <f t="shared" si="3"/>
        <v>38</v>
      </c>
    </row>
    <row r="1713">
      <c r="A1713" s="4">
        <v>45390.0</v>
      </c>
      <c r="B1713" s="2" t="s">
        <v>18</v>
      </c>
      <c r="C1713" s="2" t="s">
        <v>41</v>
      </c>
      <c r="D1713" s="2" t="s">
        <v>29</v>
      </c>
      <c r="E1713" s="2" t="s">
        <v>36</v>
      </c>
      <c r="F1713" s="5">
        <v>144494.0</v>
      </c>
      <c r="G1713" s="5">
        <v>8409.0</v>
      </c>
      <c r="H1713" s="5">
        <v>0.0582</v>
      </c>
      <c r="I1713" s="5">
        <v>3.04</v>
      </c>
      <c r="J1713" s="5">
        <v>25563.36</v>
      </c>
      <c r="K1713" s="5">
        <v>93.0</v>
      </c>
      <c r="L1713" s="5">
        <v>274.87</v>
      </c>
      <c r="M1713" s="5">
        <v>20233.22</v>
      </c>
      <c r="N1713" s="5">
        <v>0.79</v>
      </c>
      <c r="O1713" s="6">
        <f t="shared" si="1"/>
        <v>274.8748387</v>
      </c>
      <c r="P1713" s="6" t="str">
        <f t="shared" si="2"/>
        <v>Baseline</v>
      </c>
      <c r="Q1713" s="3">
        <f t="shared" si="3"/>
        <v>32</v>
      </c>
    </row>
    <row r="1714">
      <c r="A1714" s="4">
        <v>45546.0</v>
      </c>
      <c r="B1714" s="2" t="s">
        <v>18</v>
      </c>
      <c r="C1714" s="2" t="s">
        <v>19</v>
      </c>
      <c r="D1714" s="2" t="s">
        <v>20</v>
      </c>
      <c r="E1714" s="2" t="s">
        <v>58</v>
      </c>
      <c r="F1714" s="5">
        <v>112549.0</v>
      </c>
      <c r="G1714" s="5">
        <v>6640.0</v>
      </c>
      <c r="H1714" s="5">
        <v>0.059</v>
      </c>
      <c r="I1714" s="5">
        <v>3.67</v>
      </c>
      <c r="J1714" s="5">
        <v>24368.8</v>
      </c>
      <c r="K1714" s="5">
        <v>374.0</v>
      </c>
      <c r="L1714" s="5">
        <v>65.16</v>
      </c>
      <c r="M1714" s="5">
        <v>21696.69</v>
      </c>
      <c r="N1714" s="5">
        <v>0.89</v>
      </c>
      <c r="O1714" s="6">
        <f t="shared" si="1"/>
        <v>65.15721925</v>
      </c>
      <c r="P1714" s="6" t="str">
        <f t="shared" si="2"/>
        <v>Post-Shift</v>
      </c>
      <c r="Q1714" s="3">
        <f t="shared" si="3"/>
        <v>45</v>
      </c>
    </row>
    <row r="1715">
      <c r="A1715" s="4" t="s">
        <v>148</v>
      </c>
      <c r="B1715" s="2" t="s">
        <v>18</v>
      </c>
      <c r="C1715" s="2" t="s">
        <v>19</v>
      </c>
      <c r="D1715" s="2" t="s">
        <v>45</v>
      </c>
      <c r="E1715" s="2" t="s">
        <v>30</v>
      </c>
      <c r="F1715" s="5">
        <v>148994.0</v>
      </c>
      <c r="G1715" s="5">
        <v>7509.0</v>
      </c>
      <c r="H1715" s="5">
        <v>0.0504</v>
      </c>
      <c r="I1715" s="5">
        <v>3.46</v>
      </c>
      <c r="J1715" s="5">
        <v>25981.14</v>
      </c>
      <c r="K1715" s="5">
        <v>588.0</v>
      </c>
      <c r="L1715" s="5">
        <v>44.19</v>
      </c>
      <c r="M1715" s="5">
        <v>82753.51</v>
      </c>
      <c r="N1715" s="5">
        <v>3.19</v>
      </c>
      <c r="O1715" s="6">
        <f t="shared" si="1"/>
        <v>44.18561224</v>
      </c>
      <c r="P1715" s="6" t="str">
        <f t="shared" si="2"/>
        <v>Post-Shift</v>
      </c>
      <c r="Q1715" s="3">
        <f t="shared" si="3"/>
        <v>52</v>
      </c>
    </row>
    <row r="1716">
      <c r="A1716" s="4" t="s">
        <v>228</v>
      </c>
      <c r="B1716" s="2" t="s">
        <v>18</v>
      </c>
      <c r="C1716" s="2" t="s">
        <v>41</v>
      </c>
      <c r="D1716" s="2" t="s">
        <v>20</v>
      </c>
      <c r="E1716" s="2" t="s">
        <v>36</v>
      </c>
      <c r="F1716" s="5">
        <v>87373.0</v>
      </c>
      <c r="G1716" s="5">
        <v>3643.0</v>
      </c>
      <c r="H1716" s="5">
        <v>0.0417</v>
      </c>
      <c r="I1716" s="5">
        <v>1.05</v>
      </c>
      <c r="J1716" s="5">
        <v>3825.15</v>
      </c>
      <c r="K1716" s="5">
        <v>289.0</v>
      </c>
      <c r="L1716" s="5">
        <v>13.24</v>
      </c>
      <c r="M1716" s="5">
        <v>35842.03</v>
      </c>
      <c r="N1716" s="5">
        <v>9.37</v>
      </c>
      <c r="O1716" s="6">
        <f t="shared" si="1"/>
        <v>13.23581315</v>
      </c>
      <c r="P1716" s="6" t="str">
        <f t="shared" si="2"/>
        <v>Post-Shift</v>
      </c>
      <c r="Q1716" s="3">
        <f t="shared" si="3"/>
        <v>48</v>
      </c>
    </row>
    <row r="1717">
      <c r="A1717" s="4">
        <v>45295.0</v>
      </c>
      <c r="B1717" s="2" t="s">
        <v>23</v>
      </c>
      <c r="C1717" s="2" t="s">
        <v>31</v>
      </c>
      <c r="D1717" s="2" t="s">
        <v>45</v>
      </c>
      <c r="E1717" s="2" t="s">
        <v>58</v>
      </c>
      <c r="F1717" s="5">
        <v>41200.0</v>
      </c>
      <c r="G1717" s="5">
        <v>1763.0</v>
      </c>
      <c r="H1717" s="5">
        <v>0.0428</v>
      </c>
      <c r="I1717" s="5">
        <v>1.78</v>
      </c>
      <c r="J1717" s="5">
        <v>3138.14</v>
      </c>
      <c r="K1717" s="5">
        <v>101.0</v>
      </c>
      <c r="L1717" s="5">
        <v>31.07</v>
      </c>
      <c r="M1717" s="5">
        <v>27614.2</v>
      </c>
      <c r="N1717" s="5">
        <v>8.8</v>
      </c>
      <c r="O1717" s="6">
        <f t="shared" si="1"/>
        <v>31.07069307</v>
      </c>
      <c r="P1717" s="6" t="str">
        <f t="shared" si="2"/>
        <v>Baseline</v>
      </c>
      <c r="Q1717" s="3">
        <f t="shared" si="3"/>
        <v>14</v>
      </c>
    </row>
    <row r="1718">
      <c r="A1718" s="4" t="s">
        <v>148</v>
      </c>
      <c r="B1718" s="2" t="s">
        <v>18</v>
      </c>
      <c r="C1718" s="2" t="s">
        <v>19</v>
      </c>
      <c r="D1718" s="2" t="s">
        <v>20</v>
      </c>
      <c r="E1718" s="2" t="s">
        <v>56</v>
      </c>
      <c r="F1718" s="5">
        <v>51986.0</v>
      </c>
      <c r="G1718" s="5">
        <v>1996.0</v>
      </c>
      <c r="H1718" s="5">
        <v>0.0384</v>
      </c>
      <c r="I1718" s="5">
        <v>1.53</v>
      </c>
      <c r="J1718" s="5">
        <v>3053.88</v>
      </c>
      <c r="K1718" s="5">
        <v>82.0</v>
      </c>
      <c r="L1718" s="5">
        <v>37.24</v>
      </c>
      <c r="M1718" s="5">
        <v>20819.66</v>
      </c>
      <c r="N1718" s="5">
        <v>6.82</v>
      </c>
      <c r="O1718" s="6">
        <f t="shared" si="1"/>
        <v>37.24243902</v>
      </c>
      <c r="P1718" s="6" t="str">
        <f t="shared" si="2"/>
        <v>Post-Shift</v>
      </c>
      <c r="Q1718" s="3">
        <f t="shared" si="3"/>
        <v>52</v>
      </c>
    </row>
    <row r="1719">
      <c r="A1719" s="4" t="s">
        <v>35</v>
      </c>
      <c r="B1719" s="2" t="s">
        <v>38</v>
      </c>
      <c r="C1719" s="2" t="s">
        <v>19</v>
      </c>
      <c r="D1719" s="2" t="s">
        <v>20</v>
      </c>
      <c r="E1719" s="2" t="s">
        <v>33</v>
      </c>
      <c r="F1719" s="5">
        <v>190392.0</v>
      </c>
      <c r="G1719" s="5">
        <v>6016.0</v>
      </c>
      <c r="H1719" s="5">
        <v>0.0316</v>
      </c>
      <c r="I1719" s="5">
        <v>2.29</v>
      </c>
      <c r="J1719" s="5">
        <v>13776.64</v>
      </c>
      <c r="K1719" s="5">
        <v>165.0</v>
      </c>
      <c r="L1719" s="5">
        <v>83.49</v>
      </c>
      <c r="M1719" s="5">
        <v>35908.75</v>
      </c>
      <c r="N1719" s="5">
        <v>2.61</v>
      </c>
      <c r="O1719" s="6">
        <f t="shared" si="1"/>
        <v>83.49478788</v>
      </c>
      <c r="P1719" s="6" t="str">
        <f t="shared" si="2"/>
        <v>Post-Shift</v>
      </c>
      <c r="Q1719" s="3">
        <f t="shared" si="3"/>
        <v>42</v>
      </c>
    </row>
    <row r="1720">
      <c r="A1720" s="4">
        <v>45455.0</v>
      </c>
      <c r="B1720" s="2" t="s">
        <v>23</v>
      </c>
      <c r="C1720" s="2" t="s">
        <v>31</v>
      </c>
      <c r="D1720" s="2" t="s">
        <v>45</v>
      </c>
      <c r="E1720" s="2" t="s">
        <v>33</v>
      </c>
      <c r="F1720" s="5">
        <v>137817.0</v>
      </c>
      <c r="G1720" s="5">
        <v>8654.0</v>
      </c>
      <c r="H1720" s="5">
        <v>0.0628</v>
      </c>
      <c r="I1720" s="5">
        <v>1.52</v>
      </c>
      <c r="J1720" s="5">
        <v>13154.08</v>
      </c>
      <c r="K1720" s="5">
        <v>392.0</v>
      </c>
      <c r="L1720" s="5">
        <v>33.56</v>
      </c>
      <c r="M1720" s="5">
        <v>54000.95</v>
      </c>
      <c r="N1720" s="5">
        <v>4.11</v>
      </c>
      <c r="O1720" s="6">
        <f t="shared" si="1"/>
        <v>33.55632653</v>
      </c>
      <c r="P1720" s="6" t="str">
        <f t="shared" si="2"/>
        <v>Baseline</v>
      </c>
      <c r="Q1720" s="3">
        <f t="shared" si="3"/>
        <v>49</v>
      </c>
    </row>
    <row r="1721">
      <c r="A1721" s="4" t="s">
        <v>115</v>
      </c>
      <c r="B1721" s="2" t="s">
        <v>23</v>
      </c>
      <c r="C1721" s="2" t="s">
        <v>27</v>
      </c>
      <c r="D1721" s="2" t="s">
        <v>20</v>
      </c>
      <c r="E1721" s="2" t="s">
        <v>30</v>
      </c>
      <c r="F1721" s="5">
        <v>153145.0</v>
      </c>
      <c r="G1721" s="5">
        <v>7197.0</v>
      </c>
      <c r="H1721" s="5">
        <v>0.047</v>
      </c>
      <c r="I1721" s="5">
        <v>1.02</v>
      </c>
      <c r="J1721" s="5">
        <v>7340.94</v>
      </c>
      <c r="K1721" s="5">
        <v>89.0</v>
      </c>
      <c r="L1721" s="5">
        <v>82.48</v>
      </c>
      <c r="M1721" s="5">
        <v>6214.05</v>
      </c>
      <c r="N1721" s="5">
        <v>0.85</v>
      </c>
      <c r="O1721" s="6">
        <f t="shared" si="1"/>
        <v>82.48247191</v>
      </c>
      <c r="P1721" s="6" t="str">
        <f t="shared" si="2"/>
        <v>Post-Shift</v>
      </c>
      <c r="Q1721" s="3">
        <f t="shared" si="3"/>
        <v>3</v>
      </c>
    </row>
    <row r="1722">
      <c r="A1722" s="4">
        <v>45476.0</v>
      </c>
      <c r="B1722" s="2" t="s">
        <v>18</v>
      </c>
      <c r="C1722" s="2" t="s">
        <v>31</v>
      </c>
      <c r="D1722" s="2" t="s">
        <v>45</v>
      </c>
      <c r="E1722" s="2" t="s">
        <v>30</v>
      </c>
      <c r="F1722" s="5">
        <v>20718.0</v>
      </c>
      <c r="G1722" s="5">
        <v>426.0</v>
      </c>
      <c r="H1722" s="5">
        <v>0.0206</v>
      </c>
      <c r="I1722" s="5">
        <v>2.65</v>
      </c>
      <c r="J1722" s="5">
        <v>1128.9</v>
      </c>
      <c r="K1722" s="5">
        <v>22.0</v>
      </c>
      <c r="L1722" s="5">
        <v>51.31</v>
      </c>
      <c r="M1722" s="5">
        <v>1505.14</v>
      </c>
      <c r="N1722" s="5">
        <v>1.33</v>
      </c>
      <c r="O1722" s="6">
        <f t="shared" si="1"/>
        <v>51.31363636</v>
      </c>
      <c r="P1722" s="6" t="str">
        <f t="shared" si="2"/>
        <v>Post-Shift</v>
      </c>
      <c r="Q1722" s="3">
        <f t="shared" si="3"/>
        <v>10</v>
      </c>
    </row>
    <row r="1723">
      <c r="A1723" s="4" t="s">
        <v>22</v>
      </c>
      <c r="B1723" s="2" t="s">
        <v>23</v>
      </c>
      <c r="C1723" s="2" t="s">
        <v>31</v>
      </c>
      <c r="D1723" s="2" t="s">
        <v>20</v>
      </c>
      <c r="E1723" s="2" t="s">
        <v>33</v>
      </c>
      <c r="F1723" s="5">
        <v>5059.0</v>
      </c>
      <c r="G1723" s="5">
        <v>415.0</v>
      </c>
      <c r="H1723" s="5">
        <v>0.0822</v>
      </c>
      <c r="I1723" s="5">
        <v>0.73</v>
      </c>
      <c r="J1723" s="5">
        <v>302.95</v>
      </c>
      <c r="K1723" s="5">
        <v>4.0</v>
      </c>
      <c r="L1723" s="5">
        <v>75.74</v>
      </c>
      <c r="M1723" s="5">
        <v>798.87</v>
      </c>
      <c r="N1723" s="5">
        <v>2.64</v>
      </c>
      <c r="O1723" s="6">
        <f t="shared" si="1"/>
        <v>75.7375</v>
      </c>
      <c r="P1723" s="6" t="str">
        <f t="shared" si="2"/>
        <v>Post-Shift</v>
      </c>
      <c r="Q1723" s="3">
        <f t="shared" si="3"/>
        <v>4</v>
      </c>
    </row>
    <row r="1724">
      <c r="A1724" s="4" t="s">
        <v>89</v>
      </c>
      <c r="B1724" s="2" t="s">
        <v>23</v>
      </c>
      <c r="C1724" s="2" t="s">
        <v>19</v>
      </c>
      <c r="D1724" s="2" t="s">
        <v>32</v>
      </c>
      <c r="E1724" s="2" t="s">
        <v>30</v>
      </c>
      <c r="F1724" s="5">
        <v>96045.0</v>
      </c>
      <c r="G1724" s="5">
        <v>5820.0</v>
      </c>
      <c r="H1724" s="5">
        <v>0.0606</v>
      </c>
      <c r="I1724" s="5">
        <v>0.31</v>
      </c>
      <c r="J1724" s="5">
        <v>1804.2</v>
      </c>
      <c r="K1724" s="5">
        <v>235.0</v>
      </c>
      <c r="L1724" s="5">
        <v>7.68</v>
      </c>
      <c r="M1724" s="5">
        <v>47063.54</v>
      </c>
      <c r="N1724" s="5">
        <v>26.09</v>
      </c>
      <c r="O1724" s="6">
        <f t="shared" si="1"/>
        <v>7.677446809</v>
      </c>
      <c r="P1724" s="6" t="str">
        <f t="shared" si="2"/>
        <v>Post-Shift</v>
      </c>
      <c r="Q1724" s="3">
        <f t="shared" si="3"/>
        <v>9</v>
      </c>
    </row>
    <row r="1725">
      <c r="A1725" s="4" t="s">
        <v>174</v>
      </c>
      <c r="B1725" s="2" t="s">
        <v>18</v>
      </c>
      <c r="C1725" s="2" t="s">
        <v>41</v>
      </c>
      <c r="D1725" s="2" t="s">
        <v>45</v>
      </c>
      <c r="E1725" s="2" t="s">
        <v>21</v>
      </c>
      <c r="F1725" s="5">
        <v>12644.0</v>
      </c>
      <c r="G1725" s="5">
        <v>572.0</v>
      </c>
      <c r="H1725" s="5">
        <v>0.0453</v>
      </c>
      <c r="I1725" s="5">
        <v>2.22</v>
      </c>
      <c r="J1725" s="5">
        <v>1269.84</v>
      </c>
      <c r="K1725" s="5">
        <v>36.0</v>
      </c>
      <c r="L1725" s="5">
        <v>35.27</v>
      </c>
      <c r="M1725" s="5">
        <v>7362.94</v>
      </c>
      <c r="N1725" s="5">
        <v>5.8</v>
      </c>
      <c r="O1725" s="6">
        <f t="shared" si="1"/>
        <v>35.27333333</v>
      </c>
      <c r="P1725" s="6" t="str">
        <f t="shared" si="2"/>
        <v>Post-Shift</v>
      </c>
      <c r="Q1725" s="3">
        <f t="shared" si="3"/>
        <v>21</v>
      </c>
    </row>
    <row r="1726">
      <c r="A1726" s="4" t="s">
        <v>187</v>
      </c>
      <c r="B1726" s="2" t="s">
        <v>18</v>
      </c>
      <c r="C1726" s="2" t="s">
        <v>27</v>
      </c>
      <c r="D1726" s="2" t="s">
        <v>24</v>
      </c>
      <c r="E1726" s="2" t="s">
        <v>36</v>
      </c>
      <c r="F1726" s="5">
        <v>91901.0</v>
      </c>
      <c r="G1726" s="5">
        <v>3326.0</v>
      </c>
      <c r="H1726" s="5">
        <v>0.0362</v>
      </c>
      <c r="I1726" s="5">
        <v>2.58</v>
      </c>
      <c r="J1726" s="5">
        <v>8581.08</v>
      </c>
      <c r="K1726" s="5">
        <v>261.0</v>
      </c>
      <c r="L1726" s="5">
        <v>32.88</v>
      </c>
      <c r="M1726" s="5">
        <v>77117.41</v>
      </c>
      <c r="N1726" s="5">
        <v>8.99</v>
      </c>
      <c r="O1726" s="6">
        <f t="shared" si="1"/>
        <v>32.87770115</v>
      </c>
      <c r="P1726" s="6" t="str">
        <f t="shared" si="2"/>
        <v>Post-Shift</v>
      </c>
      <c r="Q1726" s="3">
        <f t="shared" si="3"/>
        <v>29</v>
      </c>
    </row>
    <row r="1727">
      <c r="A1727" s="4" t="s">
        <v>191</v>
      </c>
      <c r="B1727" s="2" t="s">
        <v>18</v>
      </c>
      <c r="C1727" s="2" t="s">
        <v>19</v>
      </c>
      <c r="D1727" s="2" t="s">
        <v>20</v>
      </c>
      <c r="E1727" s="2" t="s">
        <v>36</v>
      </c>
      <c r="F1727" s="5">
        <v>120431.0</v>
      </c>
      <c r="G1727" s="5">
        <v>6262.0</v>
      </c>
      <c r="H1727" s="5">
        <v>0.052</v>
      </c>
      <c r="I1727" s="5">
        <v>2.77</v>
      </c>
      <c r="J1727" s="5">
        <v>17345.74</v>
      </c>
      <c r="K1727" s="5">
        <v>188.0</v>
      </c>
      <c r="L1727" s="5">
        <v>92.26</v>
      </c>
      <c r="M1727" s="5">
        <v>8830.89</v>
      </c>
      <c r="N1727" s="5">
        <v>0.51</v>
      </c>
      <c r="O1727" s="6">
        <f t="shared" si="1"/>
        <v>92.26457447</v>
      </c>
      <c r="P1727" s="6" t="str">
        <f t="shared" si="2"/>
        <v>Post-Shift</v>
      </c>
      <c r="Q1727" s="3">
        <f t="shared" si="3"/>
        <v>13</v>
      </c>
    </row>
    <row r="1728">
      <c r="A1728" s="4" t="s">
        <v>137</v>
      </c>
      <c r="B1728" s="2" t="s">
        <v>18</v>
      </c>
      <c r="C1728" s="2" t="s">
        <v>19</v>
      </c>
      <c r="D1728" s="2" t="s">
        <v>20</v>
      </c>
      <c r="E1728" s="2" t="s">
        <v>33</v>
      </c>
      <c r="F1728" s="5">
        <v>7948.0</v>
      </c>
      <c r="G1728" s="5">
        <v>289.0</v>
      </c>
      <c r="H1728" s="5">
        <v>0.0364</v>
      </c>
      <c r="I1728" s="5">
        <v>2.07</v>
      </c>
      <c r="J1728" s="5">
        <v>598.23</v>
      </c>
      <c r="K1728" s="5">
        <v>6.0</v>
      </c>
      <c r="L1728" s="5">
        <v>99.7</v>
      </c>
      <c r="M1728" s="5">
        <v>1368.08</v>
      </c>
      <c r="N1728" s="5">
        <v>2.29</v>
      </c>
      <c r="O1728" s="6">
        <f t="shared" si="1"/>
        <v>99.705</v>
      </c>
      <c r="P1728" s="6" t="str">
        <f t="shared" si="2"/>
        <v>Post-Shift</v>
      </c>
      <c r="Q1728" s="3">
        <f t="shared" si="3"/>
        <v>4</v>
      </c>
    </row>
    <row r="1729">
      <c r="A1729" s="4" t="s">
        <v>37</v>
      </c>
      <c r="B1729" s="2" t="s">
        <v>38</v>
      </c>
      <c r="C1729" s="2" t="s">
        <v>27</v>
      </c>
      <c r="D1729" s="2" t="s">
        <v>45</v>
      </c>
      <c r="E1729" s="2" t="s">
        <v>21</v>
      </c>
      <c r="F1729" s="5">
        <v>108924.0</v>
      </c>
      <c r="G1729" s="5">
        <v>2134.0</v>
      </c>
      <c r="H1729" s="5">
        <v>0.0196</v>
      </c>
      <c r="I1729" s="5">
        <v>0.41</v>
      </c>
      <c r="J1729" s="5">
        <v>874.94</v>
      </c>
      <c r="K1729" s="5">
        <v>85.0</v>
      </c>
      <c r="L1729" s="5">
        <v>10.29</v>
      </c>
      <c r="M1729" s="5">
        <v>7418.36</v>
      </c>
      <c r="N1729" s="5">
        <v>8.48</v>
      </c>
      <c r="O1729" s="6">
        <f t="shared" si="1"/>
        <v>10.29341176</v>
      </c>
      <c r="P1729" s="6" t="str">
        <f t="shared" si="2"/>
        <v>Post-Shift</v>
      </c>
      <c r="Q1729" s="3">
        <f t="shared" si="3"/>
        <v>33</v>
      </c>
    </row>
    <row r="1730">
      <c r="A1730" s="4" t="s">
        <v>191</v>
      </c>
      <c r="B1730" s="2" t="s">
        <v>18</v>
      </c>
      <c r="C1730" s="2" t="s">
        <v>19</v>
      </c>
      <c r="D1730" s="2" t="s">
        <v>32</v>
      </c>
      <c r="E1730" s="2" t="s">
        <v>33</v>
      </c>
      <c r="F1730" s="5">
        <v>66402.0</v>
      </c>
      <c r="G1730" s="5">
        <v>2695.0</v>
      </c>
      <c r="H1730" s="5">
        <v>0.0406</v>
      </c>
      <c r="I1730" s="5">
        <v>1.86</v>
      </c>
      <c r="J1730" s="5">
        <v>5012.7</v>
      </c>
      <c r="K1730" s="5">
        <v>199.0</v>
      </c>
      <c r="L1730" s="5">
        <v>25.19</v>
      </c>
      <c r="M1730" s="5">
        <v>14266.46</v>
      </c>
      <c r="N1730" s="5">
        <v>2.85</v>
      </c>
      <c r="O1730" s="6">
        <f t="shared" si="1"/>
        <v>25.18944724</v>
      </c>
      <c r="P1730" s="6" t="str">
        <f t="shared" si="2"/>
        <v>Post-Shift</v>
      </c>
      <c r="Q1730" s="3">
        <f t="shared" si="3"/>
        <v>13</v>
      </c>
    </row>
    <row r="1731">
      <c r="A1731" s="4" t="s">
        <v>59</v>
      </c>
      <c r="B1731" s="2" t="s">
        <v>18</v>
      </c>
      <c r="C1731" s="2" t="s">
        <v>41</v>
      </c>
      <c r="D1731" s="2" t="s">
        <v>24</v>
      </c>
      <c r="E1731" s="2" t="s">
        <v>36</v>
      </c>
      <c r="F1731" s="5">
        <v>96676.0</v>
      </c>
      <c r="G1731" s="5">
        <v>5326.0</v>
      </c>
      <c r="H1731" s="5">
        <v>0.0551</v>
      </c>
      <c r="I1731" s="5">
        <v>1.67</v>
      </c>
      <c r="J1731" s="5">
        <v>8894.42</v>
      </c>
      <c r="K1731" s="5">
        <v>355.0</v>
      </c>
      <c r="L1731" s="5">
        <v>25.05</v>
      </c>
      <c r="M1731" s="5">
        <v>14113.5</v>
      </c>
      <c r="N1731" s="5">
        <v>1.59</v>
      </c>
      <c r="O1731" s="6">
        <f t="shared" si="1"/>
        <v>25.05470423</v>
      </c>
      <c r="P1731" s="6" t="str">
        <f t="shared" si="2"/>
        <v>Post-Shift</v>
      </c>
      <c r="Q1731" s="3">
        <f t="shared" si="3"/>
        <v>35</v>
      </c>
    </row>
    <row r="1732">
      <c r="A1732" s="4">
        <v>45569.0</v>
      </c>
      <c r="B1732" s="2" t="s">
        <v>38</v>
      </c>
      <c r="C1732" s="2" t="s">
        <v>19</v>
      </c>
      <c r="D1732" s="2" t="s">
        <v>20</v>
      </c>
      <c r="E1732" s="2" t="s">
        <v>30</v>
      </c>
      <c r="F1732" s="5">
        <v>10108.0</v>
      </c>
      <c r="G1732" s="5">
        <v>320.0</v>
      </c>
      <c r="H1732" s="5">
        <v>0.0317</v>
      </c>
      <c r="I1732" s="5">
        <v>0.51</v>
      </c>
      <c r="J1732" s="5">
        <v>163.2</v>
      </c>
      <c r="K1732" s="5">
        <v>8.0</v>
      </c>
      <c r="L1732" s="5">
        <v>20.4</v>
      </c>
      <c r="M1732" s="5">
        <v>624.2</v>
      </c>
      <c r="N1732" s="5">
        <v>3.82</v>
      </c>
      <c r="O1732" s="6">
        <f t="shared" si="1"/>
        <v>20.4</v>
      </c>
      <c r="P1732" s="6" t="str">
        <f t="shared" si="2"/>
        <v>Post-Shift</v>
      </c>
      <c r="Q1732" s="3">
        <f t="shared" si="3"/>
        <v>15</v>
      </c>
    </row>
    <row r="1733">
      <c r="A1733" s="4" t="s">
        <v>191</v>
      </c>
      <c r="B1733" s="2" t="s">
        <v>18</v>
      </c>
      <c r="C1733" s="2" t="s">
        <v>19</v>
      </c>
      <c r="D1733" s="2" t="s">
        <v>32</v>
      </c>
      <c r="E1733" s="2" t="s">
        <v>25</v>
      </c>
      <c r="F1733" s="5">
        <v>23936.0</v>
      </c>
      <c r="G1733" s="5">
        <v>1211.0</v>
      </c>
      <c r="H1733" s="5">
        <v>0.0506</v>
      </c>
      <c r="I1733" s="5">
        <v>2.7</v>
      </c>
      <c r="J1733" s="5">
        <v>3269.7</v>
      </c>
      <c r="K1733" s="5">
        <v>49.0</v>
      </c>
      <c r="L1733" s="5">
        <v>66.73</v>
      </c>
      <c r="M1733" s="5">
        <v>7236.18</v>
      </c>
      <c r="N1733" s="5">
        <v>2.21</v>
      </c>
      <c r="O1733" s="6">
        <f t="shared" si="1"/>
        <v>66.72857143</v>
      </c>
      <c r="P1733" s="6" t="str">
        <f t="shared" si="2"/>
        <v>Post-Shift</v>
      </c>
      <c r="Q1733" s="3">
        <f t="shared" si="3"/>
        <v>13</v>
      </c>
    </row>
    <row r="1734">
      <c r="A1734" s="4" t="s">
        <v>109</v>
      </c>
      <c r="B1734" s="2" t="s">
        <v>38</v>
      </c>
      <c r="C1734" s="2" t="s">
        <v>41</v>
      </c>
      <c r="D1734" s="2" t="s">
        <v>32</v>
      </c>
      <c r="E1734" s="2" t="s">
        <v>56</v>
      </c>
      <c r="F1734" s="5">
        <v>157455.0</v>
      </c>
      <c r="G1734" s="5">
        <v>3810.0</v>
      </c>
      <c r="H1734" s="5">
        <v>0.0242</v>
      </c>
      <c r="I1734" s="5">
        <v>1.24</v>
      </c>
      <c r="J1734" s="5">
        <v>4724.4</v>
      </c>
      <c r="K1734" s="5">
        <v>244.0</v>
      </c>
      <c r="L1734" s="5">
        <v>19.36</v>
      </c>
      <c r="M1734" s="5">
        <v>55928.06</v>
      </c>
      <c r="N1734" s="5">
        <v>11.84</v>
      </c>
      <c r="O1734" s="6">
        <f t="shared" si="1"/>
        <v>19.36229508</v>
      </c>
      <c r="P1734" s="6" t="str">
        <f t="shared" si="2"/>
        <v>Post-Shift</v>
      </c>
      <c r="Q1734" s="3">
        <f t="shared" si="3"/>
        <v>21</v>
      </c>
    </row>
    <row r="1735">
      <c r="A1735" s="4" t="s">
        <v>172</v>
      </c>
      <c r="B1735" s="2" t="s">
        <v>18</v>
      </c>
      <c r="C1735" s="2" t="s">
        <v>31</v>
      </c>
      <c r="D1735" s="2" t="s">
        <v>20</v>
      </c>
      <c r="E1735" s="2" t="s">
        <v>58</v>
      </c>
      <c r="F1735" s="5">
        <v>165805.0</v>
      </c>
      <c r="G1735" s="5">
        <v>9832.0</v>
      </c>
      <c r="H1735" s="5">
        <v>0.0593</v>
      </c>
      <c r="I1735" s="5">
        <v>2.76</v>
      </c>
      <c r="J1735" s="5">
        <v>27136.32</v>
      </c>
      <c r="K1735" s="5">
        <v>509.0</v>
      </c>
      <c r="L1735" s="5">
        <v>53.31</v>
      </c>
      <c r="M1735" s="5">
        <v>143237.8</v>
      </c>
      <c r="N1735" s="5">
        <v>5.28</v>
      </c>
      <c r="O1735" s="6">
        <f t="shared" si="1"/>
        <v>53.31300589</v>
      </c>
      <c r="P1735" s="6" t="str">
        <f t="shared" si="2"/>
        <v>Post-Shift</v>
      </c>
      <c r="Q1735" s="3">
        <f t="shared" si="3"/>
        <v>13</v>
      </c>
    </row>
    <row r="1736">
      <c r="A1736" s="4" t="s">
        <v>140</v>
      </c>
      <c r="B1736" s="2" t="s">
        <v>38</v>
      </c>
      <c r="C1736" s="2" t="s">
        <v>19</v>
      </c>
      <c r="D1736" s="2" t="s">
        <v>20</v>
      </c>
      <c r="E1736" s="2" t="s">
        <v>30</v>
      </c>
      <c r="F1736" s="5">
        <v>69385.0</v>
      </c>
      <c r="G1736" s="5">
        <v>2650.0</v>
      </c>
      <c r="H1736" s="5">
        <v>0.0382</v>
      </c>
      <c r="I1736" s="5">
        <v>1.7</v>
      </c>
      <c r="J1736" s="5">
        <v>4505.0</v>
      </c>
      <c r="K1736" s="5">
        <v>160.0</v>
      </c>
      <c r="L1736" s="5">
        <v>28.16</v>
      </c>
      <c r="M1736" s="5">
        <v>32080.73</v>
      </c>
      <c r="N1736" s="5">
        <v>7.12</v>
      </c>
      <c r="O1736" s="6">
        <f t="shared" si="1"/>
        <v>28.15625</v>
      </c>
      <c r="P1736" s="6" t="str">
        <f t="shared" si="2"/>
        <v>Post-Shift</v>
      </c>
      <c r="Q1736" s="3">
        <f t="shared" si="3"/>
        <v>44</v>
      </c>
    </row>
    <row r="1737">
      <c r="A1737" s="4" t="s">
        <v>70</v>
      </c>
      <c r="B1737" s="2" t="s">
        <v>23</v>
      </c>
      <c r="C1737" s="2" t="s">
        <v>27</v>
      </c>
      <c r="D1737" s="2" t="s">
        <v>29</v>
      </c>
      <c r="E1737" s="2" t="s">
        <v>58</v>
      </c>
      <c r="F1737" s="5">
        <v>89944.0</v>
      </c>
      <c r="G1737" s="5">
        <v>2644.0</v>
      </c>
      <c r="H1737" s="5">
        <v>0.0294</v>
      </c>
      <c r="I1737" s="5">
        <v>0.31</v>
      </c>
      <c r="J1737" s="5">
        <v>819.64</v>
      </c>
      <c r="K1737" s="5">
        <v>80.0</v>
      </c>
      <c r="L1737" s="5">
        <v>10.25</v>
      </c>
      <c r="M1737" s="5">
        <v>12715.09</v>
      </c>
      <c r="N1737" s="5">
        <v>15.51</v>
      </c>
      <c r="O1737" s="6">
        <f t="shared" si="1"/>
        <v>10.2455</v>
      </c>
      <c r="P1737" s="6" t="str">
        <f t="shared" si="2"/>
        <v>Post-Shift</v>
      </c>
      <c r="Q1737" s="3">
        <f t="shared" si="3"/>
        <v>17</v>
      </c>
    </row>
    <row r="1738">
      <c r="A1738" s="4">
        <v>45355.0</v>
      </c>
      <c r="B1738" s="2" t="s">
        <v>38</v>
      </c>
      <c r="C1738" s="2" t="s">
        <v>19</v>
      </c>
      <c r="D1738" s="2" t="s">
        <v>32</v>
      </c>
      <c r="E1738" s="2" t="s">
        <v>56</v>
      </c>
      <c r="F1738" s="5">
        <v>62603.0</v>
      </c>
      <c r="G1738" s="5">
        <v>1396.0</v>
      </c>
      <c r="H1738" s="5">
        <v>0.0223</v>
      </c>
      <c r="I1738" s="5">
        <v>1.5</v>
      </c>
      <c r="J1738" s="5">
        <v>2094.0</v>
      </c>
      <c r="K1738" s="5">
        <v>17.0</v>
      </c>
      <c r="L1738" s="5">
        <v>123.18</v>
      </c>
      <c r="M1738" s="5">
        <v>2988.24</v>
      </c>
      <c r="N1738" s="5">
        <v>1.43</v>
      </c>
      <c r="O1738" s="6">
        <f t="shared" si="1"/>
        <v>123.1764706</v>
      </c>
      <c r="P1738" s="6" t="str">
        <f t="shared" si="2"/>
        <v>Baseline</v>
      </c>
      <c r="Q1738" s="3">
        <f t="shared" si="3"/>
        <v>14</v>
      </c>
    </row>
    <row r="1739">
      <c r="A1739" s="4">
        <v>45566.0</v>
      </c>
      <c r="B1739" s="2" t="s">
        <v>38</v>
      </c>
      <c r="C1739" s="2" t="s">
        <v>31</v>
      </c>
      <c r="D1739" s="2" t="s">
        <v>24</v>
      </c>
      <c r="E1739" s="2" t="s">
        <v>30</v>
      </c>
      <c r="F1739" s="5">
        <v>62284.0</v>
      </c>
      <c r="G1739" s="5">
        <v>1413.0</v>
      </c>
      <c r="H1739" s="5">
        <v>0.0227</v>
      </c>
      <c r="I1739" s="5">
        <v>1.06</v>
      </c>
      <c r="J1739" s="5">
        <v>1497.78</v>
      </c>
      <c r="K1739" s="5">
        <v>88.0</v>
      </c>
      <c r="L1739" s="5">
        <v>17.02</v>
      </c>
      <c r="M1739" s="5">
        <v>10561.64</v>
      </c>
      <c r="N1739" s="5">
        <v>7.05</v>
      </c>
      <c r="O1739" s="6">
        <f t="shared" si="1"/>
        <v>17.02022727</v>
      </c>
      <c r="P1739" s="6" t="str">
        <f t="shared" si="2"/>
        <v>Post-Shift</v>
      </c>
      <c r="Q1739" s="3">
        <f t="shared" si="3"/>
        <v>2</v>
      </c>
    </row>
    <row r="1740">
      <c r="A1740" s="4">
        <v>45546.0</v>
      </c>
      <c r="B1740" s="2" t="s">
        <v>38</v>
      </c>
      <c r="C1740" s="2" t="s">
        <v>27</v>
      </c>
      <c r="D1740" s="2" t="s">
        <v>24</v>
      </c>
      <c r="E1740" s="2" t="s">
        <v>30</v>
      </c>
      <c r="F1740" s="5">
        <v>172812.0</v>
      </c>
      <c r="G1740" s="5">
        <v>2972.0</v>
      </c>
      <c r="H1740" s="5">
        <v>0.0172</v>
      </c>
      <c r="I1740" s="5">
        <v>0.99</v>
      </c>
      <c r="J1740" s="5">
        <v>2942.28</v>
      </c>
      <c r="K1740" s="5">
        <v>178.0</v>
      </c>
      <c r="L1740" s="5">
        <v>16.53</v>
      </c>
      <c r="M1740" s="5">
        <v>47180.83</v>
      </c>
      <c r="N1740" s="5">
        <v>16.04</v>
      </c>
      <c r="O1740" s="6">
        <f t="shared" si="1"/>
        <v>16.52966292</v>
      </c>
      <c r="P1740" s="6" t="str">
        <f t="shared" si="2"/>
        <v>Post-Shift</v>
      </c>
      <c r="Q1740" s="3">
        <f t="shared" si="3"/>
        <v>45</v>
      </c>
    </row>
    <row r="1741">
      <c r="A1741" s="4" t="s">
        <v>107</v>
      </c>
      <c r="B1741" s="2" t="s">
        <v>18</v>
      </c>
      <c r="C1741" s="2" t="s">
        <v>19</v>
      </c>
      <c r="D1741" s="2" t="s">
        <v>29</v>
      </c>
      <c r="E1741" s="2" t="s">
        <v>21</v>
      </c>
      <c r="F1741" s="5">
        <v>82764.0</v>
      </c>
      <c r="G1741" s="5">
        <v>2276.0</v>
      </c>
      <c r="H1741" s="5">
        <v>0.0275</v>
      </c>
      <c r="I1741" s="5">
        <v>0.91</v>
      </c>
      <c r="J1741" s="5">
        <v>2071.16</v>
      </c>
      <c r="K1741" s="5">
        <v>130.0</v>
      </c>
      <c r="L1741" s="5">
        <v>15.93</v>
      </c>
      <c r="M1741" s="5">
        <v>22792.2</v>
      </c>
      <c r="N1741" s="5">
        <v>11.0</v>
      </c>
      <c r="O1741" s="6">
        <f t="shared" si="1"/>
        <v>15.932</v>
      </c>
      <c r="P1741" s="6" t="str">
        <f t="shared" si="2"/>
        <v>Post-Shift</v>
      </c>
      <c r="Q1741" s="3">
        <f t="shared" si="3"/>
        <v>3</v>
      </c>
    </row>
    <row r="1742">
      <c r="A1742" s="4" t="s">
        <v>184</v>
      </c>
      <c r="B1742" s="2" t="s">
        <v>38</v>
      </c>
      <c r="C1742" s="2" t="s">
        <v>19</v>
      </c>
      <c r="D1742" s="2" t="s">
        <v>45</v>
      </c>
      <c r="E1742" s="2" t="s">
        <v>56</v>
      </c>
      <c r="F1742" s="5">
        <v>133260.0</v>
      </c>
      <c r="G1742" s="5">
        <v>2611.0</v>
      </c>
      <c r="H1742" s="5">
        <v>0.0196</v>
      </c>
      <c r="I1742" s="5">
        <v>2.08</v>
      </c>
      <c r="J1742" s="5">
        <v>5430.88</v>
      </c>
      <c r="K1742" s="5">
        <v>108.0</v>
      </c>
      <c r="L1742" s="5">
        <v>50.29</v>
      </c>
      <c r="M1742" s="5">
        <v>16755.51</v>
      </c>
      <c r="N1742" s="5">
        <v>3.09</v>
      </c>
      <c r="O1742" s="6">
        <f t="shared" si="1"/>
        <v>50.28592593</v>
      </c>
      <c r="P1742" s="6" t="str">
        <f t="shared" si="2"/>
        <v>Post-Shift</v>
      </c>
      <c r="Q1742" s="3">
        <f t="shared" si="3"/>
        <v>16</v>
      </c>
    </row>
    <row r="1743">
      <c r="A1743" s="4">
        <v>45511.0</v>
      </c>
      <c r="B1743" s="2" t="s">
        <v>18</v>
      </c>
      <c r="C1743" s="2" t="s">
        <v>19</v>
      </c>
      <c r="D1743" s="2" t="s">
        <v>20</v>
      </c>
      <c r="E1743" s="2" t="s">
        <v>58</v>
      </c>
      <c r="F1743" s="5">
        <v>188420.0</v>
      </c>
      <c r="G1743" s="5">
        <v>9364.0</v>
      </c>
      <c r="H1743" s="5">
        <v>0.0497</v>
      </c>
      <c r="I1743" s="5">
        <v>2.65</v>
      </c>
      <c r="J1743" s="5">
        <v>24814.6</v>
      </c>
      <c r="K1743" s="5">
        <v>324.0</v>
      </c>
      <c r="L1743" s="5">
        <v>76.59</v>
      </c>
      <c r="M1743" s="5">
        <v>68719.44</v>
      </c>
      <c r="N1743" s="5">
        <v>2.77</v>
      </c>
      <c r="O1743" s="6">
        <f t="shared" si="1"/>
        <v>76.5882716</v>
      </c>
      <c r="P1743" s="6" t="str">
        <f t="shared" si="2"/>
        <v>Post-Shift</v>
      </c>
      <c r="Q1743" s="3">
        <f t="shared" si="3"/>
        <v>28</v>
      </c>
    </row>
    <row r="1744">
      <c r="A1744" s="4" t="s">
        <v>74</v>
      </c>
      <c r="B1744" s="2" t="s">
        <v>18</v>
      </c>
      <c r="C1744" s="2" t="s">
        <v>31</v>
      </c>
      <c r="D1744" s="2" t="s">
        <v>20</v>
      </c>
      <c r="E1744" s="2" t="s">
        <v>25</v>
      </c>
      <c r="F1744" s="5">
        <v>89431.0</v>
      </c>
      <c r="G1744" s="5">
        <v>3300.0</v>
      </c>
      <c r="H1744" s="5">
        <v>0.0369</v>
      </c>
      <c r="I1744" s="5">
        <v>1.47</v>
      </c>
      <c r="J1744" s="5">
        <v>4851.0</v>
      </c>
      <c r="K1744" s="5">
        <v>56.0</v>
      </c>
      <c r="L1744" s="5">
        <v>86.62</v>
      </c>
      <c r="M1744" s="5">
        <v>9891.88</v>
      </c>
      <c r="N1744" s="5">
        <v>2.04</v>
      </c>
      <c r="O1744" s="6">
        <f t="shared" si="1"/>
        <v>86.625</v>
      </c>
      <c r="P1744" s="6" t="str">
        <f t="shared" si="2"/>
        <v>Post-Shift</v>
      </c>
      <c r="Q1744" s="3">
        <f t="shared" si="3"/>
        <v>8</v>
      </c>
    </row>
    <row r="1745">
      <c r="A1745" s="4">
        <v>45383.0</v>
      </c>
      <c r="B1745" s="2" t="s">
        <v>18</v>
      </c>
      <c r="C1745" s="2" t="s">
        <v>41</v>
      </c>
      <c r="D1745" s="2" t="s">
        <v>45</v>
      </c>
      <c r="E1745" s="2" t="s">
        <v>30</v>
      </c>
      <c r="F1745" s="5">
        <v>52897.0</v>
      </c>
      <c r="G1745" s="5">
        <v>1883.0</v>
      </c>
      <c r="H1745" s="5">
        <v>0.0356</v>
      </c>
      <c r="I1745" s="5">
        <v>2.77</v>
      </c>
      <c r="J1745" s="5">
        <v>5215.91</v>
      </c>
      <c r="K1745" s="5">
        <v>108.0</v>
      </c>
      <c r="L1745" s="5">
        <v>48.3</v>
      </c>
      <c r="M1745" s="5">
        <v>5473.28</v>
      </c>
      <c r="N1745" s="5">
        <v>1.05</v>
      </c>
      <c r="O1745" s="6">
        <f t="shared" si="1"/>
        <v>48.29546296</v>
      </c>
      <c r="P1745" s="6" t="str">
        <f t="shared" si="2"/>
        <v>Baseline</v>
      </c>
      <c r="Q1745" s="3">
        <f t="shared" si="3"/>
        <v>1</v>
      </c>
    </row>
    <row r="1746">
      <c r="A1746" s="4">
        <v>45541.0</v>
      </c>
      <c r="B1746" s="2" t="s">
        <v>18</v>
      </c>
      <c r="C1746" s="2" t="s">
        <v>31</v>
      </c>
      <c r="D1746" s="2" t="s">
        <v>32</v>
      </c>
      <c r="E1746" s="2" t="s">
        <v>25</v>
      </c>
      <c r="F1746" s="5">
        <v>83334.0</v>
      </c>
      <c r="G1746" s="5">
        <v>3341.0</v>
      </c>
      <c r="H1746" s="5">
        <v>0.0401</v>
      </c>
      <c r="I1746" s="5">
        <v>1.73</v>
      </c>
      <c r="J1746" s="5">
        <v>5779.93</v>
      </c>
      <c r="K1746" s="5">
        <v>256.0</v>
      </c>
      <c r="L1746" s="5">
        <v>22.58</v>
      </c>
      <c r="M1746" s="5">
        <v>32514.9</v>
      </c>
      <c r="N1746" s="5">
        <v>5.63</v>
      </c>
      <c r="O1746" s="6">
        <f t="shared" si="1"/>
        <v>22.57785156</v>
      </c>
      <c r="P1746" s="6" t="str">
        <f t="shared" si="2"/>
        <v>Post-Shift</v>
      </c>
      <c r="Q1746" s="3">
        <f t="shared" si="3"/>
        <v>24</v>
      </c>
    </row>
    <row r="1747">
      <c r="A1747" s="4" t="s">
        <v>150</v>
      </c>
      <c r="B1747" s="2" t="s">
        <v>23</v>
      </c>
      <c r="C1747" s="2" t="s">
        <v>31</v>
      </c>
      <c r="D1747" s="2" t="s">
        <v>32</v>
      </c>
      <c r="E1747" s="2" t="s">
        <v>30</v>
      </c>
      <c r="F1747" s="5">
        <v>180721.0</v>
      </c>
      <c r="G1747" s="5">
        <v>9379.0</v>
      </c>
      <c r="H1747" s="5">
        <v>0.0519</v>
      </c>
      <c r="I1747" s="5">
        <v>1.3</v>
      </c>
      <c r="J1747" s="5">
        <v>12192.7</v>
      </c>
      <c r="K1747" s="5">
        <v>286.0</v>
      </c>
      <c r="L1747" s="5">
        <v>42.63</v>
      </c>
      <c r="M1747" s="5">
        <v>52558.42</v>
      </c>
      <c r="N1747" s="5">
        <v>4.31</v>
      </c>
      <c r="O1747" s="6">
        <f t="shared" si="1"/>
        <v>42.63181818</v>
      </c>
      <c r="P1747" s="6" t="str">
        <f t="shared" si="2"/>
        <v>Post-Shift</v>
      </c>
      <c r="Q1747" s="3">
        <f t="shared" si="3"/>
        <v>42</v>
      </c>
    </row>
    <row r="1748">
      <c r="A1748" s="4">
        <v>45547.0</v>
      </c>
      <c r="B1748" s="2" t="s">
        <v>23</v>
      </c>
      <c r="C1748" s="2" t="s">
        <v>41</v>
      </c>
      <c r="D1748" s="2" t="s">
        <v>29</v>
      </c>
      <c r="E1748" s="2" t="s">
        <v>58</v>
      </c>
      <c r="F1748" s="5">
        <v>195759.0</v>
      </c>
      <c r="G1748" s="5">
        <v>7262.0</v>
      </c>
      <c r="H1748" s="5">
        <v>0.0371</v>
      </c>
      <c r="I1748" s="5">
        <v>0.47</v>
      </c>
      <c r="J1748" s="5">
        <v>3413.14</v>
      </c>
      <c r="K1748" s="5">
        <v>75.0</v>
      </c>
      <c r="L1748" s="5">
        <v>45.51</v>
      </c>
      <c r="M1748" s="5">
        <v>16681.83</v>
      </c>
      <c r="N1748" s="5">
        <v>4.89</v>
      </c>
      <c r="O1748" s="6">
        <f t="shared" si="1"/>
        <v>45.50853333</v>
      </c>
      <c r="P1748" s="6" t="str">
        <f t="shared" si="2"/>
        <v>Post-Shift</v>
      </c>
      <c r="Q1748" s="3">
        <f t="shared" si="3"/>
        <v>50</v>
      </c>
    </row>
    <row r="1749">
      <c r="A1749" s="4">
        <v>45572.0</v>
      </c>
      <c r="B1749" s="2" t="s">
        <v>18</v>
      </c>
      <c r="C1749" s="2" t="s">
        <v>27</v>
      </c>
      <c r="D1749" s="2" t="s">
        <v>32</v>
      </c>
      <c r="E1749" s="2" t="s">
        <v>30</v>
      </c>
      <c r="F1749" s="5">
        <v>158514.0</v>
      </c>
      <c r="G1749" s="5">
        <v>4565.0</v>
      </c>
      <c r="H1749" s="5">
        <v>0.0288</v>
      </c>
      <c r="I1749" s="5">
        <v>2.14</v>
      </c>
      <c r="J1749" s="5">
        <v>9769.1</v>
      </c>
      <c r="K1749" s="5">
        <v>235.0</v>
      </c>
      <c r="L1749" s="5">
        <v>41.57</v>
      </c>
      <c r="M1749" s="5">
        <v>15388.32</v>
      </c>
      <c r="N1749" s="5">
        <v>1.58</v>
      </c>
      <c r="O1749" s="6">
        <f t="shared" si="1"/>
        <v>41.5706383</v>
      </c>
      <c r="P1749" s="6" t="str">
        <f t="shared" si="2"/>
        <v>Post-Shift</v>
      </c>
      <c r="Q1749" s="3">
        <f t="shared" si="3"/>
        <v>28</v>
      </c>
    </row>
    <row r="1750">
      <c r="A1750" s="4" t="s">
        <v>71</v>
      </c>
      <c r="B1750" s="2" t="s">
        <v>38</v>
      </c>
      <c r="C1750" s="2" t="s">
        <v>27</v>
      </c>
      <c r="D1750" s="2" t="s">
        <v>32</v>
      </c>
      <c r="E1750" s="2" t="s">
        <v>30</v>
      </c>
      <c r="F1750" s="5">
        <v>82948.0</v>
      </c>
      <c r="G1750" s="5">
        <v>2347.0</v>
      </c>
      <c r="H1750" s="5">
        <v>0.0283</v>
      </c>
      <c r="I1750" s="5">
        <v>2.31</v>
      </c>
      <c r="J1750" s="5">
        <v>5421.57</v>
      </c>
      <c r="K1750" s="5">
        <v>65.0</v>
      </c>
      <c r="L1750" s="5">
        <v>83.41</v>
      </c>
      <c r="M1750" s="5">
        <v>10510.94</v>
      </c>
      <c r="N1750" s="5">
        <v>1.94</v>
      </c>
      <c r="O1750" s="6">
        <f t="shared" si="1"/>
        <v>83.40876923</v>
      </c>
      <c r="P1750" s="6" t="str">
        <f t="shared" si="2"/>
        <v>Post-Shift</v>
      </c>
      <c r="Q1750" s="3">
        <f t="shared" si="3"/>
        <v>20</v>
      </c>
    </row>
    <row r="1751">
      <c r="A1751" s="4">
        <v>45324.0</v>
      </c>
      <c r="B1751" s="2" t="s">
        <v>18</v>
      </c>
      <c r="C1751" s="2" t="s">
        <v>27</v>
      </c>
      <c r="D1751" s="2" t="s">
        <v>32</v>
      </c>
      <c r="E1751" s="2" t="s">
        <v>36</v>
      </c>
      <c r="F1751" s="5">
        <v>44420.0</v>
      </c>
      <c r="G1751" s="5">
        <v>1066.0</v>
      </c>
      <c r="H1751" s="5">
        <v>0.024</v>
      </c>
      <c r="I1751" s="5">
        <v>3.64</v>
      </c>
      <c r="J1751" s="5">
        <v>3880.24</v>
      </c>
      <c r="K1751" s="5">
        <v>44.0</v>
      </c>
      <c r="L1751" s="5">
        <v>88.19</v>
      </c>
      <c r="M1751" s="5">
        <v>2655.91</v>
      </c>
      <c r="N1751" s="5">
        <v>0.68</v>
      </c>
      <c r="O1751" s="6">
        <f t="shared" si="1"/>
        <v>88.18727273</v>
      </c>
      <c r="P1751" s="6" t="str">
        <f t="shared" si="2"/>
        <v>Baseline</v>
      </c>
      <c r="Q1751" s="3">
        <f t="shared" si="3"/>
        <v>5</v>
      </c>
    </row>
    <row r="1752">
      <c r="A1752" s="4" t="s">
        <v>178</v>
      </c>
      <c r="B1752" s="2" t="s">
        <v>23</v>
      </c>
      <c r="C1752" s="2" t="s">
        <v>19</v>
      </c>
      <c r="D1752" s="2" t="s">
        <v>20</v>
      </c>
      <c r="E1752" s="2" t="s">
        <v>21</v>
      </c>
      <c r="F1752" s="5">
        <v>57006.0</v>
      </c>
      <c r="G1752" s="5">
        <v>2981.0</v>
      </c>
      <c r="H1752" s="5">
        <v>0.0523</v>
      </c>
      <c r="I1752" s="5">
        <v>1.1</v>
      </c>
      <c r="J1752" s="5">
        <v>3279.1</v>
      </c>
      <c r="K1752" s="5">
        <v>192.0</v>
      </c>
      <c r="L1752" s="5">
        <v>17.08</v>
      </c>
      <c r="M1752" s="5">
        <v>40566.37</v>
      </c>
      <c r="N1752" s="5">
        <v>12.37</v>
      </c>
      <c r="O1752" s="6">
        <f t="shared" si="1"/>
        <v>17.07864583</v>
      </c>
      <c r="P1752" s="6" t="str">
        <f t="shared" si="2"/>
        <v>Post-Shift</v>
      </c>
      <c r="Q1752" s="3">
        <f t="shared" si="3"/>
        <v>9</v>
      </c>
    </row>
    <row r="1753">
      <c r="A1753" s="4" t="s">
        <v>226</v>
      </c>
      <c r="B1753" s="2" t="s">
        <v>38</v>
      </c>
      <c r="C1753" s="2" t="s">
        <v>27</v>
      </c>
      <c r="D1753" s="2" t="s">
        <v>32</v>
      </c>
      <c r="E1753" s="2" t="s">
        <v>30</v>
      </c>
      <c r="F1753" s="5">
        <v>37588.0</v>
      </c>
      <c r="G1753" s="5">
        <v>1191.0</v>
      </c>
      <c r="H1753" s="5">
        <v>0.0317</v>
      </c>
      <c r="I1753" s="5">
        <v>1.96</v>
      </c>
      <c r="J1753" s="5">
        <v>2334.36</v>
      </c>
      <c r="K1753" s="5">
        <v>48.0</v>
      </c>
      <c r="L1753" s="5">
        <v>48.63</v>
      </c>
      <c r="M1753" s="5">
        <v>13381.03</v>
      </c>
      <c r="N1753" s="5">
        <v>5.73</v>
      </c>
      <c r="O1753" s="6">
        <f t="shared" si="1"/>
        <v>48.6325</v>
      </c>
      <c r="P1753" s="6" t="str">
        <f t="shared" si="2"/>
        <v>Post-Shift</v>
      </c>
      <c r="Q1753" s="3">
        <f t="shared" si="3"/>
        <v>33</v>
      </c>
    </row>
    <row r="1754">
      <c r="A1754" s="4">
        <v>45324.0</v>
      </c>
      <c r="B1754" s="2" t="s">
        <v>23</v>
      </c>
      <c r="C1754" s="2" t="s">
        <v>31</v>
      </c>
      <c r="D1754" s="2" t="s">
        <v>29</v>
      </c>
      <c r="E1754" s="2" t="s">
        <v>58</v>
      </c>
      <c r="F1754" s="5">
        <v>196605.0</v>
      </c>
      <c r="G1754" s="5">
        <v>14922.0</v>
      </c>
      <c r="H1754" s="5">
        <v>0.0759</v>
      </c>
      <c r="I1754" s="5">
        <v>1.76</v>
      </c>
      <c r="J1754" s="5">
        <v>26262.72</v>
      </c>
      <c r="K1754" s="5">
        <v>757.0</v>
      </c>
      <c r="L1754" s="5">
        <v>34.69</v>
      </c>
      <c r="M1754" s="5">
        <v>181823.3</v>
      </c>
      <c r="N1754" s="5">
        <v>6.92</v>
      </c>
      <c r="O1754" s="6">
        <f t="shared" si="1"/>
        <v>34.6931572</v>
      </c>
      <c r="P1754" s="6" t="str">
        <f t="shared" si="2"/>
        <v>Baseline</v>
      </c>
      <c r="Q1754" s="3">
        <f t="shared" si="3"/>
        <v>5</v>
      </c>
    </row>
    <row r="1755">
      <c r="A1755" s="4">
        <v>45295.0</v>
      </c>
      <c r="B1755" s="2" t="s">
        <v>38</v>
      </c>
      <c r="C1755" s="2" t="s">
        <v>27</v>
      </c>
      <c r="D1755" s="2" t="s">
        <v>20</v>
      </c>
      <c r="E1755" s="2" t="s">
        <v>33</v>
      </c>
      <c r="F1755" s="5">
        <v>59376.0</v>
      </c>
      <c r="G1755" s="5">
        <v>564.0</v>
      </c>
      <c r="H1755" s="5">
        <v>0.0095</v>
      </c>
      <c r="I1755" s="5">
        <v>0.64</v>
      </c>
      <c r="J1755" s="5">
        <v>360.96</v>
      </c>
      <c r="K1755" s="5">
        <v>25.0</v>
      </c>
      <c r="L1755" s="5">
        <v>14.44</v>
      </c>
      <c r="M1755" s="5">
        <v>4065.83</v>
      </c>
      <c r="N1755" s="5">
        <v>11.26</v>
      </c>
      <c r="O1755" s="6">
        <f t="shared" si="1"/>
        <v>14.4384</v>
      </c>
      <c r="P1755" s="6" t="str">
        <f t="shared" si="2"/>
        <v>Baseline</v>
      </c>
      <c r="Q1755" s="3">
        <f t="shared" si="3"/>
        <v>14</v>
      </c>
    </row>
    <row r="1756">
      <c r="A1756" s="4" t="s">
        <v>109</v>
      </c>
      <c r="B1756" s="2" t="s">
        <v>38</v>
      </c>
      <c r="C1756" s="2" t="s">
        <v>27</v>
      </c>
      <c r="D1756" s="2" t="s">
        <v>45</v>
      </c>
      <c r="E1756" s="2" t="s">
        <v>56</v>
      </c>
      <c r="F1756" s="5">
        <v>15865.0</v>
      </c>
      <c r="G1756" s="5">
        <v>528.0</v>
      </c>
      <c r="H1756" s="5">
        <v>0.0333</v>
      </c>
      <c r="I1756" s="5">
        <v>1.88</v>
      </c>
      <c r="J1756" s="5">
        <v>992.64</v>
      </c>
      <c r="K1756" s="5">
        <v>39.0</v>
      </c>
      <c r="L1756" s="5">
        <v>25.45</v>
      </c>
      <c r="M1756" s="5">
        <v>3165.22</v>
      </c>
      <c r="N1756" s="5">
        <v>3.19</v>
      </c>
      <c r="O1756" s="6">
        <f t="shared" si="1"/>
        <v>25.45230769</v>
      </c>
      <c r="P1756" s="6" t="str">
        <f t="shared" si="2"/>
        <v>Post-Shift</v>
      </c>
      <c r="Q1756" s="3">
        <f t="shared" si="3"/>
        <v>21</v>
      </c>
    </row>
    <row r="1757">
      <c r="A1757" s="4" t="s">
        <v>62</v>
      </c>
      <c r="B1757" s="2" t="s">
        <v>18</v>
      </c>
      <c r="C1757" s="2" t="s">
        <v>27</v>
      </c>
      <c r="D1757" s="2" t="s">
        <v>24</v>
      </c>
      <c r="E1757" s="2" t="s">
        <v>21</v>
      </c>
      <c r="F1757" s="5">
        <v>80511.0</v>
      </c>
      <c r="G1757" s="5">
        <v>3622.0</v>
      </c>
      <c r="H1757" s="5">
        <v>0.045</v>
      </c>
      <c r="I1757" s="5">
        <v>3.32</v>
      </c>
      <c r="J1757" s="5">
        <v>12025.04</v>
      </c>
      <c r="K1757" s="5">
        <v>140.0</v>
      </c>
      <c r="L1757" s="5">
        <v>85.89</v>
      </c>
      <c r="M1757" s="5">
        <v>31780.44</v>
      </c>
      <c r="N1757" s="5">
        <v>2.64</v>
      </c>
      <c r="O1757" s="6">
        <f t="shared" si="1"/>
        <v>85.89314286</v>
      </c>
      <c r="P1757" s="6" t="str">
        <f t="shared" si="2"/>
        <v>Post-Shift</v>
      </c>
      <c r="Q1757" s="3">
        <f t="shared" si="3"/>
        <v>48</v>
      </c>
    </row>
    <row r="1758">
      <c r="A1758" s="4" t="s">
        <v>202</v>
      </c>
      <c r="B1758" s="2" t="s">
        <v>18</v>
      </c>
      <c r="C1758" s="2" t="s">
        <v>31</v>
      </c>
      <c r="D1758" s="2" t="s">
        <v>45</v>
      </c>
      <c r="E1758" s="2" t="s">
        <v>25</v>
      </c>
      <c r="F1758" s="5">
        <v>143944.0</v>
      </c>
      <c r="G1758" s="5">
        <v>7873.0</v>
      </c>
      <c r="H1758" s="5">
        <v>0.0547</v>
      </c>
      <c r="I1758" s="5">
        <v>2.11</v>
      </c>
      <c r="J1758" s="5">
        <v>16612.03</v>
      </c>
      <c r="K1758" s="5">
        <v>513.0</v>
      </c>
      <c r="L1758" s="5">
        <v>32.38</v>
      </c>
      <c r="M1758" s="5">
        <v>65899.82</v>
      </c>
      <c r="N1758" s="5">
        <v>3.97</v>
      </c>
      <c r="O1758" s="6">
        <f t="shared" si="1"/>
        <v>32.38212476</v>
      </c>
      <c r="P1758" s="6" t="str">
        <f t="shared" si="2"/>
        <v>Post-Shift</v>
      </c>
      <c r="Q1758" s="3">
        <f t="shared" si="3"/>
        <v>26</v>
      </c>
    </row>
    <row r="1759">
      <c r="A1759" s="4">
        <v>45511.0</v>
      </c>
      <c r="B1759" s="2" t="s">
        <v>38</v>
      </c>
      <c r="C1759" s="2" t="s">
        <v>19</v>
      </c>
      <c r="D1759" s="2" t="s">
        <v>32</v>
      </c>
      <c r="E1759" s="2" t="s">
        <v>25</v>
      </c>
      <c r="F1759" s="5">
        <v>44612.0</v>
      </c>
      <c r="G1759" s="5">
        <v>811.0</v>
      </c>
      <c r="H1759" s="5">
        <v>0.0182</v>
      </c>
      <c r="I1759" s="5">
        <v>2.0</v>
      </c>
      <c r="J1759" s="5">
        <v>1622.0</v>
      </c>
      <c r="K1759" s="5">
        <v>23.0</v>
      </c>
      <c r="L1759" s="5">
        <v>70.52</v>
      </c>
      <c r="M1759" s="5">
        <v>1008.1</v>
      </c>
      <c r="N1759" s="5">
        <v>0.62</v>
      </c>
      <c r="O1759" s="6">
        <f t="shared" si="1"/>
        <v>70.52173913</v>
      </c>
      <c r="P1759" s="6" t="str">
        <f t="shared" si="2"/>
        <v>Post-Shift</v>
      </c>
      <c r="Q1759" s="3">
        <f t="shared" si="3"/>
        <v>28</v>
      </c>
    </row>
    <row r="1760">
      <c r="A1760" s="4" t="s">
        <v>43</v>
      </c>
      <c r="B1760" s="2" t="s">
        <v>18</v>
      </c>
      <c r="C1760" s="2" t="s">
        <v>41</v>
      </c>
      <c r="D1760" s="2" t="s">
        <v>45</v>
      </c>
      <c r="E1760" s="2" t="s">
        <v>58</v>
      </c>
      <c r="F1760" s="5">
        <v>17299.0</v>
      </c>
      <c r="G1760" s="5">
        <v>479.0</v>
      </c>
      <c r="H1760" s="5">
        <v>0.0277</v>
      </c>
      <c r="I1760" s="5">
        <v>1.94</v>
      </c>
      <c r="J1760" s="5">
        <v>929.26</v>
      </c>
      <c r="K1760" s="5">
        <v>30.0</v>
      </c>
      <c r="L1760" s="5">
        <v>30.98</v>
      </c>
      <c r="M1760" s="5">
        <v>3163.73</v>
      </c>
      <c r="N1760" s="5">
        <v>3.4</v>
      </c>
      <c r="O1760" s="6">
        <f t="shared" si="1"/>
        <v>30.97533333</v>
      </c>
      <c r="P1760" s="6" t="str">
        <f t="shared" si="2"/>
        <v>Post-Shift</v>
      </c>
      <c r="Q1760" s="3">
        <f t="shared" si="3"/>
        <v>46</v>
      </c>
    </row>
    <row r="1761">
      <c r="A1761" s="4" t="s">
        <v>124</v>
      </c>
      <c r="B1761" s="2" t="s">
        <v>23</v>
      </c>
      <c r="C1761" s="2" t="s">
        <v>31</v>
      </c>
      <c r="D1761" s="2" t="s">
        <v>29</v>
      </c>
      <c r="E1761" s="2" t="s">
        <v>21</v>
      </c>
      <c r="F1761" s="5">
        <v>71514.0</v>
      </c>
      <c r="G1761" s="5">
        <v>3354.0</v>
      </c>
      <c r="H1761" s="5">
        <v>0.0469</v>
      </c>
      <c r="I1761" s="5">
        <v>1.31</v>
      </c>
      <c r="J1761" s="5">
        <v>4393.74</v>
      </c>
      <c r="K1761" s="5">
        <v>165.0</v>
      </c>
      <c r="L1761" s="5">
        <v>26.63</v>
      </c>
      <c r="M1761" s="5">
        <v>17363.87</v>
      </c>
      <c r="N1761" s="5">
        <v>3.95</v>
      </c>
      <c r="O1761" s="6">
        <f t="shared" si="1"/>
        <v>26.62872727</v>
      </c>
      <c r="P1761" s="6" t="str">
        <f t="shared" si="2"/>
        <v>Post-Shift</v>
      </c>
      <c r="Q1761" s="3">
        <f t="shared" si="3"/>
        <v>44</v>
      </c>
    </row>
    <row r="1762">
      <c r="A1762" s="4" t="s">
        <v>142</v>
      </c>
      <c r="B1762" s="2" t="s">
        <v>18</v>
      </c>
      <c r="C1762" s="2" t="s">
        <v>27</v>
      </c>
      <c r="D1762" s="2" t="s">
        <v>45</v>
      </c>
      <c r="E1762" s="2" t="s">
        <v>56</v>
      </c>
      <c r="F1762" s="5">
        <v>37135.0</v>
      </c>
      <c r="G1762" s="5">
        <v>1006.0</v>
      </c>
      <c r="H1762" s="5">
        <v>0.0271</v>
      </c>
      <c r="I1762" s="5">
        <v>1.92</v>
      </c>
      <c r="J1762" s="5">
        <v>1931.52</v>
      </c>
      <c r="K1762" s="5">
        <v>62.0</v>
      </c>
      <c r="L1762" s="5">
        <v>31.15</v>
      </c>
      <c r="M1762" s="5">
        <v>17772.87</v>
      </c>
      <c r="N1762" s="5">
        <v>9.2</v>
      </c>
      <c r="O1762" s="6">
        <f t="shared" si="1"/>
        <v>31.15354839</v>
      </c>
      <c r="P1762" s="6" t="str">
        <f t="shared" si="2"/>
        <v>Post-Shift</v>
      </c>
      <c r="Q1762" s="3">
        <f t="shared" si="3"/>
        <v>11</v>
      </c>
    </row>
    <row r="1763">
      <c r="A1763" s="4" t="s">
        <v>214</v>
      </c>
      <c r="B1763" s="2" t="s">
        <v>18</v>
      </c>
      <c r="C1763" s="2" t="s">
        <v>41</v>
      </c>
      <c r="D1763" s="2" t="s">
        <v>24</v>
      </c>
      <c r="E1763" s="2" t="s">
        <v>21</v>
      </c>
      <c r="F1763" s="5">
        <v>80542.0</v>
      </c>
      <c r="G1763" s="5">
        <v>4236.0</v>
      </c>
      <c r="H1763" s="5">
        <v>0.0526</v>
      </c>
      <c r="I1763" s="5">
        <v>2.15</v>
      </c>
      <c r="J1763" s="5">
        <v>9107.4</v>
      </c>
      <c r="K1763" s="5">
        <v>104.0</v>
      </c>
      <c r="L1763" s="5">
        <v>87.57</v>
      </c>
      <c r="M1763" s="5">
        <v>15932.35</v>
      </c>
      <c r="N1763" s="5">
        <v>1.75</v>
      </c>
      <c r="O1763" s="6">
        <f t="shared" si="1"/>
        <v>87.57115385</v>
      </c>
      <c r="P1763" s="6" t="str">
        <f t="shared" si="2"/>
        <v>Post-Shift</v>
      </c>
      <c r="Q1763" s="3">
        <f t="shared" si="3"/>
        <v>47</v>
      </c>
    </row>
    <row r="1764">
      <c r="A1764" s="4">
        <v>45355.0</v>
      </c>
      <c r="B1764" s="2" t="s">
        <v>18</v>
      </c>
      <c r="C1764" s="2" t="s">
        <v>31</v>
      </c>
      <c r="D1764" s="2" t="s">
        <v>45</v>
      </c>
      <c r="E1764" s="2" t="s">
        <v>58</v>
      </c>
      <c r="F1764" s="5">
        <v>112992.0</v>
      </c>
      <c r="G1764" s="5">
        <v>2802.0</v>
      </c>
      <c r="H1764" s="5">
        <v>0.0248</v>
      </c>
      <c r="I1764" s="5">
        <v>3.0</v>
      </c>
      <c r="J1764" s="5">
        <v>8406.0</v>
      </c>
      <c r="K1764" s="5">
        <v>124.0</v>
      </c>
      <c r="L1764" s="5">
        <v>67.79</v>
      </c>
      <c r="M1764" s="5">
        <v>7395.68</v>
      </c>
      <c r="N1764" s="5">
        <v>0.88</v>
      </c>
      <c r="O1764" s="6">
        <f t="shared" si="1"/>
        <v>67.79032258</v>
      </c>
      <c r="P1764" s="6" t="str">
        <f t="shared" si="2"/>
        <v>Baseline</v>
      </c>
      <c r="Q1764" s="3">
        <f t="shared" si="3"/>
        <v>14</v>
      </c>
    </row>
    <row r="1765">
      <c r="A1765" s="4">
        <v>45541.0</v>
      </c>
      <c r="B1765" s="2" t="s">
        <v>38</v>
      </c>
      <c r="C1765" s="2" t="s">
        <v>19</v>
      </c>
      <c r="D1765" s="2" t="s">
        <v>32</v>
      </c>
      <c r="E1765" s="2" t="s">
        <v>25</v>
      </c>
      <c r="F1765" s="5">
        <v>119863.0</v>
      </c>
      <c r="G1765" s="5">
        <v>1114.0</v>
      </c>
      <c r="H1765" s="5">
        <v>0.0093</v>
      </c>
      <c r="I1765" s="5">
        <v>1.23</v>
      </c>
      <c r="J1765" s="5">
        <v>1370.22</v>
      </c>
      <c r="K1765" s="5">
        <v>75.0</v>
      </c>
      <c r="L1765" s="5">
        <v>18.27</v>
      </c>
      <c r="M1765" s="5">
        <v>21180.36</v>
      </c>
      <c r="N1765" s="5">
        <v>15.46</v>
      </c>
      <c r="O1765" s="6">
        <f t="shared" si="1"/>
        <v>18.2696</v>
      </c>
      <c r="P1765" s="6" t="str">
        <f t="shared" si="2"/>
        <v>Post-Shift</v>
      </c>
      <c r="Q1765" s="3">
        <f t="shared" si="3"/>
        <v>24</v>
      </c>
    </row>
    <row r="1766">
      <c r="A1766" s="4">
        <v>45475.0</v>
      </c>
      <c r="B1766" s="2" t="s">
        <v>23</v>
      </c>
      <c r="C1766" s="2" t="s">
        <v>19</v>
      </c>
      <c r="D1766" s="2" t="s">
        <v>20</v>
      </c>
      <c r="E1766" s="2" t="s">
        <v>33</v>
      </c>
      <c r="F1766" s="5">
        <v>108806.0</v>
      </c>
      <c r="G1766" s="5">
        <v>5070.0</v>
      </c>
      <c r="H1766" s="5">
        <v>0.0466</v>
      </c>
      <c r="I1766" s="5">
        <v>0.36</v>
      </c>
      <c r="J1766" s="5">
        <v>1825.2</v>
      </c>
      <c r="K1766" s="5">
        <v>279.0</v>
      </c>
      <c r="L1766" s="5">
        <v>6.54</v>
      </c>
      <c r="M1766" s="5">
        <v>26787.94</v>
      </c>
      <c r="N1766" s="5">
        <v>14.68</v>
      </c>
      <c r="O1766" s="6">
        <f t="shared" si="1"/>
        <v>6.541935484</v>
      </c>
      <c r="P1766" s="6" t="str">
        <f t="shared" si="2"/>
        <v>Post-Shift</v>
      </c>
      <c r="Q1766" s="3">
        <f t="shared" si="3"/>
        <v>6</v>
      </c>
    </row>
    <row r="1767">
      <c r="A1767" s="4" t="s">
        <v>167</v>
      </c>
      <c r="B1767" s="2" t="s">
        <v>23</v>
      </c>
      <c r="C1767" s="2" t="s">
        <v>31</v>
      </c>
      <c r="D1767" s="2" t="s">
        <v>29</v>
      </c>
      <c r="E1767" s="2" t="s">
        <v>25</v>
      </c>
      <c r="F1767" s="5">
        <v>7234.0</v>
      </c>
      <c r="G1767" s="5">
        <v>496.0</v>
      </c>
      <c r="H1767" s="5">
        <v>0.0687</v>
      </c>
      <c r="I1767" s="5">
        <v>0.71</v>
      </c>
      <c r="J1767" s="5">
        <v>352.16</v>
      </c>
      <c r="K1767" s="5">
        <v>10.0</v>
      </c>
      <c r="L1767" s="5">
        <v>35.22</v>
      </c>
      <c r="M1767" s="5">
        <v>399.8</v>
      </c>
      <c r="N1767" s="5">
        <v>1.14</v>
      </c>
      <c r="O1767" s="6">
        <f t="shared" si="1"/>
        <v>35.216</v>
      </c>
      <c r="P1767" s="6" t="str">
        <f t="shared" si="2"/>
        <v>Post-Shift</v>
      </c>
      <c r="Q1767" s="3">
        <f t="shared" si="3"/>
        <v>48</v>
      </c>
    </row>
    <row r="1768">
      <c r="A1768" s="4">
        <v>45356.0</v>
      </c>
      <c r="B1768" s="2" t="s">
        <v>38</v>
      </c>
      <c r="C1768" s="2" t="s">
        <v>31</v>
      </c>
      <c r="D1768" s="2" t="s">
        <v>20</v>
      </c>
      <c r="E1768" s="2" t="s">
        <v>58</v>
      </c>
      <c r="F1768" s="5">
        <v>143541.0</v>
      </c>
      <c r="G1768" s="5">
        <v>1980.0</v>
      </c>
      <c r="H1768" s="5">
        <v>0.0138</v>
      </c>
      <c r="I1768" s="5">
        <v>1.41</v>
      </c>
      <c r="J1768" s="5">
        <v>2791.8</v>
      </c>
      <c r="K1768" s="5">
        <v>152.0</v>
      </c>
      <c r="L1768" s="5">
        <v>18.37</v>
      </c>
      <c r="M1768" s="5">
        <v>42063.3</v>
      </c>
      <c r="N1768" s="5">
        <v>15.07</v>
      </c>
      <c r="O1768" s="6">
        <f t="shared" si="1"/>
        <v>18.36710526</v>
      </c>
      <c r="P1768" s="6" t="str">
        <f t="shared" si="2"/>
        <v>Baseline</v>
      </c>
      <c r="Q1768" s="3">
        <f t="shared" si="3"/>
        <v>18</v>
      </c>
    </row>
    <row r="1769">
      <c r="A1769" s="4" t="s">
        <v>67</v>
      </c>
      <c r="B1769" s="2" t="s">
        <v>23</v>
      </c>
      <c r="C1769" s="2" t="s">
        <v>27</v>
      </c>
      <c r="D1769" s="2" t="s">
        <v>24</v>
      </c>
      <c r="E1769" s="2" t="s">
        <v>56</v>
      </c>
      <c r="F1769" s="5">
        <v>5497.0</v>
      </c>
      <c r="G1769" s="5">
        <v>231.0</v>
      </c>
      <c r="H1769" s="5">
        <v>0.0422</v>
      </c>
      <c r="I1769" s="5">
        <v>1.38</v>
      </c>
      <c r="J1769" s="5">
        <v>318.78</v>
      </c>
      <c r="K1769" s="5">
        <v>18.0</v>
      </c>
      <c r="L1769" s="5">
        <v>17.71</v>
      </c>
      <c r="M1769" s="5">
        <v>4467.32</v>
      </c>
      <c r="N1769" s="5">
        <v>14.01</v>
      </c>
      <c r="O1769" s="6">
        <f t="shared" si="1"/>
        <v>17.71</v>
      </c>
      <c r="P1769" s="6" t="str">
        <f t="shared" si="2"/>
        <v>Post-Shift</v>
      </c>
      <c r="Q1769" s="3">
        <f t="shared" si="3"/>
        <v>12</v>
      </c>
    </row>
    <row r="1770">
      <c r="A1770" s="4">
        <v>45354.0</v>
      </c>
      <c r="B1770" s="2" t="s">
        <v>38</v>
      </c>
      <c r="C1770" s="2" t="s">
        <v>41</v>
      </c>
      <c r="D1770" s="2" t="s">
        <v>24</v>
      </c>
      <c r="E1770" s="2" t="s">
        <v>25</v>
      </c>
      <c r="F1770" s="5">
        <v>160478.0</v>
      </c>
      <c r="G1770" s="5">
        <v>4413.0</v>
      </c>
      <c r="H1770" s="5">
        <v>0.0275</v>
      </c>
      <c r="I1770" s="5">
        <v>1.02</v>
      </c>
      <c r="J1770" s="5">
        <v>4501.26</v>
      </c>
      <c r="K1770" s="5">
        <v>82.0</v>
      </c>
      <c r="L1770" s="5">
        <v>54.89</v>
      </c>
      <c r="M1770" s="5">
        <v>13362.88</v>
      </c>
      <c r="N1770" s="5">
        <v>2.97</v>
      </c>
      <c r="O1770" s="6">
        <f t="shared" si="1"/>
        <v>54.89341463</v>
      </c>
      <c r="P1770" s="6" t="str">
        <f t="shared" si="2"/>
        <v>Baseline</v>
      </c>
      <c r="Q1770" s="3">
        <f t="shared" si="3"/>
        <v>10</v>
      </c>
    </row>
    <row r="1771">
      <c r="A1771" s="4" t="s">
        <v>66</v>
      </c>
      <c r="B1771" s="2" t="s">
        <v>18</v>
      </c>
      <c r="C1771" s="2" t="s">
        <v>27</v>
      </c>
      <c r="D1771" s="2" t="s">
        <v>45</v>
      </c>
      <c r="E1771" s="2" t="s">
        <v>25</v>
      </c>
      <c r="F1771" s="5">
        <v>116011.0</v>
      </c>
      <c r="G1771" s="5">
        <v>2726.0</v>
      </c>
      <c r="H1771" s="5">
        <v>0.0235</v>
      </c>
      <c r="I1771" s="5">
        <v>1.96</v>
      </c>
      <c r="J1771" s="5">
        <v>5342.96</v>
      </c>
      <c r="K1771" s="5">
        <v>127.0</v>
      </c>
      <c r="L1771" s="5">
        <v>42.07</v>
      </c>
      <c r="M1771" s="5">
        <v>4188.78</v>
      </c>
      <c r="N1771" s="5">
        <v>0.78</v>
      </c>
      <c r="O1771" s="6">
        <f t="shared" si="1"/>
        <v>42.07055118</v>
      </c>
      <c r="P1771" s="6" t="str">
        <f t="shared" si="2"/>
        <v>Post-Shift</v>
      </c>
      <c r="Q1771" s="3">
        <f t="shared" si="3"/>
        <v>42</v>
      </c>
    </row>
    <row r="1772">
      <c r="A1772" s="4" t="s">
        <v>233</v>
      </c>
      <c r="B1772" s="2" t="s">
        <v>38</v>
      </c>
      <c r="C1772" s="2" t="s">
        <v>19</v>
      </c>
      <c r="D1772" s="2" t="s">
        <v>24</v>
      </c>
      <c r="E1772" s="2" t="s">
        <v>33</v>
      </c>
      <c r="F1772" s="5">
        <v>166243.0</v>
      </c>
      <c r="G1772" s="5">
        <v>1895.0</v>
      </c>
      <c r="H1772" s="5">
        <v>0.0114</v>
      </c>
      <c r="I1772" s="5">
        <v>0.92</v>
      </c>
      <c r="J1772" s="5">
        <v>1743.4</v>
      </c>
      <c r="K1772" s="5">
        <v>51.0</v>
      </c>
      <c r="L1772" s="5">
        <v>34.18</v>
      </c>
      <c r="M1772" s="5">
        <v>5887.21</v>
      </c>
      <c r="N1772" s="5">
        <v>3.38</v>
      </c>
      <c r="O1772" s="6">
        <f t="shared" si="1"/>
        <v>34.18431373</v>
      </c>
      <c r="P1772" s="6" t="str">
        <f t="shared" si="2"/>
        <v>Post-Shift</v>
      </c>
      <c r="Q1772" s="3">
        <f t="shared" si="3"/>
        <v>38</v>
      </c>
    </row>
    <row r="1773">
      <c r="A1773" s="4" t="s">
        <v>182</v>
      </c>
      <c r="B1773" s="2" t="s">
        <v>23</v>
      </c>
      <c r="C1773" s="2" t="s">
        <v>27</v>
      </c>
      <c r="D1773" s="2" t="s">
        <v>45</v>
      </c>
      <c r="E1773" s="2" t="s">
        <v>58</v>
      </c>
      <c r="F1773" s="5">
        <v>62868.0</v>
      </c>
      <c r="G1773" s="5">
        <v>2715.0</v>
      </c>
      <c r="H1773" s="5">
        <v>0.0432</v>
      </c>
      <c r="I1773" s="5">
        <v>1.6</v>
      </c>
      <c r="J1773" s="5">
        <v>4344.0</v>
      </c>
      <c r="K1773" s="5">
        <v>180.0</v>
      </c>
      <c r="L1773" s="5">
        <v>24.13</v>
      </c>
      <c r="M1773" s="5">
        <v>35590.01</v>
      </c>
      <c r="N1773" s="5">
        <v>8.19</v>
      </c>
      <c r="O1773" s="6">
        <f t="shared" si="1"/>
        <v>24.13333333</v>
      </c>
      <c r="P1773" s="6" t="str">
        <f t="shared" si="2"/>
        <v>Post-Shift</v>
      </c>
      <c r="Q1773" s="3">
        <f t="shared" si="3"/>
        <v>3</v>
      </c>
    </row>
    <row r="1774">
      <c r="A1774" s="4" t="s">
        <v>105</v>
      </c>
      <c r="B1774" s="2" t="s">
        <v>18</v>
      </c>
      <c r="C1774" s="2" t="s">
        <v>27</v>
      </c>
      <c r="D1774" s="2" t="s">
        <v>24</v>
      </c>
      <c r="E1774" s="2" t="s">
        <v>21</v>
      </c>
      <c r="F1774" s="5">
        <v>132953.0</v>
      </c>
      <c r="G1774" s="5">
        <v>8163.0</v>
      </c>
      <c r="H1774" s="5">
        <v>0.0614</v>
      </c>
      <c r="I1774" s="5">
        <v>2.76</v>
      </c>
      <c r="J1774" s="5">
        <v>22529.88</v>
      </c>
      <c r="K1774" s="5">
        <v>130.0</v>
      </c>
      <c r="L1774" s="5">
        <v>173.31</v>
      </c>
      <c r="M1774" s="5">
        <v>16572.4</v>
      </c>
      <c r="N1774" s="5">
        <v>0.74</v>
      </c>
      <c r="O1774" s="6">
        <f t="shared" si="1"/>
        <v>173.3067692</v>
      </c>
      <c r="P1774" s="6" t="str">
        <f t="shared" si="2"/>
        <v>Post-Shift</v>
      </c>
      <c r="Q1774" s="3">
        <f t="shared" si="3"/>
        <v>51</v>
      </c>
    </row>
    <row r="1775">
      <c r="A1775" s="4">
        <v>45599.0</v>
      </c>
      <c r="B1775" s="2" t="s">
        <v>38</v>
      </c>
      <c r="C1775" s="2" t="s">
        <v>41</v>
      </c>
      <c r="D1775" s="2" t="s">
        <v>29</v>
      </c>
      <c r="E1775" s="2" t="s">
        <v>21</v>
      </c>
      <c r="F1775" s="5">
        <v>107326.0</v>
      </c>
      <c r="G1775" s="5">
        <v>2436.0</v>
      </c>
      <c r="H1775" s="5">
        <v>0.0227</v>
      </c>
      <c r="I1775" s="5">
        <v>0.77</v>
      </c>
      <c r="J1775" s="5">
        <v>1875.72</v>
      </c>
      <c r="K1775" s="5">
        <v>84.0</v>
      </c>
      <c r="L1775" s="5">
        <v>22.33</v>
      </c>
      <c r="M1775" s="5">
        <v>5936.35</v>
      </c>
      <c r="N1775" s="5">
        <v>3.16</v>
      </c>
      <c r="O1775" s="6">
        <f t="shared" si="1"/>
        <v>22.33</v>
      </c>
      <c r="P1775" s="6" t="str">
        <f t="shared" si="2"/>
        <v>Post-Shift</v>
      </c>
      <c r="Q1775" s="3">
        <f t="shared" si="3"/>
        <v>11</v>
      </c>
    </row>
    <row r="1776">
      <c r="A1776" s="4" t="s">
        <v>180</v>
      </c>
      <c r="B1776" s="2" t="s">
        <v>23</v>
      </c>
      <c r="C1776" s="2" t="s">
        <v>19</v>
      </c>
      <c r="D1776" s="2" t="s">
        <v>45</v>
      </c>
      <c r="E1776" s="2" t="s">
        <v>58</v>
      </c>
      <c r="F1776" s="5">
        <v>24854.0</v>
      </c>
      <c r="G1776" s="5">
        <v>1106.0</v>
      </c>
      <c r="H1776" s="5">
        <v>0.0445</v>
      </c>
      <c r="I1776" s="5">
        <v>1.14</v>
      </c>
      <c r="J1776" s="5">
        <v>1260.84</v>
      </c>
      <c r="K1776" s="5">
        <v>38.0</v>
      </c>
      <c r="L1776" s="5">
        <v>33.18</v>
      </c>
      <c r="M1776" s="5">
        <v>8735.32</v>
      </c>
      <c r="N1776" s="5">
        <v>6.93</v>
      </c>
      <c r="O1776" s="6">
        <f t="shared" si="1"/>
        <v>33.18</v>
      </c>
      <c r="P1776" s="6" t="str">
        <f t="shared" si="2"/>
        <v>Post-Shift</v>
      </c>
      <c r="Q1776" s="3">
        <f t="shared" si="3"/>
        <v>13</v>
      </c>
    </row>
    <row r="1777">
      <c r="A1777" s="4">
        <v>45416.0</v>
      </c>
      <c r="B1777" s="2" t="s">
        <v>18</v>
      </c>
      <c r="C1777" s="2" t="s">
        <v>41</v>
      </c>
      <c r="D1777" s="2" t="s">
        <v>29</v>
      </c>
      <c r="E1777" s="2" t="s">
        <v>56</v>
      </c>
      <c r="F1777" s="5">
        <v>175949.0</v>
      </c>
      <c r="G1777" s="5">
        <v>7108.0</v>
      </c>
      <c r="H1777" s="5">
        <v>0.0404</v>
      </c>
      <c r="I1777" s="5">
        <v>2.44</v>
      </c>
      <c r="J1777" s="5">
        <v>17343.52</v>
      </c>
      <c r="K1777" s="5">
        <v>75.0</v>
      </c>
      <c r="L1777" s="5">
        <v>231.25</v>
      </c>
      <c r="M1777" s="5">
        <v>22062.99</v>
      </c>
      <c r="N1777" s="5">
        <v>1.27</v>
      </c>
      <c r="O1777" s="6">
        <f t="shared" si="1"/>
        <v>231.2469333</v>
      </c>
      <c r="P1777" s="6" t="str">
        <f t="shared" si="2"/>
        <v>Baseline</v>
      </c>
      <c r="Q1777" s="3">
        <f t="shared" si="3"/>
        <v>14</v>
      </c>
    </row>
    <row r="1778">
      <c r="A1778" s="4" t="s">
        <v>263</v>
      </c>
      <c r="B1778" s="2" t="s">
        <v>23</v>
      </c>
      <c r="C1778" s="2" t="s">
        <v>31</v>
      </c>
      <c r="D1778" s="2" t="s">
        <v>24</v>
      </c>
      <c r="E1778" s="2" t="s">
        <v>30</v>
      </c>
      <c r="F1778" s="5">
        <v>131956.0</v>
      </c>
      <c r="G1778" s="5">
        <v>7772.0</v>
      </c>
      <c r="H1778" s="5">
        <v>0.0589</v>
      </c>
      <c r="I1778" s="5">
        <v>0.29</v>
      </c>
      <c r="J1778" s="5">
        <v>2253.88</v>
      </c>
      <c r="K1778" s="5">
        <v>211.0</v>
      </c>
      <c r="L1778" s="5">
        <v>10.68</v>
      </c>
      <c r="M1778" s="5">
        <v>23120.58</v>
      </c>
      <c r="N1778" s="5">
        <v>10.26</v>
      </c>
      <c r="O1778" s="6">
        <f t="shared" si="1"/>
        <v>10.68189573</v>
      </c>
      <c r="P1778" s="6" t="str">
        <f t="shared" si="2"/>
        <v>Post-Shift</v>
      </c>
      <c r="Q1778" s="3">
        <f t="shared" si="3"/>
        <v>52</v>
      </c>
    </row>
    <row r="1779">
      <c r="A1779" s="4">
        <v>45607.0</v>
      </c>
      <c r="B1779" s="2" t="s">
        <v>18</v>
      </c>
      <c r="C1779" s="2" t="s">
        <v>27</v>
      </c>
      <c r="D1779" s="2" t="s">
        <v>29</v>
      </c>
      <c r="E1779" s="2" t="s">
        <v>21</v>
      </c>
      <c r="F1779" s="5">
        <v>90096.0</v>
      </c>
      <c r="G1779" s="5">
        <v>4784.0</v>
      </c>
      <c r="H1779" s="5">
        <v>0.0531</v>
      </c>
      <c r="I1779" s="5">
        <v>3.17</v>
      </c>
      <c r="J1779" s="5">
        <v>15165.28</v>
      </c>
      <c r="K1779" s="5">
        <v>310.0</v>
      </c>
      <c r="L1779" s="5">
        <v>48.92</v>
      </c>
      <c r="M1779" s="5">
        <v>81015.37</v>
      </c>
      <c r="N1779" s="5">
        <v>5.34</v>
      </c>
      <c r="O1779" s="6">
        <f t="shared" si="1"/>
        <v>48.92025806</v>
      </c>
      <c r="P1779" s="6" t="str">
        <f t="shared" si="2"/>
        <v>Post-Shift</v>
      </c>
      <c r="Q1779" s="3">
        <f t="shared" si="3"/>
        <v>46</v>
      </c>
    </row>
    <row r="1780">
      <c r="A1780" s="4" t="s">
        <v>216</v>
      </c>
      <c r="B1780" s="2" t="s">
        <v>18</v>
      </c>
      <c r="C1780" s="2" t="s">
        <v>27</v>
      </c>
      <c r="D1780" s="2" t="s">
        <v>45</v>
      </c>
      <c r="E1780" s="2" t="s">
        <v>25</v>
      </c>
      <c r="F1780" s="5">
        <v>48766.0</v>
      </c>
      <c r="G1780" s="5">
        <v>1731.0</v>
      </c>
      <c r="H1780" s="5">
        <v>0.0355</v>
      </c>
      <c r="I1780" s="5">
        <v>1.04</v>
      </c>
      <c r="J1780" s="5">
        <v>1800.24</v>
      </c>
      <c r="K1780" s="5">
        <v>44.0</v>
      </c>
      <c r="L1780" s="5">
        <v>40.91</v>
      </c>
      <c r="M1780" s="5">
        <v>12477.84</v>
      </c>
      <c r="N1780" s="5">
        <v>6.93</v>
      </c>
      <c r="O1780" s="6">
        <f t="shared" si="1"/>
        <v>40.91454545</v>
      </c>
      <c r="P1780" s="6" t="str">
        <f t="shared" si="2"/>
        <v>Post-Shift</v>
      </c>
      <c r="Q1780" s="3">
        <f t="shared" si="3"/>
        <v>7</v>
      </c>
    </row>
    <row r="1781">
      <c r="A1781" s="4" t="s">
        <v>223</v>
      </c>
      <c r="B1781" s="2" t="s">
        <v>38</v>
      </c>
      <c r="C1781" s="2" t="s">
        <v>41</v>
      </c>
      <c r="D1781" s="2" t="s">
        <v>20</v>
      </c>
      <c r="E1781" s="2" t="s">
        <v>30</v>
      </c>
      <c r="F1781" s="5">
        <v>68989.0</v>
      </c>
      <c r="G1781" s="5">
        <v>2952.0</v>
      </c>
      <c r="H1781" s="5">
        <v>0.0428</v>
      </c>
      <c r="I1781" s="5">
        <v>1.79</v>
      </c>
      <c r="J1781" s="5">
        <v>5284.08</v>
      </c>
      <c r="K1781" s="5">
        <v>169.0</v>
      </c>
      <c r="L1781" s="5">
        <v>31.27</v>
      </c>
      <c r="M1781" s="5">
        <v>14776.11</v>
      </c>
      <c r="N1781" s="5">
        <v>2.8</v>
      </c>
      <c r="O1781" s="6">
        <f t="shared" si="1"/>
        <v>31.26674556</v>
      </c>
      <c r="P1781" s="6" t="str">
        <f t="shared" si="2"/>
        <v>Post-Shift</v>
      </c>
      <c r="Q1781" s="3">
        <f t="shared" si="3"/>
        <v>17</v>
      </c>
    </row>
    <row r="1782">
      <c r="A1782" s="4" t="s">
        <v>183</v>
      </c>
      <c r="B1782" s="2" t="s">
        <v>18</v>
      </c>
      <c r="C1782" s="2" t="s">
        <v>19</v>
      </c>
      <c r="D1782" s="2" t="s">
        <v>45</v>
      </c>
      <c r="E1782" s="2" t="s">
        <v>56</v>
      </c>
      <c r="F1782" s="5">
        <v>197557.0</v>
      </c>
      <c r="G1782" s="5">
        <v>4326.0</v>
      </c>
      <c r="H1782" s="5">
        <v>0.0219</v>
      </c>
      <c r="I1782" s="5">
        <v>1.18</v>
      </c>
      <c r="J1782" s="5">
        <v>5104.68</v>
      </c>
      <c r="K1782" s="5">
        <v>259.0</v>
      </c>
      <c r="L1782" s="5">
        <v>19.71</v>
      </c>
      <c r="M1782" s="5">
        <v>39016.05</v>
      </c>
      <c r="N1782" s="5">
        <v>7.64</v>
      </c>
      <c r="O1782" s="6">
        <f t="shared" si="1"/>
        <v>19.70918919</v>
      </c>
      <c r="P1782" s="6" t="str">
        <f t="shared" si="2"/>
        <v>Post-Shift</v>
      </c>
      <c r="Q1782" s="3">
        <f t="shared" si="3"/>
        <v>42</v>
      </c>
    </row>
    <row r="1783">
      <c r="A1783" s="4" t="s">
        <v>170</v>
      </c>
      <c r="B1783" s="2" t="s">
        <v>18</v>
      </c>
      <c r="C1783" s="2" t="s">
        <v>27</v>
      </c>
      <c r="D1783" s="2" t="s">
        <v>45</v>
      </c>
      <c r="E1783" s="2" t="s">
        <v>36</v>
      </c>
      <c r="F1783" s="5">
        <v>96178.0</v>
      </c>
      <c r="G1783" s="5">
        <v>4328.0</v>
      </c>
      <c r="H1783" s="5">
        <v>0.045</v>
      </c>
      <c r="I1783" s="5">
        <v>3.36</v>
      </c>
      <c r="J1783" s="5">
        <v>14542.08</v>
      </c>
      <c r="K1783" s="5">
        <v>275.0</v>
      </c>
      <c r="L1783" s="5">
        <v>52.88</v>
      </c>
      <c r="M1783" s="5">
        <v>37193.1</v>
      </c>
      <c r="N1783" s="5">
        <v>2.56</v>
      </c>
      <c r="O1783" s="6">
        <f t="shared" si="1"/>
        <v>52.88029091</v>
      </c>
      <c r="P1783" s="6" t="str">
        <f t="shared" si="2"/>
        <v>Post-Shift</v>
      </c>
      <c r="Q1783" s="3">
        <f t="shared" si="3"/>
        <v>20</v>
      </c>
    </row>
    <row r="1784">
      <c r="A1784" s="4">
        <v>45574.0</v>
      </c>
      <c r="B1784" s="2" t="s">
        <v>23</v>
      </c>
      <c r="C1784" s="2" t="s">
        <v>31</v>
      </c>
      <c r="D1784" s="2" t="s">
        <v>29</v>
      </c>
      <c r="E1784" s="2" t="s">
        <v>56</v>
      </c>
      <c r="F1784" s="5">
        <v>144940.0</v>
      </c>
      <c r="G1784" s="5">
        <v>5333.0</v>
      </c>
      <c r="H1784" s="5">
        <v>0.0368</v>
      </c>
      <c r="I1784" s="5">
        <v>1.31</v>
      </c>
      <c r="J1784" s="5">
        <v>6986.23</v>
      </c>
      <c r="K1784" s="5">
        <v>148.0</v>
      </c>
      <c r="L1784" s="5">
        <v>47.2</v>
      </c>
      <c r="M1784" s="5">
        <v>32610.09</v>
      </c>
      <c r="N1784" s="5">
        <v>4.67</v>
      </c>
      <c r="O1784" s="6">
        <f t="shared" si="1"/>
        <v>47.20425676</v>
      </c>
      <c r="P1784" s="6" t="str">
        <f t="shared" si="2"/>
        <v>Post-Shift</v>
      </c>
      <c r="Q1784" s="3">
        <f t="shared" si="3"/>
        <v>37</v>
      </c>
    </row>
    <row r="1785">
      <c r="A1785" s="4">
        <v>45630.0</v>
      </c>
      <c r="B1785" s="2" t="s">
        <v>23</v>
      </c>
      <c r="C1785" s="2" t="s">
        <v>31</v>
      </c>
      <c r="D1785" s="2" t="s">
        <v>32</v>
      </c>
      <c r="E1785" s="2" t="s">
        <v>21</v>
      </c>
      <c r="F1785" s="5">
        <v>152322.0</v>
      </c>
      <c r="G1785" s="5">
        <v>13678.0</v>
      </c>
      <c r="H1785" s="5">
        <v>0.0898</v>
      </c>
      <c r="I1785" s="5">
        <v>0.41</v>
      </c>
      <c r="J1785" s="5">
        <v>5607.98</v>
      </c>
      <c r="K1785" s="5">
        <v>813.0</v>
      </c>
      <c r="L1785" s="5">
        <v>6.9</v>
      </c>
      <c r="M1785" s="5">
        <v>103237.8</v>
      </c>
      <c r="N1785" s="5">
        <v>18.41</v>
      </c>
      <c r="O1785" s="6">
        <f t="shared" si="1"/>
        <v>6.897884379</v>
      </c>
      <c r="P1785" s="6" t="str">
        <f t="shared" si="2"/>
        <v>Post-Shift</v>
      </c>
      <c r="Q1785" s="3">
        <f t="shared" si="3"/>
        <v>15</v>
      </c>
    </row>
    <row r="1786">
      <c r="A1786" s="4" t="s">
        <v>207</v>
      </c>
      <c r="B1786" s="2" t="s">
        <v>18</v>
      </c>
      <c r="C1786" s="2" t="s">
        <v>41</v>
      </c>
      <c r="D1786" s="2" t="s">
        <v>24</v>
      </c>
      <c r="E1786" s="2" t="s">
        <v>58</v>
      </c>
      <c r="F1786" s="5">
        <v>89124.0</v>
      </c>
      <c r="G1786" s="5">
        <v>2664.0</v>
      </c>
      <c r="H1786" s="5">
        <v>0.0299</v>
      </c>
      <c r="I1786" s="5">
        <v>1.24</v>
      </c>
      <c r="J1786" s="5">
        <v>3303.36</v>
      </c>
      <c r="K1786" s="5">
        <v>198.0</v>
      </c>
      <c r="L1786" s="5">
        <v>16.68</v>
      </c>
      <c r="M1786" s="5">
        <v>52262.98</v>
      </c>
      <c r="N1786" s="5">
        <v>15.82</v>
      </c>
      <c r="O1786" s="6">
        <f t="shared" si="1"/>
        <v>16.68363636</v>
      </c>
      <c r="P1786" s="6" t="str">
        <f t="shared" si="2"/>
        <v>Post-Shift</v>
      </c>
      <c r="Q1786" s="3">
        <f t="shared" si="3"/>
        <v>34</v>
      </c>
    </row>
    <row r="1787">
      <c r="A1787" s="4" t="s">
        <v>108</v>
      </c>
      <c r="B1787" s="2" t="s">
        <v>18</v>
      </c>
      <c r="C1787" s="2" t="s">
        <v>27</v>
      </c>
      <c r="D1787" s="2" t="s">
        <v>20</v>
      </c>
      <c r="E1787" s="2" t="s">
        <v>56</v>
      </c>
      <c r="F1787" s="5">
        <v>126404.0</v>
      </c>
      <c r="G1787" s="5">
        <v>2073.0</v>
      </c>
      <c r="H1787" s="5">
        <v>0.0164</v>
      </c>
      <c r="I1787" s="5">
        <v>0.92</v>
      </c>
      <c r="J1787" s="5">
        <v>1907.16</v>
      </c>
      <c r="K1787" s="5">
        <v>24.0</v>
      </c>
      <c r="L1787" s="5">
        <v>79.47</v>
      </c>
      <c r="M1787" s="5">
        <v>3807.61</v>
      </c>
      <c r="N1787" s="5">
        <v>2.0</v>
      </c>
      <c r="O1787" s="6">
        <f t="shared" si="1"/>
        <v>79.465</v>
      </c>
      <c r="P1787" s="6" t="str">
        <f t="shared" si="2"/>
        <v>Post-Shift</v>
      </c>
      <c r="Q1787" s="3">
        <f t="shared" si="3"/>
        <v>50</v>
      </c>
    </row>
    <row r="1788">
      <c r="A1788" s="4" t="s">
        <v>232</v>
      </c>
      <c r="B1788" s="2" t="s">
        <v>38</v>
      </c>
      <c r="C1788" s="2" t="s">
        <v>19</v>
      </c>
      <c r="D1788" s="2" t="s">
        <v>29</v>
      </c>
      <c r="E1788" s="2" t="s">
        <v>36</v>
      </c>
      <c r="F1788" s="5">
        <v>84654.0</v>
      </c>
      <c r="G1788" s="5">
        <v>2937.0</v>
      </c>
      <c r="H1788" s="5">
        <v>0.0347</v>
      </c>
      <c r="I1788" s="5">
        <v>1.84</v>
      </c>
      <c r="J1788" s="5">
        <v>5404.08</v>
      </c>
      <c r="K1788" s="5">
        <v>104.0</v>
      </c>
      <c r="L1788" s="5">
        <v>51.96</v>
      </c>
      <c r="M1788" s="5">
        <v>30747.28</v>
      </c>
      <c r="N1788" s="5">
        <v>5.69</v>
      </c>
      <c r="O1788" s="6">
        <f t="shared" si="1"/>
        <v>51.96230769</v>
      </c>
      <c r="P1788" s="6" t="str">
        <f t="shared" si="2"/>
        <v>Post-Shift</v>
      </c>
      <c r="Q1788" s="3">
        <f t="shared" si="3"/>
        <v>47</v>
      </c>
    </row>
    <row r="1789">
      <c r="A1789" s="4" t="s">
        <v>193</v>
      </c>
      <c r="B1789" s="2" t="s">
        <v>38</v>
      </c>
      <c r="C1789" s="2" t="s">
        <v>27</v>
      </c>
      <c r="D1789" s="2" t="s">
        <v>24</v>
      </c>
      <c r="E1789" s="2" t="s">
        <v>33</v>
      </c>
      <c r="F1789" s="5">
        <v>95987.0</v>
      </c>
      <c r="G1789" s="5">
        <v>1919.0</v>
      </c>
      <c r="H1789" s="5">
        <v>0.02</v>
      </c>
      <c r="I1789" s="5">
        <v>1.71</v>
      </c>
      <c r="J1789" s="5">
        <v>3281.49</v>
      </c>
      <c r="K1789" s="5">
        <v>124.0</v>
      </c>
      <c r="L1789" s="5">
        <v>26.46</v>
      </c>
      <c r="M1789" s="5">
        <v>28533.79</v>
      </c>
      <c r="N1789" s="5">
        <v>8.7</v>
      </c>
      <c r="O1789" s="6">
        <f t="shared" si="1"/>
        <v>26.46362903</v>
      </c>
      <c r="P1789" s="6" t="str">
        <f t="shared" si="2"/>
        <v>Post-Shift</v>
      </c>
      <c r="Q1789" s="3">
        <f t="shared" si="3"/>
        <v>25</v>
      </c>
    </row>
    <row r="1790">
      <c r="A1790" s="4">
        <v>45297.0</v>
      </c>
      <c r="B1790" s="2" t="s">
        <v>18</v>
      </c>
      <c r="C1790" s="2" t="s">
        <v>31</v>
      </c>
      <c r="D1790" s="2" t="s">
        <v>32</v>
      </c>
      <c r="E1790" s="2" t="s">
        <v>21</v>
      </c>
      <c r="F1790" s="5">
        <v>154088.0</v>
      </c>
      <c r="G1790" s="5">
        <v>9106.0</v>
      </c>
      <c r="H1790" s="5">
        <v>0.0591</v>
      </c>
      <c r="I1790" s="5">
        <v>3.24</v>
      </c>
      <c r="J1790" s="5">
        <v>29503.44</v>
      </c>
      <c r="K1790" s="5">
        <v>294.0</v>
      </c>
      <c r="L1790" s="5">
        <v>100.35</v>
      </c>
      <c r="M1790" s="5">
        <v>42565.78</v>
      </c>
      <c r="N1790" s="5">
        <v>1.44</v>
      </c>
      <c r="O1790" s="6">
        <f t="shared" si="1"/>
        <v>100.3518367</v>
      </c>
      <c r="P1790" s="6" t="str">
        <f t="shared" si="2"/>
        <v>Baseline</v>
      </c>
      <c r="Q1790" s="3">
        <f t="shared" si="3"/>
        <v>22</v>
      </c>
    </row>
    <row r="1791">
      <c r="A1791" s="4" t="s">
        <v>49</v>
      </c>
      <c r="B1791" s="2" t="s">
        <v>23</v>
      </c>
      <c r="C1791" s="2" t="s">
        <v>19</v>
      </c>
      <c r="D1791" s="2" t="s">
        <v>24</v>
      </c>
      <c r="E1791" s="2" t="s">
        <v>58</v>
      </c>
      <c r="F1791" s="5">
        <v>71883.0</v>
      </c>
      <c r="G1791" s="5">
        <v>2077.0</v>
      </c>
      <c r="H1791" s="5">
        <v>0.0289</v>
      </c>
      <c r="I1791" s="5">
        <v>1.71</v>
      </c>
      <c r="J1791" s="5">
        <v>3551.67</v>
      </c>
      <c r="K1791" s="5">
        <v>87.0</v>
      </c>
      <c r="L1791" s="5">
        <v>40.82</v>
      </c>
      <c r="M1791" s="5">
        <v>12811.32</v>
      </c>
      <c r="N1791" s="5">
        <v>3.61</v>
      </c>
      <c r="O1791" s="6">
        <f t="shared" si="1"/>
        <v>40.8237931</v>
      </c>
      <c r="P1791" s="6" t="str">
        <f t="shared" si="2"/>
        <v>Post-Shift</v>
      </c>
      <c r="Q1791" s="3">
        <f t="shared" si="3"/>
        <v>9</v>
      </c>
    </row>
    <row r="1792">
      <c r="A1792" s="4" t="s">
        <v>211</v>
      </c>
      <c r="B1792" s="2" t="s">
        <v>38</v>
      </c>
      <c r="C1792" s="2" t="s">
        <v>31</v>
      </c>
      <c r="D1792" s="2" t="s">
        <v>45</v>
      </c>
      <c r="E1792" s="2" t="s">
        <v>21</v>
      </c>
      <c r="F1792" s="5">
        <v>133716.0</v>
      </c>
      <c r="G1792" s="5">
        <v>1617.0</v>
      </c>
      <c r="H1792" s="5">
        <v>0.0121</v>
      </c>
      <c r="I1792" s="5">
        <v>0.85</v>
      </c>
      <c r="J1792" s="5">
        <v>1374.45</v>
      </c>
      <c r="K1792" s="5">
        <v>48.0</v>
      </c>
      <c r="L1792" s="5">
        <v>28.63</v>
      </c>
      <c r="M1792" s="5">
        <v>3570.09</v>
      </c>
      <c r="N1792" s="5">
        <v>2.6</v>
      </c>
      <c r="O1792" s="6">
        <f t="shared" si="1"/>
        <v>28.634375</v>
      </c>
      <c r="P1792" s="6" t="str">
        <f t="shared" si="2"/>
        <v>Post-Shift</v>
      </c>
      <c r="Q1792" s="3">
        <f t="shared" si="3"/>
        <v>30</v>
      </c>
    </row>
    <row r="1793">
      <c r="A1793" s="4" t="s">
        <v>60</v>
      </c>
      <c r="B1793" s="2" t="s">
        <v>23</v>
      </c>
      <c r="C1793" s="2" t="s">
        <v>41</v>
      </c>
      <c r="D1793" s="2" t="s">
        <v>20</v>
      </c>
      <c r="E1793" s="2" t="s">
        <v>33</v>
      </c>
      <c r="F1793" s="5">
        <v>43319.0</v>
      </c>
      <c r="G1793" s="5">
        <v>2534.0</v>
      </c>
      <c r="H1793" s="5">
        <v>0.0585</v>
      </c>
      <c r="I1793" s="5">
        <v>1.66</v>
      </c>
      <c r="J1793" s="5">
        <v>4206.44</v>
      </c>
      <c r="K1793" s="5">
        <v>111.0</v>
      </c>
      <c r="L1793" s="5">
        <v>37.9</v>
      </c>
      <c r="M1793" s="5">
        <v>10456.87</v>
      </c>
      <c r="N1793" s="5">
        <v>2.49</v>
      </c>
      <c r="O1793" s="6">
        <f t="shared" si="1"/>
        <v>37.89585586</v>
      </c>
      <c r="P1793" s="6" t="str">
        <f t="shared" si="2"/>
        <v>Post-Shift</v>
      </c>
      <c r="Q1793" s="3">
        <f t="shared" si="3"/>
        <v>52</v>
      </c>
    </row>
    <row r="1794">
      <c r="A1794" s="4">
        <v>45360.0</v>
      </c>
      <c r="B1794" s="2" t="s">
        <v>18</v>
      </c>
      <c r="C1794" s="2" t="s">
        <v>19</v>
      </c>
      <c r="D1794" s="2" t="s">
        <v>45</v>
      </c>
      <c r="E1794" s="2" t="s">
        <v>56</v>
      </c>
      <c r="F1794" s="5">
        <v>144911.0</v>
      </c>
      <c r="G1794" s="5">
        <v>7897.0</v>
      </c>
      <c r="H1794" s="5">
        <v>0.0545</v>
      </c>
      <c r="I1794" s="5">
        <v>1.63</v>
      </c>
      <c r="J1794" s="5">
        <v>12872.11</v>
      </c>
      <c r="K1794" s="5">
        <v>555.0</v>
      </c>
      <c r="L1794" s="5">
        <v>23.19</v>
      </c>
      <c r="M1794" s="5">
        <v>21004.5</v>
      </c>
      <c r="N1794" s="5">
        <v>1.63</v>
      </c>
      <c r="O1794" s="6">
        <f t="shared" si="1"/>
        <v>23.19299099</v>
      </c>
      <c r="P1794" s="6" t="str">
        <f t="shared" si="2"/>
        <v>Baseline</v>
      </c>
      <c r="Q1794" s="3">
        <f t="shared" si="3"/>
        <v>36</v>
      </c>
    </row>
    <row r="1795">
      <c r="A1795" s="4" t="s">
        <v>239</v>
      </c>
      <c r="B1795" s="2" t="s">
        <v>18</v>
      </c>
      <c r="C1795" s="2" t="s">
        <v>19</v>
      </c>
      <c r="D1795" s="2" t="s">
        <v>20</v>
      </c>
      <c r="E1795" s="2" t="s">
        <v>21</v>
      </c>
      <c r="F1795" s="5">
        <v>180634.0</v>
      </c>
      <c r="G1795" s="5">
        <v>7821.0</v>
      </c>
      <c r="H1795" s="5">
        <v>0.0433</v>
      </c>
      <c r="I1795" s="5">
        <v>2.21</v>
      </c>
      <c r="J1795" s="5">
        <v>17284.41</v>
      </c>
      <c r="K1795" s="5">
        <v>581.0</v>
      </c>
      <c r="L1795" s="5">
        <v>29.75</v>
      </c>
      <c r="M1795" s="5">
        <v>136556.3</v>
      </c>
      <c r="N1795" s="5">
        <v>7.9</v>
      </c>
      <c r="O1795" s="6">
        <f t="shared" si="1"/>
        <v>29.7494148</v>
      </c>
      <c r="P1795" s="6" t="str">
        <f t="shared" si="2"/>
        <v>Post-Shift</v>
      </c>
      <c r="Q1795" s="3">
        <f t="shared" si="3"/>
        <v>43</v>
      </c>
    </row>
    <row r="1796">
      <c r="A1796" s="4">
        <v>45353.0</v>
      </c>
      <c r="B1796" s="2" t="s">
        <v>38</v>
      </c>
      <c r="C1796" s="2" t="s">
        <v>41</v>
      </c>
      <c r="D1796" s="2" t="s">
        <v>24</v>
      </c>
      <c r="E1796" s="2" t="s">
        <v>58</v>
      </c>
      <c r="F1796" s="5">
        <v>76095.0</v>
      </c>
      <c r="G1796" s="5">
        <v>2031.0</v>
      </c>
      <c r="H1796" s="5">
        <v>0.0267</v>
      </c>
      <c r="I1796" s="5">
        <v>1.49</v>
      </c>
      <c r="J1796" s="5">
        <v>3026.19</v>
      </c>
      <c r="K1796" s="5">
        <v>135.0</v>
      </c>
      <c r="L1796" s="5">
        <v>22.42</v>
      </c>
      <c r="M1796" s="5">
        <v>33172.87</v>
      </c>
      <c r="N1796" s="5">
        <v>10.96</v>
      </c>
      <c r="O1796" s="6">
        <f t="shared" si="1"/>
        <v>22.41622222</v>
      </c>
      <c r="P1796" s="6" t="str">
        <f t="shared" si="2"/>
        <v>Baseline</v>
      </c>
      <c r="Q1796" s="3">
        <f t="shared" si="3"/>
        <v>5</v>
      </c>
    </row>
    <row r="1797">
      <c r="A1797" s="4">
        <v>45603.0</v>
      </c>
      <c r="B1797" s="2" t="s">
        <v>23</v>
      </c>
      <c r="C1797" s="2" t="s">
        <v>27</v>
      </c>
      <c r="D1797" s="2" t="s">
        <v>45</v>
      </c>
      <c r="E1797" s="2" t="s">
        <v>33</v>
      </c>
      <c r="F1797" s="5">
        <v>180128.0</v>
      </c>
      <c r="G1797" s="5">
        <v>10555.0</v>
      </c>
      <c r="H1797" s="5">
        <v>0.0586</v>
      </c>
      <c r="I1797" s="5">
        <v>0.84</v>
      </c>
      <c r="J1797" s="5">
        <v>8866.2</v>
      </c>
      <c r="K1797" s="5">
        <v>707.0</v>
      </c>
      <c r="L1797" s="5">
        <v>12.54</v>
      </c>
      <c r="M1797" s="5">
        <v>200566.9</v>
      </c>
      <c r="N1797" s="5">
        <v>22.62</v>
      </c>
      <c r="O1797" s="6">
        <f t="shared" si="1"/>
        <v>12.54059406</v>
      </c>
      <c r="P1797" s="6" t="str">
        <f t="shared" si="2"/>
        <v>Post-Shift</v>
      </c>
      <c r="Q1797" s="3">
        <f t="shared" si="3"/>
        <v>28</v>
      </c>
    </row>
    <row r="1798">
      <c r="A1798" s="4" t="s">
        <v>77</v>
      </c>
      <c r="B1798" s="2" t="s">
        <v>38</v>
      </c>
      <c r="C1798" s="2" t="s">
        <v>41</v>
      </c>
      <c r="D1798" s="2" t="s">
        <v>24</v>
      </c>
      <c r="E1798" s="2" t="s">
        <v>58</v>
      </c>
      <c r="F1798" s="5">
        <v>169849.0</v>
      </c>
      <c r="G1798" s="5">
        <v>5927.0</v>
      </c>
      <c r="H1798" s="5">
        <v>0.0349</v>
      </c>
      <c r="I1798" s="5">
        <v>0.94</v>
      </c>
      <c r="J1798" s="5">
        <v>5571.38</v>
      </c>
      <c r="K1798" s="5">
        <v>437.0</v>
      </c>
      <c r="L1798" s="5">
        <v>12.75</v>
      </c>
      <c r="M1798" s="5">
        <v>105321.9</v>
      </c>
      <c r="N1798" s="5">
        <v>18.9</v>
      </c>
      <c r="O1798" s="6">
        <f t="shared" si="1"/>
        <v>12.74915332</v>
      </c>
      <c r="P1798" s="6" t="str">
        <f t="shared" si="2"/>
        <v>Post-Shift</v>
      </c>
      <c r="Q1798" s="3">
        <f t="shared" si="3"/>
        <v>26</v>
      </c>
    </row>
    <row r="1799">
      <c r="A1799" s="4">
        <v>45294.0</v>
      </c>
      <c r="B1799" s="2" t="s">
        <v>38</v>
      </c>
      <c r="C1799" s="2" t="s">
        <v>27</v>
      </c>
      <c r="D1799" s="2" t="s">
        <v>20</v>
      </c>
      <c r="E1799" s="2" t="s">
        <v>58</v>
      </c>
      <c r="F1799" s="5">
        <v>122974.0</v>
      </c>
      <c r="G1799" s="5">
        <v>2939.0</v>
      </c>
      <c r="H1799" s="5">
        <v>0.0239</v>
      </c>
      <c r="I1799" s="5">
        <v>1.85</v>
      </c>
      <c r="J1799" s="5">
        <v>5437.15</v>
      </c>
      <c r="K1799" s="5">
        <v>91.0</v>
      </c>
      <c r="L1799" s="5">
        <v>59.75</v>
      </c>
      <c r="M1799" s="5">
        <v>26004.98</v>
      </c>
      <c r="N1799" s="5">
        <v>4.78</v>
      </c>
      <c r="O1799" s="6">
        <f t="shared" si="1"/>
        <v>59.7489011</v>
      </c>
      <c r="P1799" s="6" t="str">
        <f t="shared" si="2"/>
        <v>Baseline</v>
      </c>
      <c r="Q1799" s="3">
        <f t="shared" si="3"/>
        <v>9</v>
      </c>
    </row>
    <row r="1800">
      <c r="A1800" s="4">
        <v>45330.0</v>
      </c>
      <c r="B1800" s="2" t="s">
        <v>18</v>
      </c>
      <c r="C1800" s="2" t="s">
        <v>19</v>
      </c>
      <c r="D1800" s="2" t="s">
        <v>45</v>
      </c>
      <c r="E1800" s="2" t="s">
        <v>30</v>
      </c>
      <c r="F1800" s="5">
        <v>28553.0</v>
      </c>
      <c r="G1800" s="5">
        <v>850.0</v>
      </c>
      <c r="H1800" s="5">
        <v>0.0298</v>
      </c>
      <c r="I1800" s="5">
        <v>2.06</v>
      </c>
      <c r="J1800" s="5">
        <v>1751.0</v>
      </c>
      <c r="K1800" s="5">
        <v>51.0</v>
      </c>
      <c r="L1800" s="5">
        <v>34.33</v>
      </c>
      <c r="M1800" s="8">
        <v>13010.72</v>
      </c>
      <c r="N1800" s="5">
        <v>7.43</v>
      </c>
      <c r="O1800" s="6">
        <f t="shared" si="1"/>
        <v>34.33333333</v>
      </c>
      <c r="P1800" s="6" t="str">
        <f t="shared" si="2"/>
        <v>Baseline</v>
      </c>
      <c r="Q1800" s="3">
        <f t="shared" si="3"/>
        <v>31</v>
      </c>
    </row>
    <row r="1801">
      <c r="A1801" s="4" t="s">
        <v>177</v>
      </c>
      <c r="B1801" s="2" t="s">
        <v>38</v>
      </c>
      <c r="C1801" s="2" t="s">
        <v>41</v>
      </c>
      <c r="D1801" s="2" t="s">
        <v>24</v>
      </c>
      <c r="E1801" s="2" t="s">
        <v>25</v>
      </c>
      <c r="F1801" s="5">
        <v>77447.0</v>
      </c>
      <c r="G1801" s="5">
        <v>906.0</v>
      </c>
      <c r="H1801" s="5">
        <v>0.0117</v>
      </c>
      <c r="I1801" s="5">
        <v>1.15</v>
      </c>
      <c r="J1801" s="5">
        <v>1041.9</v>
      </c>
      <c r="K1801" s="5">
        <v>29.0</v>
      </c>
      <c r="L1801" s="5">
        <v>35.93</v>
      </c>
      <c r="M1801" s="5">
        <v>8284.13</v>
      </c>
      <c r="N1801" s="5">
        <v>7.95</v>
      </c>
      <c r="O1801" s="6">
        <f t="shared" si="1"/>
        <v>35.92758621</v>
      </c>
      <c r="P1801" s="6" t="str">
        <f t="shared" si="2"/>
        <v>Post-Shift</v>
      </c>
      <c r="Q1801" s="3">
        <f t="shared" si="3"/>
        <v>5</v>
      </c>
    </row>
    <row r="1802">
      <c r="A1802" s="9"/>
    </row>
    <row r="1803">
      <c r="A1803" s="9"/>
    </row>
    <row r="1804">
      <c r="A1804" s="9"/>
    </row>
    <row r="1805">
      <c r="A1805" s="9"/>
    </row>
    <row r="1806">
      <c r="A1806" s="9"/>
    </row>
    <row r="1807">
      <c r="A1807" s="9"/>
    </row>
    <row r="1808">
      <c r="A1808" s="9"/>
    </row>
    <row r="1809">
      <c r="A1809" s="9"/>
    </row>
    <row r="1810">
      <c r="A1810" s="9"/>
    </row>
    <row r="1811">
      <c r="A1811" s="9"/>
    </row>
    <row r="1812">
      <c r="A1812" s="9"/>
    </row>
    <row r="1813">
      <c r="A1813" s="9"/>
    </row>
    <row r="1814">
      <c r="A1814" s="9"/>
    </row>
    <row r="1815">
      <c r="A1815" s="9"/>
    </row>
    <row r="1816">
      <c r="A1816" s="9"/>
    </row>
    <row r="1817">
      <c r="A1817" s="9"/>
    </row>
    <row r="1818">
      <c r="A1818" s="9"/>
    </row>
    <row r="1819">
      <c r="A1819" s="9"/>
    </row>
    <row r="1820">
      <c r="A1820" s="9"/>
    </row>
    <row r="1821">
      <c r="A1821" s="9"/>
    </row>
    <row r="1822">
      <c r="A1822" s="9"/>
    </row>
    <row r="1823">
      <c r="A1823" s="9"/>
    </row>
    <row r="1824">
      <c r="A1824" s="9"/>
    </row>
    <row r="1825">
      <c r="A1825" s="9"/>
    </row>
    <row r="1826">
      <c r="A1826" s="9"/>
    </row>
    <row r="1827">
      <c r="A1827" s="9"/>
    </row>
    <row r="1828">
      <c r="A1828" s="9"/>
    </row>
    <row r="1829">
      <c r="A1829" s="9"/>
    </row>
    <row r="1830">
      <c r="A1830" s="9"/>
    </row>
    <row r="1831">
      <c r="A1831" s="9"/>
    </row>
    <row r="1832">
      <c r="A1832" s="9"/>
    </row>
    <row r="1833">
      <c r="A1833" s="9"/>
    </row>
    <row r="1834">
      <c r="A1834" s="9"/>
    </row>
    <row r="1835">
      <c r="A1835" s="9"/>
    </row>
    <row r="1836">
      <c r="A1836" s="9"/>
    </row>
    <row r="1837">
      <c r="A1837" s="9"/>
    </row>
    <row r="1838">
      <c r="A1838" s="9"/>
    </row>
    <row r="1839">
      <c r="A1839" s="9"/>
    </row>
    <row r="1840">
      <c r="A1840" s="9"/>
    </row>
    <row r="1841">
      <c r="A1841" s="9"/>
    </row>
    <row r="1842">
      <c r="A1842" s="9"/>
    </row>
    <row r="1843">
      <c r="A1843" s="9"/>
    </row>
    <row r="1844">
      <c r="A1844" s="9"/>
    </row>
    <row r="1845">
      <c r="A1845" s="9"/>
    </row>
    <row r="1846">
      <c r="A1846" s="9"/>
    </row>
    <row r="1847">
      <c r="A1847" s="9"/>
    </row>
    <row r="1848">
      <c r="A1848" s="9"/>
    </row>
    <row r="1849">
      <c r="A1849" s="9"/>
    </row>
    <row r="1850">
      <c r="A1850" s="9"/>
    </row>
    <row r="1851">
      <c r="A1851" s="9"/>
    </row>
    <row r="1852">
      <c r="A1852" s="9"/>
    </row>
    <row r="1853">
      <c r="A1853" s="9"/>
    </row>
    <row r="1854">
      <c r="A1854" s="9"/>
    </row>
    <row r="1855">
      <c r="A1855" s="9"/>
    </row>
    <row r="1856">
      <c r="A1856" s="9"/>
    </row>
    <row r="1857">
      <c r="A1857" s="9"/>
    </row>
    <row r="1858">
      <c r="A1858" s="9"/>
    </row>
    <row r="1859">
      <c r="A1859" s="9"/>
    </row>
    <row r="1860">
      <c r="A1860" s="9"/>
    </row>
    <row r="1861">
      <c r="A1861" s="9"/>
    </row>
    <row r="1862">
      <c r="A1862" s="9"/>
    </row>
    <row r="1863">
      <c r="A1863" s="9"/>
    </row>
    <row r="1864">
      <c r="A1864" s="9"/>
    </row>
    <row r="1865">
      <c r="A1865" s="9"/>
    </row>
    <row r="1866">
      <c r="A1866" s="9"/>
    </row>
    <row r="1867">
      <c r="A1867" s="9"/>
    </row>
    <row r="1868">
      <c r="A1868" s="9"/>
    </row>
    <row r="1869">
      <c r="A1869" s="9"/>
    </row>
    <row r="1870">
      <c r="A1870" s="9"/>
    </row>
    <row r="1871">
      <c r="A1871" s="9"/>
    </row>
    <row r="1872">
      <c r="A1872" s="9"/>
    </row>
    <row r="1873">
      <c r="A1873" s="9"/>
    </row>
    <row r="1874">
      <c r="A1874" s="9"/>
    </row>
    <row r="1875">
      <c r="A1875" s="9"/>
    </row>
    <row r="1876">
      <c r="A1876" s="9"/>
    </row>
    <row r="1877">
      <c r="A1877" s="9"/>
    </row>
    <row r="1878">
      <c r="A1878" s="9"/>
    </row>
    <row r="1879">
      <c r="A1879" s="9"/>
    </row>
    <row r="1880">
      <c r="A1880" s="9"/>
    </row>
    <row r="1881">
      <c r="A1881" s="9"/>
    </row>
    <row r="1882">
      <c r="A1882" s="9"/>
    </row>
    <row r="1883">
      <c r="A1883" s="9"/>
    </row>
    <row r="1884">
      <c r="A1884" s="9"/>
    </row>
    <row r="1885">
      <c r="A1885" s="9"/>
    </row>
    <row r="1886">
      <c r="A1886" s="9"/>
    </row>
    <row r="1887">
      <c r="A1887" s="9"/>
    </row>
    <row r="1888">
      <c r="A1888" s="9"/>
    </row>
    <row r="1889">
      <c r="A1889" s="9"/>
    </row>
    <row r="1890">
      <c r="A1890" s="9"/>
    </row>
    <row r="1891">
      <c r="A1891" s="9"/>
    </row>
    <row r="1892">
      <c r="A1892" s="9"/>
    </row>
    <row r="1893">
      <c r="A1893" s="9"/>
    </row>
    <row r="1894">
      <c r="A1894" s="9"/>
    </row>
    <row r="1895">
      <c r="A1895" s="9"/>
    </row>
    <row r="1896">
      <c r="A1896" s="9"/>
    </row>
    <row r="1897">
      <c r="A1897" s="9"/>
    </row>
    <row r="1898">
      <c r="A1898" s="9"/>
    </row>
    <row r="1899">
      <c r="A1899" s="9"/>
    </row>
    <row r="1900">
      <c r="A1900" s="9"/>
    </row>
    <row r="1901">
      <c r="A1901" s="9"/>
    </row>
    <row r="1902">
      <c r="A1902" s="9"/>
    </row>
    <row r="1903">
      <c r="A1903" s="9"/>
    </row>
    <row r="1904">
      <c r="A1904" s="9"/>
    </row>
    <row r="1905">
      <c r="A1905" s="9"/>
    </row>
    <row r="1906">
      <c r="A1906" s="9"/>
    </row>
    <row r="1907">
      <c r="A1907" s="9"/>
    </row>
    <row r="1908">
      <c r="A1908" s="9"/>
    </row>
    <row r="1909">
      <c r="A1909" s="9"/>
    </row>
    <row r="1910">
      <c r="A1910" s="9"/>
    </row>
    <row r="1911">
      <c r="A1911" s="9"/>
    </row>
    <row r="1912">
      <c r="A1912" s="9"/>
    </row>
    <row r="1913">
      <c r="A1913" s="9"/>
    </row>
    <row r="1914">
      <c r="A1914" s="9"/>
    </row>
    <row r="1915">
      <c r="A1915" s="9"/>
    </row>
    <row r="1916">
      <c r="A1916" s="9"/>
    </row>
    <row r="1917">
      <c r="A1917" s="9"/>
    </row>
    <row r="1918">
      <c r="A1918" s="9"/>
    </row>
    <row r="1919">
      <c r="A1919" s="9"/>
    </row>
    <row r="1920">
      <c r="A1920" s="9"/>
    </row>
    <row r="1921">
      <c r="A1921" s="9"/>
    </row>
    <row r="1922">
      <c r="A1922" s="9"/>
    </row>
    <row r="1923">
      <c r="A1923" s="9"/>
    </row>
    <row r="1924">
      <c r="A1924" s="9"/>
    </row>
    <row r="1925">
      <c r="A1925" s="9"/>
    </row>
    <row r="1926">
      <c r="A1926" s="9"/>
    </row>
    <row r="1927">
      <c r="A1927" s="9"/>
    </row>
    <row r="1928">
      <c r="A1928" s="9"/>
    </row>
    <row r="1929">
      <c r="A1929" s="9"/>
    </row>
    <row r="1930">
      <c r="A1930" s="9"/>
    </row>
    <row r="1931">
      <c r="A1931" s="9"/>
    </row>
    <row r="1932">
      <c r="A1932" s="9"/>
    </row>
    <row r="1933">
      <c r="A1933" s="9"/>
    </row>
    <row r="1934">
      <c r="A1934" s="9"/>
    </row>
    <row r="1935">
      <c r="A1935" s="9"/>
    </row>
    <row r="1936">
      <c r="A1936" s="9"/>
    </row>
    <row r="1937">
      <c r="A1937" s="9"/>
    </row>
    <row r="1938">
      <c r="A1938" s="9"/>
    </row>
    <row r="1939">
      <c r="A1939" s="9"/>
    </row>
    <row r="1940">
      <c r="A1940" s="9"/>
    </row>
    <row r="1941">
      <c r="A1941" s="9"/>
    </row>
    <row r="1942">
      <c r="A1942" s="9"/>
    </row>
    <row r="1943">
      <c r="A1943" s="9"/>
    </row>
    <row r="1944">
      <c r="A1944" s="9"/>
    </row>
    <row r="1945">
      <c r="A1945" s="9"/>
    </row>
    <row r="1946">
      <c r="A1946" s="9"/>
    </row>
    <row r="1947">
      <c r="A1947" s="9"/>
    </row>
    <row r="1948">
      <c r="A1948" s="9"/>
    </row>
    <row r="1949">
      <c r="A1949" s="9"/>
    </row>
    <row r="1950">
      <c r="A1950" s="9"/>
    </row>
    <row r="1951">
      <c r="A1951" s="9"/>
    </row>
    <row r="1952">
      <c r="A1952" s="9"/>
    </row>
    <row r="1953">
      <c r="A1953" s="9"/>
    </row>
    <row r="1954">
      <c r="A1954" s="9"/>
    </row>
    <row r="1955">
      <c r="A1955" s="9"/>
    </row>
    <row r="1956">
      <c r="A1956" s="9"/>
    </row>
    <row r="1957">
      <c r="A1957" s="9"/>
    </row>
    <row r="1958">
      <c r="A1958" s="9"/>
    </row>
    <row r="1959">
      <c r="A1959" s="9"/>
    </row>
    <row r="1960">
      <c r="A1960" s="9"/>
    </row>
    <row r="1961">
      <c r="A1961" s="9"/>
    </row>
    <row r="1962">
      <c r="A1962" s="9"/>
    </row>
    <row r="1963">
      <c r="A1963" s="9"/>
    </row>
    <row r="1964">
      <c r="A1964" s="9"/>
    </row>
    <row r="1965">
      <c r="A1965" s="9"/>
    </row>
    <row r="1966">
      <c r="A1966" s="9"/>
    </row>
    <row r="1967">
      <c r="A1967" s="9"/>
    </row>
    <row r="1968">
      <c r="A1968" s="9"/>
    </row>
    <row r="1969">
      <c r="A1969" s="9"/>
    </row>
    <row r="1970">
      <c r="A1970" s="9"/>
    </row>
    <row r="1971">
      <c r="A1971" s="9"/>
    </row>
    <row r="1972">
      <c r="A1972" s="9"/>
    </row>
    <row r="1973">
      <c r="A1973" s="9"/>
    </row>
    <row r="1974">
      <c r="A1974" s="9"/>
    </row>
    <row r="1975">
      <c r="A1975" s="9"/>
    </row>
    <row r="1976">
      <c r="A1976" s="9"/>
    </row>
    <row r="1977">
      <c r="A1977" s="9"/>
    </row>
    <row r="1978">
      <c r="A1978" s="9"/>
    </row>
    <row r="1979">
      <c r="A1979" s="9"/>
    </row>
    <row r="1980">
      <c r="A1980" s="9"/>
    </row>
    <row r="1981">
      <c r="A1981" s="9"/>
    </row>
    <row r="1982">
      <c r="A1982" s="9"/>
    </row>
    <row r="1983">
      <c r="A1983" s="9"/>
    </row>
    <row r="1984">
      <c r="A1984" s="9"/>
    </row>
    <row r="1985">
      <c r="A1985" s="9"/>
    </row>
    <row r="1986">
      <c r="A1986" s="9"/>
    </row>
    <row r="1987">
      <c r="A1987" s="9"/>
    </row>
    <row r="1988">
      <c r="A1988" s="9"/>
    </row>
    <row r="1989">
      <c r="A1989" s="9"/>
    </row>
    <row r="1990">
      <c r="A1990" s="9"/>
    </row>
    <row r="1991">
      <c r="A1991" s="9"/>
    </row>
    <row r="1992">
      <c r="A1992" s="9"/>
    </row>
    <row r="1993">
      <c r="A1993" s="9"/>
    </row>
    <row r="1994">
      <c r="A1994" s="9"/>
    </row>
    <row r="1995">
      <c r="A1995" s="9"/>
    </row>
    <row r="1996">
      <c r="A1996" s="9"/>
    </row>
    <row r="1997">
      <c r="A1997" s="9"/>
    </row>
    <row r="1998">
      <c r="A1998" s="9"/>
    </row>
    <row r="1999">
      <c r="A1999" s="9"/>
    </row>
    <row r="2000">
      <c r="A2000" s="9"/>
    </row>
    <row r="2001">
      <c r="A2001" s="9"/>
    </row>
    <row r="2002">
      <c r="A2002" s="9"/>
    </row>
    <row r="2003">
      <c r="A2003" s="9"/>
    </row>
    <row r="2004">
      <c r="A2004" s="9"/>
    </row>
    <row r="2005">
      <c r="A2005" s="9"/>
    </row>
    <row r="2006">
      <c r="A2006" s="9"/>
    </row>
    <row r="2007">
      <c r="A2007" s="9"/>
    </row>
    <row r="2008">
      <c r="A2008" s="9"/>
    </row>
    <row r="2009">
      <c r="A2009" s="9"/>
    </row>
    <row r="2010">
      <c r="A2010" s="9"/>
    </row>
    <row r="2011">
      <c r="A2011" s="9"/>
    </row>
    <row r="2012">
      <c r="A2012" s="9"/>
    </row>
    <row r="2013">
      <c r="A2013" s="9"/>
    </row>
    <row r="2014">
      <c r="A2014" s="9"/>
    </row>
    <row r="2015">
      <c r="A2015" s="9"/>
    </row>
    <row r="2016">
      <c r="A2016" s="9"/>
    </row>
    <row r="2017">
      <c r="A2017" s="9"/>
    </row>
    <row r="2018">
      <c r="A2018" s="9"/>
    </row>
    <row r="2019">
      <c r="A2019" s="9"/>
    </row>
    <row r="2020">
      <c r="A2020" s="9"/>
    </row>
    <row r="2021">
      <c r="A2021" s="9"/>
    </row>
    <row r="2022">
      <c r="A2022" s="9"/>
    </row>
    <row r="2023">
      <c r="A2023" s="9"/>
    </row>
    <row r="2024">
      <c r="A2024" s="9"/>
    </row>
    <row r="2025">
      <c r="A2025" s="9"/>
    </row>
    <row r="2026">
      <c r="A2026" s="9"/>
    </row>
    <row r="2027">
      <c r="A2027" s="9"/>
    </row>
    <row r="2028">
      <c r="A2028" s="9"/>
    </row>
    <row r="2029">
      <c r="A2029" s="9"/>
    </row>
    <row r="2030">
      <c r="A2030" s="9"/>
    </row>
    <row r="2031">
      <c r="A2031" s="9"/>
    </row>
    <row r="2032">
      <c r="A2032" s="9"/>
    </row>
    <row r="2033">
      <c r="A2033" s="9"/>
    </row>
    <row r="2034">
      <c r="A2034" s="9"/>
    </row>
    <row r="2035">
      <c r="A2035" s="9"/>
    </row>
    <row r="2036">
      <c r="A2036" s="9"/>
    </row>
    <row r="2037">
      <c r="A2037" s="9"/>
    </row>
    <row r="2038">
      <c r="A2038" s="9"/>
    </row>
    <row r="2039">
      <c r="A2039" s="9"/>
    </row>
    <row r="2040">
      <c r="A2040" s="9"/>
    </row>
    <row r="2041">
      <c r="A2041" s="9"/>
    </row>
    <row r="2042">
      <c r="A2042" s="9"/>
    </row>
    <row r="2043">
      <c r="A2043" s="9"/>
    </row>
    <row r="2044">
      <c r="A2044" s="9"/>
    </row>
    <row r="2045">
      <c r="A2045" s="9"/>
    </row>
    <row r="2046">
      <c r="A2046" s="9"/>
    </row>
    <row r="2047">
      <c r="A2047" s="9"/>
    </row>
    <row r="2048">
      <c r="A2048" s="9"/>
    </row>
    <row r="2049">
      <c r="A2049" s="9"/>
    </row>
    <row r="2050">
      <c r="A2050" s="9"/>
    </row>
    <row r="2051">
      <c r="A2051" s="9"/>
    </row>
    <row r="2052">
      <c r="A2052" s="9"/>
    </row>
    <row r="2053">
      <c r="A2053" s="9"/>
    </row>
    <row r="2054">
      <c r="A2054" s="9"/>
    </row>
    <row r="2055">
      <c r="A2055" s="9"/>
    </row>
    <row r="2056">
      <c r="A2056" s="9"/>
    </row>
    <row r="2057">
      <c r="A2057" s="9"/>
    </row>
    <row r="2058">
      <c r="A2058" s="9"/>
    </row>
    <row r="2059">
      <c r="A2059" s="9"/>
    </row>
    <row r="2060">
      <c r="A2060" s="9"/>
    </row>
    <row r="2061">
      <c r="A2061" s="9"/>
    </row>
    <row r="2062">
      <c r="A2062" s="9"/>
    </row>
    <row r="2063">
      <c r="A2063" s="9"/>
    </row>
    <row r="2064">
      <c r="A2064" s="9"/>
    </row>
    <row r="2065">
      <c r="A2065" s="9"/>
    </row>
    <row r="2066">
      <c r="A2066" s="9"/>
    </row>
    <row r="2067">
      <c r="A2067" s="9"/>
    </row>
    <row r="2068">
      <c r="A2068" s="9"/>
    </row>
    <row r="2069">
      <c r="A2069" s="9"/>
    </row>
    <row r="2070">
      <c r="A2070" s="9"/>
    </row>
    <row r="2071">
      <c r="A2071" s="9"/>
    </row>
    <row r="2072">
      <c r="A2072" s="9"/>
    </row>
    <row r="2073">
      <c r="A2073" s="9"/>
    </row>
    <row r="2074">
      <c r="A2074" s="9"/>
    </row>
    <row r="2075">
      <c r="A2075" s="9"/>
    </row>
    <row r="2076">
      <c r="A2076" s="9"/>
    </row>
    <row r="2077">
      <c r="A2077" s="9"/>
    </row>
    <row r="2078">
      <c r="A2078" s="9"/>
    </row>
    <row r="2079">
      <c r="A2079" s="9"/>
    </row>
    <row r="2080">
      <c r="A2080" s="9"/>
    </row>
    <row r="2081">
      <c r="A2081" s="9"/>
    </row>
    <row r="2082">
      <c r="A2082" s="9"/>
    </row>
    <row r="2083">
      <c r="A2083" s="9"/>
    </row>
    <row r="2084">
      <c r="A2084" s="9"/>
    </row>
    <row r="2085">
      <c r="A2085" s="9"/>
    </row>
    <row r="2086">
      <c r="A2086" s="9"/>
    </row>
    <row r="2087">
      <c r="A2087" s="9"/>
    </row>
    <row r="2088">
      <c r="A2088" s="9"/>
    </row>
    <row r="2089">
      <c r="A2089" s="9"/>
    </row>
    <row r="2090">
      <c r="A2090" s="9"/>
    </row>
    <row r="2091">
      <c r="A2091" s="9"/>
    </row>
    <row r="2092">
      <c r="A2092" s="9"/>
    </row>
    <row r="2093">
      <c r="A2093" s="9"/>
    </row>
    <row r="2094">
      <c r="A2094" s="9"/>
    </row>
    <row r="2095">
      <c r="A2095" s="9"/>
    </row>
    <row r="2096">
      <c r="A2096" s="9"/>
    </row>
    <row r="2097">
      <c r="A2097" s="9"/>
    </row>
    <row r="2098">
      <c r="A2098" s="9"/>
    </row>
    <row r="2099">
      <c r="A2099" s="9"/>
    </row>
    <row r="2100">
      <c r="A2100" s="9"/>
    </row>
    <row r="2101">
      <c r="A2101" s="9"/>
    </row>
    <row r="2102">
      <c r="A2102" s="9"/>
    </row>
    <row r="2103">
      <c r="A2103" s="9"/>
    </row>
    <row r="2104">
      <c r="A2104" s="9"/>
    </row>
    <row r="2105">
      <c r="A2105" s="9"/>
    </row>
    <row r="2106">
      <c r="A2106" s="9"/>
    </row>
    <row r="2107">
      <c r="A2107" s="9"/>
    </row>
    <row r="2108">
      <c r="A2108" s="9"/>
    </row>
    <row r="2109">
      <c r="A2109" s="9"/>
    </row>
    <row r="2110">
      <c r="A2110" s="9"/>
    </row>
    <row r="2111">
      <c r="A2111" s="9"/>
    </row>
    <row r="2112">
      <c r="A2112" s="9"/>
    </row>
    <row r="2113">
      <c r="A2113" s="9"/>
    </row>
    <row r="2114">
      <c r="A2114" s="9"/>
    </row>
    <row r="2115">
      <c r="A2115" s="9"/>
    </row>
    <row r="2116">
      <c r="A2116" s="9"/>
    </row>
    <row r="2117">
      <c r="A2117" s="9"/>
    </row>
    <row r="2118">
      <c r="A2118" s="9"/>
    </row>
    <row r="2119">
      <c r="A2119" s="9"/>
    </row>
    <row r="2120">
      <c r="A2120" s="9"/>
    </row>
    <row r="2121">
      <c r="A2121" s="9"/>
    </row>
    <row r="2122">
      <c r="A2122" s="9"/>
    </row>
    <row r="2123">
      <c r="A2123" s="9"/>
    </row>
    <row r="2124">
      <c r="A2124" s="9"/>
    </row>
    <row r="2125">
      <c r="A2125" s="9"/>
    </row>
    <row r="2126">
      <c r="A2126" s="9"/>
    </row>
    <row r="2127">
      <c r="A2127" s="9"/>
    </row>
    <row r="2128">
      <c r="A2128" s="9"/>
    </row>
    <row r="2129">
      <c r="A2129" s="9"/>
    </row>
    <row r="2130">
      <c r="A2130" s="9"/>
    </row>
    <row r="2131">
      <c r="A2131" s="9"/>
    </row>
    <row r="2132">
      <c r="A2132" s="9"/>
    </row>
    <row r="2133">
      <c r="A2133" s="9"/>
    </row>
    <row r="2134">
      <c r="A2134" s="9"/>
    </row>
    <row r="2135">
      <c r="A2135" s="9"/>
    </row>
    <row r="2136">
      <c r="A2136" s="9"/>
    </row>
    <row r="2137">
      <c r="A2137" s="9"/>
    </row>
    <row r="2138">
      <c r="A2138" s="9"/>
    </row>
    <row r="2139">
      <c r="A2139" s="9"/>
    </row>
    <row r="2140">
      <c r="A2140" s="9"/>
    </row>
    <row r="2141">
      <c r="A2141" s="9"/>
    </row>
    <row r="2142">
      <c r="A2142" s="9"/>
    </row>
    <row r="2143">
      <c r="A2143" s="9"/>
    </row>
    <row r="2144">
      <c r="A2144" s="9"/>
    </row>
    <row r="2145">
      <c r="A2145" s="9"/>
    </row>
    <row r="2146">
      <c r="A2146" s="9"/>
    </row>
    <row r="2147">
      <c r="A2147" s="9"/>
    </row>
    <row r="2148">
      <c r="A2148" s="9"/>
    </row>
    <row r="2149">
      <c r="A2149" s="9"/>
    </row>
    <row r="2150">
      <c r="A2150" s="9"/>
    </row>
    <row r="2151">
      <c r="A2151" s="9"/>
    </row>
    <row r="2152">
      <c r="A2152" s="9"/>
    </row>
    <row r="2153">
      <c r="A2153" s="9"/>
    </row>
    <row r="2154">
      <c r="A2154" s="9"/>
    </row>
    <row r="2155">
      <c r="A2155" s="9"/>
    </row>
    <row r="2156">
      <c r="A2156" s="9"/>
    </row>
    <row r="2157">
      <c r="A2157" s="9"/>
    </row>
    <row r="2158">
      <c r="A2158" s="9"/>
    </row>
    <row r="2159">
      <c r="A2159" s="9"/>
    </row>
    <row r="2160">
      <c r="A2160" s="9"/>
    </row>
    <row r="2161">
      <c r="A2161" s="9"/>
    </row>
    <row r="2162">
      <c r="A2162" s="9"/>
    </row>
    <row r="2163">
      <c r="A2163" s="9"/>
    </row>
    <row r="2164">
      <c r="A2164" s="9"/>
    </row>
    <row r="2165">
      <c r="A2165" s="9"/>
    </row>
    <row r="2166">
      <c r="A2166" s="9"/>
    </row>
    <row r="2167">
      <c r="A2167" s="9"/>
    </row>
    <row r="2168">
      <c r="A2168" s="9"/>
    </row>
    <row r="2169">
      <c r="A2169" s="9"/>
    </row>
    <row r="2170">
      <c r="A2170" s="9"/>
    </row>
    <row r="2171">
      <c r="A2171" s="9"/>
    </row>
    <row r="2172">
      <c r="A2172" s="9"/>
    </row>
    <row r="2173">
      <c r="A2173" s="9"/>
    </row>
    <row r="2174">
      <c r="A2174" s="9"/>
    </row>
    <row r="2175">
      <c r="A2175" s="9"/>
    </row>
    <row r="2176">
      <c r="A2176" s="9"/>
    </row>
    <row r="2177">
      <c r="A2177" s="9"/>
    </row>
    <row r="2178">
      <c r="A2178" s="9"/>
    </row>
    <row r="2179">
      <c r="A2179" s="9"/>
    </row>
    <row r="2180">
      <c r="A2180" s="9"/>
    </row>
    <row r="2181">
      <c r="A2181" s="9"/>
    </row>
    <row r="2182">
      <c r="A2182" s="9"/>
    </row>
    <row r="2183">
      <c r="A2183" s="9"/>
    </row>
    <row r="2184">
      <c r="A2184" s="9"/>
    </row>
    <row r="2185">
      <c r="A2185" s="9"/>
    </row>
    <row r="2186">
      <c r="A2186" s="9"/>
    </row>
    <row r="2187">
      <c r="A2187" s="9"/>
    </row>
    <row r="2188">
      <c r="A2188" s="9"/>
    </row>
    <row r="2189">
      <c r="A2189" s="9"/>
    </row>
    <row r="2190">
      <c r="A2190" s="9"/>
    </row>
    <row r="2191">
      <c r="A2191" s="9"/>
    </row>
    <row r="2192">
      <c r="A2192" s="9"/>
    </row>
    <row r="2193">
      <c r="A2193" s="9"/>
    </row>
    <row r="2194">
      <c r="A2194" s="9"/>
    </row>
    <row r="2195">
      <c r="A2195" s="9"/>
    </row>
    <row r="2196">
      <c r="A2196" s="9"/>
    </row>
    <row r="2197">
      <c r="A2197" s="9"/>
    </row>
    <row r="2198">
      <c r="A2198" s="9"/>
    </row>
    <row r="2199">
      <c r="A2199" s="9"/>
    </row>
    <row r="2200">
      <c r="A2200" s="9"/>
    </row>
    <row r="2201">
      <c r="A2201" s="9"/>
    </row>
    <row r="2202">
      <c r="A2202" s="9"/>
    </row>
    <row r="2203">
      <c r="A2203" s="9"/>
    </row>
    <row r="2204">
      <c r="A2204" s="9"/>
    </row>
    <row r="2205">
      <c r="A2205" s="9"/>
    </row>
    <row r="2206">
      <c r="A2206" s="9"/>
    </row>
    <row r="2207">
      <c r="A2207" s="9"/>
    </row>
    <row r="2208">
      <c r="A2208" s="9"/>
    </row>
    <row r="2209">
      <c r="A2209" s="9"/>
    </row>
    <row r="2210">
      <c r="A2210" s="9"/>
    </row>
    <row r="2211">
      <c r="A2211" s="9"/>
    </row>
    <row r="2212">
      <c r="A2212" s="9"/>
    </row>
    <row r="2213">
      <c r="A2213" s="9"/>
    </row>
    <row r="2214">
      <c r="A2214" s="9"/>
    </row>
    <row r="2215">
      <c r="A2215" s="9"/>
    </row>
    <row r="2216">
      <c r="A2216" s="9"/>
    </row>
    <row r="2217">
      <c r="A2217" s="9"/>
    </row>
    <row r="2218">
      <c r="A2218" s="9"/>
    </row>
    <row r="2219">
      <c r="A2219" s="9"/>
    </row>
    <row r="2220">
      <c r="A2220" s="9"/>
    </row>
    <row r="2221">
      <c r="A2221" s="9"/>
    </row>
    <row r="2222">
      <c r="A2222" s="9"/>
    </row>
    <row r="2223">
      <c r="A2223" s="9"/>
    </row>
    <row r="2224">
      <c r="A2224" s="9"/>
    </row>
    <row r="2225">
      <c r="A2225" s="9"/>
    </row>
    <row r="2226">
      <c r="A2226" s="9"/>
    </row>
    <row r="2227">
      <c r="A2227" s="9"/>
    </row>
    <row r="2228">
      <c r="A2228" s="9"/>
    </row>
    <row r="2229">
      <c r="A2229" s="9"/>
    </row>
    <row r="2230">
      <c r="A2230" s="9"/>
    </row>
    <row r="2231">
      <c r="A2231" s="9"/>
    </row>
    <row r="2232">
      <c r="A2232" s="9"/>
    </row>
    <row r="2233">
      <c r="A2233" s="9"/>
    </row>
    <row r="2234">
      <c r="A2234" s="9"/>
    </row>
    <row r="2235">
      <c r="A2235" s="9"/>
    </row>
    <row r="2236">
      <c r="A2236" s="9"/>
    </row>
    <row r="2237">
      <c r="A2237" s="9"/>
    </row>
    <row r="2238">
      <c r="A2238" s="9"/>
    </row>
    <row r="2239">
      <c r="A2239" s="9"/>
    </row>
    <row r="2240">
      <c r="A2240" s="9"/>
    </row>
    <row r="2241">
      <c r="A2241" s="9"/>
    </row>
    <row r="2242">
      <c r="A2242" s="9"/>
    </row>
    <row r="2243">
      <c r="A2243" s="9"/>
    </row>
    <row r="2244">
      <c r="A2244" s="9"/>
    </row>
    <row r="2245">
      <c r="A2245" s="9"/>
    </row>
    <row r="2246">
      <c r="A2246" s="9"/>
    </row>
    <row r="2247">
      <c r="A2247" s="9"/>
    </row>
    <row r="2248">
      <c r="A2248" s="9"/>
    </row>
    <row r="2249">
      <c r="A2249" s="9"/>
    </row>
    <row r="2250">
      <c r="A2250" s="9"/>
    </row>
    <row r="2251">
      <c r="A2251" s="9"/>
    </row>
    <row r="2252">
      <c r="A2252" s="9"/>
    </row>
    <row r="2253">
      <c r="A2253" s="9"/>
    </row>
    <row r="2254">
      <c r="A2254" s="9"/>
    </row>
    <row r="2255">
      <c r="A2255" s="9"/>
    </row>
    <row r="2256">
      <c r="A2256" s="9"/>
    </row>
    <row r="2257">
      <c r="A2257" s="9"/>
    </row>
    <row r="2258">
      <c r="A2258" s="9"/>
    </row>
    <row r="2259">
      <c r="A2259" s="9"/>
    </row>
    <row r="2260">
      <c r="A2260" s="9"/>
    </row>
    <row r="2261">
      <c r="A2261" s="9"/>
    </row>
    <row r="2262">
      <c r="A2262" s="9"/>
    </row>
    <row r="2263">
      <c r="A2263" s="9"/>
    </row>
    <row r="2264">
      <c r="A2264" s="9"/>
    </row>
    <row r="2265">
      <c r="A2265" s="9"/>
    </row>
    <row r="2266">
      <c r="A2266" s="9"/>
    </row>
    <row r="2267">
      <c r="A2267" s="9"/>
    </row>
    <row r="2268">
      <c r="A2268" s="9"/>
    </row>
    <row r="2269">
      <c r="A2269" s="9"/>
    </row>
    <row r="2270">
      <c r="A2270" s="9"/>
    </row>
    <row r="2271">
      <c r="A2271" s="9"/>
    </row>
    <row r="2272">
      <c r="A2272" s="9"/>
    </row>
    <row r="2273">
      <c r="A2273" s="9"/>
    </row>
    <row r="2274">
      <c r="A2274" s="9"/>
    </row>
    <row r="2275">
      <c r="A2275" s="9"/>
    </row>
    <row r="2276">
      <c r="A2276" s="9"/>
    </row>
    <row r="2277">
      <c r="A2277" s="9"/>
    </row>
    <row r="2278">
      <c r="A2278" s="9"/>
    </row>
    <row r="2279">
      <c r="A2279" s="9"/>
    </row>
    <row r="2280">
      <c r="A2280" s="9"/>
    </row>
    <row r="2281">
      <c r="A2281" s="9"/>
    </row>
    <row r="2282">
      <c r="A2282" s="9"/>
    </row>
    <row r="2283">
      <c r="A2283" s="9"/>
    </row>
    <row r="2284">
      <c r="A2284" s="9"/>
    </row>
    <row r="2285">
      <c r="A2285" s="9"/>
    </row>
    <row r="2286">
      <c r="A2286" s="9"/>
    </row>
    <row r="2287">
      <c r="A2287" s="9"/>
    </row>
    <row r="2288">
      <c r="A2288" s="9"/>
    </row>
    <row r="2289">
      <c r="A2289" s="9"/>
    </row>
    <row r="2290">
      <c r="A2290" s="9"/>
    </row>
    <row r="2291">
      <c r="A2291" s="9"/>
    </row>
    <row r="2292">
      <c r="A2292" s="9"/>
    </row>
    <row r="2293">
      <c r="A2293" s="9"/>
    </row>
    <row r="2294">
      <c r="A2294" s="9"/>
    </row>
    <row r="2295">
      <c r="A2295" s="9"/>
    </row>
    <row r="2296">
      <c r="A2296" s="9"/>
    </row>
    <row r="2297">
      <c r="A2297" s="9"/>
    </row>
    <row r="2298">
      <c r="A2298" s="9"/>
    </row>
    <row r="2299">
      <c r="A2299" s="9"/>
    </row>
    <row r="2300">
      <c r="A2300" s="9"/>
    </row>
    <row r="2301">
      <c r="A2301" s="9"/>
    </row>
    <row r="2302">
      <c r="A2302" s="9"/>
    </row>
    <row r="2303">
      <c r="A2303" s="9"/>
    </row>
    <row r="2304">
      <c r="A2304" s="9"/>
    </row>
    <row r="2305">
      <c r="A2305" s="9"/>
    </row>
    <row r="2306">
      <c r="A2306" s="9"/>
    </row>
    <row r="2307">
      <c r="A2307" s="9"/>
    </row>
    <row r="2308">
      <c r="A2308" s="9"/>
    </row>
    <row r="2309">
      <c r="A2309" s="9"/>
    </row>
    <row r="2310">
      <c r="A2310" s="9"/>
    </row>
    <row r="2311">
      <c r="A2311" s="9"/>
    </row>
    <row r="2312">
      <c r="A2312" s="9"/>
    </row>
    <row r="2313">
      <c r="A2313" s="9"/>
    </row>
    <row r="2314">
      <c r="A2314" s="9"/>
    </row>
    <row r="2315">
      <c r="A2315" s="9"/>
    </row>
    <row r="2316">
      <c r="A2316" s="9"/>
    </row>
    <row r="2317">
      <c r="A2317" s="9"/>
    </row>
    <row r="2318">
      <c r="A2318" s="9"/>
    </row>
    <row r="2319">
      <c r="A2319" s="9"/>
    </row>
    <row r="2320">
      <c r="A2320" s="9"/>
    </row>
    <row r="2321">
      <c r="A2321" s="9"/>
    </row>
    <row r="2322">
      <c r="A2322" s="9"/>
    </row>
    <row r="2323">
      <c r="A2323" s="9"/>
    </row>
    <row r="2324">
      <c r="A2324" s="9"/>
    </row>
    <row r="2325">
      <c r="A2325" s="9"/>
    </row>
    <row r="2326">
      <c r="A2326" s="9"/>
    </row>
    <row r="2327">
      <c r="A2327" s="9"/>
    </row>
    <row r="2328">
      <c r="A2328" s="9"/>
    </row>
    <row r="2329">
      <c r="A2329" s="9"/>
    </row>
    <row r="2330">
      <c r="A2330" s="9"/>
    </row>
    <row r="2331">
      <c r="A2331" s="9"/>
    </row>
    <row r="2332">
      <c r="A2332" s="9"/>
    </row>
    <row r="2333">
      <c r="A2333" s="9"/>
    </row>
    <row r="2334">
      <c r="A2334" s="9"/>
    </row>
    <row r="2335">
      <c r="A2335" s="9"/>
    </row>
    <row r="2336">
      <c r="A2336" s="9"/>
    </row>
    <row r="2337">
      <c r="A2337" s="9"/>
    </row>
    <row r="2338">
      <c r="A2338" s="9"/>
    </row>
    <row r="2339">
      <c r="A2339" s="9"/>
    </row>
    <row r="2340">
      <c r="A2340" s="9"/>
    </row>
    <row r="2341">
      <c r="A2341" s="9"/>
    </row>
    <row r="2342">
      <c r="A2342" s="9"/>
    </row>
    <row r="2343">
      <c r="A2343" s="9"/>
    </row>
    <row r="2344">
      <c r="A2344" s="9"/>
    </row>
    <row r="2345">
      <c r="A2345" s="9"/>
    </row>
    <row r="2346">
      <c r="A2346" s="9"/>
    </row>
    <row r="2347">
      <c r="A2347" s="9"/>
    </row>
    <row r="2348">
      <c r="A2348" s="9"/>
    </row>
    <row r="2349">
      <c r="A2349" s="9"/>
    </row>
    <row r="2350">
      <c r="A2350" s="9"/>
    </row>
    <row r="2351">
      <c r="A2351" s="9"/>
    </row>
    <row r="2352">
      <c r="A2352" s="9"/>
    </row>
    <row r="2353">
      <c r="A2353" s="9"/>
    </row>
    <row r="2354">
      <c r="A2354" s="9"/>
    </row>
    <row r="2355">
      <c r="A2355" s="9"/>
    </row>
    <row r="2356">
      <c r="A2356" s="9"/>
    </row>
    <row r="2357">
      <c r="A2357" s="9"/>
    </row>
    <row r="2358">
      <c r="A2358" s="9"/>
    </row>
    <row r="2359">
      <c r="A2359" s="9"/>
    </row>
    <row r="2360">
      <c r="A2360" s="9"/>
    </row>
    <row r="2361">
      <c r="A2361" s="9"/>
    </row>
    <row r="2362">
      <c r="A2362" s="9"/>
    </row>
    <row r="2363">
      <c r="A2363" s="9"/>
    </row>
    <row r="2364">
      <c r="A2364" s="9"/>
    </row>
    <row r="2365">
      <c r="A2365" s="9"/>
    </row>
    <row r="2366">
      <c r="A2366" s="9"/>
    </row>
    <row r="2367">
      <c r="A2367" s="9"/>
    </row>
    <row r="2368">
      <c r="A2368" s="9"/>
    </row>
    <row r="2369">
      <c r="A2369" s="9"/>
    </row>
    <row r="2370">
      <c r="A2370" s="9"/>
    </row>
    <row r="2371">
      <c r="A2371" s="9"/>
    </row>
    <row r="2372">
      <c r="A2372" s="9"/>
    </row>
    <row r="2373">
      <c r="A2373" s="9"/>
    </row>
    <row r="2374">
      <c r="A2374" s="9"/>
    </row>
    <row r="2375">
      <c r="A2375" s="9"/>
    </row>
    <row r="2376">
      <c r="A2376" s="9"/>
    </row>
    <row r="2377">
      <c r="A2377" s="9"/>
    </row>
    <row r="2378">
      <c r="A2378" s="9"/>
    </row>
    <row r="2379">
      <c r="A2379" s="9"/>
    </row>
    <row r="2380">
      <c r="A2380" s="9"/>
    </row>
    <row r="2381">
      <c r="A2381" s="9"/>
    </row>
    <row r="2382">
      <c r="A2382" s="9"/>
    </row>
    <row r="2383">
      <c r="A2383" s="9"/>
    </row>
    <row r="2384">
      <c r="A2384" s="9"/>
    </row>
    <row r="2385">
      <c r="A2385" s="9"/>
    </row>
    <row r="2386">
      <c r="A2386" s="9"/>
    </row>
    <row r="2387">
      <c r="A2387" s="9"/>
    </row>
    <row r="2388">
      <c r="A2388" s="9"/>
    </row>
    <row r="2389">
      <c r="A2389" s="9"/>
    </row>
    <row r="2390">
      <c r="A2390" s="9"/>
    </row>
    <row r="2391">
      <c r="A2391" s="9"/>
    </row>
    <row r="2392">
      <c r="A2392" s="9"/>
    </row>
    <row r="2393">
      <c r="A2393" s="9"/>
    </row>
    <row r="2394">
      <c r="A2394" s="9"/>
    </row>
    <row r="2395">
      <c r="A2395" s="9"/>
    </row>
    <row r="2396">
      <c r="A2396" s="9"/>
    </row>
    <row r="2397">
      <c r="A2397" s="9"/>
    </row>
    <row r="2398">
      <c r="A2398" s="9"/>
    </row>
    <row r="2399">
      <c r="A2399" s="9"/>
    </row>
    <row r="2400">
      <c r="A2400" s="9"/>
    </row>
    <row r="2401">
      <c r="A2401" s="9"/>
    </row>
    <row r="2402">
      <c r="A2402" s="9"/>
    </row>
    <row r="2403">
      <c r="A2403" s="9"/>
    </row>
    <row r="2404">
      <c r="A2404" s="9"/>
    </row>
    <row r="2405">
      <c r="A2405" s="9"/>
    </row>
    <row r="2406">
      <c r="A2406" s="9"/>
    </row>
    <row r="2407">
      <c r="A2407" s="9"/>
    </row>
    <row r="2408">
      <c r="A2408" s="9"/>
    </row>
    <row r="2409">
      <c r="A2409" s="9"/>
    </row>
    <row r="2410">
      <c r="A2410" s="9"/>
    </row>
    <row r="2411">
      <c r="A2411" s="9"/>
    </row>
    <row r="2412">
      <c r="A2412" s="9"/>
    </row>
    <row r="2413">
      <c r="A2413" s="9"/>
    </row>
    <row r="2414">
      <c r="A2414" s="9"/>
    </row>
    <row r="2415">
      <c r="A2415" s="9"/>
    </row>
    <row r="2416">
      <c r="A2416" s="9"/>
    </row>
    <row r="2417">
      <c r="A2417" s="9"/>
    </row>
    <row r="2418">
      <c r="A2418" s="9"/>
    </row>
    <row r="2419">
      <c r="A2419" s="9"/>
    </row>
    <row r="2420">
      <c r="A2420" s="9"/>
    </row>
    <row r="2421">
      <c r="A2421" s="9"/>
    </row>
    <row r="2422">
      <c r="A2422" s="9"/>
    </row>
    <row r="2423">
      <c r="A2423" s="9"/>
    </row>
    <row r="2424">
      <c r="A2424" s="9"/>
    </row>
    <row r="2425">
      <c r="A2425" s="9"/>
    </row>
    <row r="2426">
      <c r="A2426" s="9"/>
    </row>
    <row r="2427">
      <c r="A2427" s="9"/>
    </row>
    <row r="2428">
      <c r="A2428" s="9"/>
    </row>
    <row r="2429">
      <c r="A2429" s="9"/>
    </row>
    <row r="2430">
      <c r="A2430" s="9"/>
    </row>
    <row r="2431">
      <c r="A2431" s="9"/>
    </row>
    <row r="2432">
      <c r="A2432" s="9"/>
    </row>
    <row r="2433">
      <c r="A2433" s="9"/>
    </row>
    <row r="2434">
      <c r="A2434" s="9"/>
    </row>
    <row r="2435">
      <c r="A2435" s="9"/>
    </row>
    <row r="2436">
      <c r="A2436" s="9"/>
    </row>
    <row r="2437">
      <c r="A2437" s="9"/>
    </row>
    <row r="2438">
      <c r="A2438" s="9"/>
    </row>
    <row r="2439">
      <c r="A2439" s="9"/>
    </row>
    <row r="2440">
      <c r="A2440" s="9"/>
    </row>
    <row r="2441">
      <c r="A2441" s="9"/>
    </row>
    <row r="2442">
      <c r="A2442" s="9"/>
    </row>
    <row r="2443">
      <c r="A2443" s="9"/>
    </row>
    <row r="2444">
      <c r="A2444" s="9"/>
    </row>
    <row r="2445">
      <c r="A2445" s="9"/>
    </row>
    <row r="2446">
      <c r="A2446" s="9"/>
    </row>
    <row r="2447">
      <c r="A2447" s="9"/>
    </row>
    <row r="2448">
      <c r="A2448" s="9"/>
    </row>
    <row r="2449">
      <c r="A2449" s="9"/>
    </row>
    <row r="2450">
      <c r="A2450" s="9"/>
    </row>
    <row r="2451">
      <c r="A2451" s="9"/>
    </row>
    <row r="2452">
      <c r="A2452" s="9"/>
    </row>
    <row r="2453">
      <c r="A2453" s="9"/>
    </row>
    <row r="2454">
      <c r="A2454" s="9"/>
    </row>
    <row r="2455">
      <c r="A2455" s="9"/>
    </row>
    <row r="2456">
      <c r="A2456" s="9"/>
    </row>
    <row r="2457">
      <c r="A2457" s="9"/>
    </row>
    <row r="2458">
      <c r="A2458" s="9"/>
    </row>
    <row r="2459">
      <c r="A2459" s="9"/>
    </row>
    <row r="2460">
      <c r="A2460" s="9"/>
    </row>
    <row r="2461">
      <c r="A2461" s="9"/>
    </row>
    <row r="2462">
      <c r="A2462" s="9"/>
    </row>
    <row r="2463">
      <c r="A2463" s="9"/>
    </row>
    <row r="2464">
      <c r="A2464" s="9"/>
    </row>
    <row r="2465">
      <c r="A2465" s="9"/>
    </row>
    <row r="2466">
      <c r="A2466" s="9"/>
    </row>
    <row r="2467">
      <c r="A2467" s="9"/>
    </row>
    <row r="2468">
      <c r="A2468" s="9"/>
    </row>
    <row r="2469">
      <c r="A2469" s="9"/>
    </row>
    <row r="2470">
      <c r="A2470" s="9"/>
    </row>
    <row r="2471">
      <c r="A2471" s="9"/>
    </row>
    <row r="2472">
      <c r="A2472" s="9"/>
    </row>
    <row r="2473">
      <c r="A2473" s="9"/>
    </row>
    <row r="2474">
      <c r="A2474" s="9"/>
    </row>
    <row r="2475">
      <c r="A2475" s="9"/>
    </row>
    <row r="2476">
      <c r="A2476" s="9"/>
    </row>
    <row r="2477">
      <c r="A2477" s="9"/>
    </row>
    <row r="2478">
      <c r="A2478" s="9"/>
    </row>
    <row r="2479">
      <c r="A2479" s="9"/>
    </row>
    <row r="2480">
      <c r="A2480" s="9"/>
    </row>
    <row r="2481">
      <c r="A2481" s="9"/>
    </row>
    <row r="2482">
      <c r="A2482" s="9"/>
    </row>
    <row r="2483">
      <c r="A2483" s="9"/>
    </row>
    <row r="2484">
      <c r="A2484" s="9"/>
    </row>
    <row r="2485">
      <c r="A2485" s="9"/>
    </row>
    <row r="2486">
      <c r="A2486" s="9"/>
    </row>
    <row r="2487">
      <c r="A2487" s="9"/>
    </row>
    <row r="2488">
      <c r="A2488" s="9"/>
    </row>
    <row r="2489">
      <c r="A2489" s="9"/>
    </row>
    <row r="2490">
      <c r="A2490" s="9"/>
    </row>
    <row r="2491">
      <c r="A2491" s="9"/>
    </row>
    <row r="2492">
      <c r="A2492" s="9"/>
    </row>
    <row r="2493">
      <c r="A2493" s="9"/>
    </row>
    <row r="2494">
      <c r="A2494" s="9"/>
    </row>
    <row r="2495">
      <c r="A2495" s="9"/>
    </row>
    <row r="2496">
      <c r="A2496" s="9"/>
    </row>
    <row r="2497">
      <c r="A2497" s="9"/>
    </row>
    <row r="2498">
      <c r="A2498" s="9"/>
    </row>
    <row r="2499">
      <c r="A2499" s="9"/>
    </row>
    <row r="2500">
      <c r="A2500" s="9"/>
    </row>
    <row r="2501">
      <c r="A2501" s="9"/>
    </row>
    <row r="2502">
      <c r="A2502" s="9"/>
    </row>
    <row r="2503">
      <c r="A2503" s="9"/>
    </row>
    <row r="2504">
      <c r="A2504" s="9"/>
    </row>
    <row r="2505">
      <c r="A2505" s="9"/>
    </row>
    <row r="2506">
      <c r="A2506" s="9"/>
    </row>
    <row r="2507">
      <c r="A2507" s="9"/>
    </row>
    <row r="2508">
      <c r="A2508" s="9"/>
    </row>
    <row r="2509">
      <c r="A2509" s="9"/>
    </row>
    <row r="2510">
      <c r="A2510" s="9"/>
    </row>
    <row r="2511">
      <c r="A2511" s="9"/>
    </row>
    <row r="2512">
      <c r="A2512" s="9"/>
    </row>
    <row r="2513">
      <c r="A2513" s="9"/>
    </row>
    <row r="2514">
      <c r="A2514" s="9"/>
    </row>
    <row r="2515">
      <c r="A2515" s="9"/>
    </row>
    <row r="2516">
      <c r="A2516" s="9"/>
    </row>
    <row r="2517">
      <c r="A2517" s="9"/>
    </row>
    <row r="2518">
      <c r="A2518" s="9"/>
    </row>
    <row r="2519">
      <c r="A2519" s="9"/>
    </row>
    <row r="2520">
      <c r="A2520" s="9"/>
    </row>
    <row r="2521">
      <c r="A2521" s="9"/>
    </row>
    <row r="2522">
      <c r="A2522" s="9"/>
    </row>
    <row r="2523">
      <c r="A2523" s="9"/>
    </row>
    <row r="2524">
      <c r="A2524" s="9"/>
    </row>
    <row r="2525">
      <c r="A2525" s="9"/>
    </row>
    <row r="2526">
      <c r="A2526" s="9"/>
    </row>
    <row r="2527">
      <c r="A2527" s="9"/>
    </row>
    <row r="2528">
      <c r="A2528" s="9"/>
    </row>
    <row r="2529">
      <c r="A2529" s="9"/>
    </row>
    <row r="2530">
      <c r="A2530" s="9"/>
    </row>
    <row r="2531">
      <c r="A2531" s="9"/>
    </row>
    <row r="2532">
      <c r="A2532" s="9"/>
    </row>
    <row r="2533">
      <c r="A2533" s="9"/>
    </row>
    <row r="2534">
      <c r="A2534" s="9"/>
    </row>
    <row r="2535">
      <c r="A2535" s="9"/>
    </row>
    <row r="2536">
      <c r="A2536" s="9"/>
    </row>
    <row r="2537">
      <c r="A2537" s="9"/>
    </row>
    <row r="2538">
      <c r="A2538" s="9"/>
    </row>
    <row r="2539">
      <c r="A2539" s="9"/>
    </row>
    <row r="2540">
      <c r="A2540" s="9"/>
    </row>
    <row r="2541">
      <c r="A2541" s="9"/>
    </row>
    <row r="2542">
      <c r="A2542" s="9"/>
    </row>
    <row r="2543">
      <c r="A2543" s="9"/>
    </row>
    <row r="2544">
      <c r="A2544" s="9"/>
    </row>
    <row r="2545">
      <c r="A2545" s="9"/>
    </row>
    <row r="2546">
      <c r="A2546" s="9"/>
    </row>
    <row r="2547">
      <c r="A2547" s="9"/>
    </row>
    <row r="2548">
      <c r="A2548" s="9"/>
    </row>
    <row r="2549">
      <c r="A2549" s="9"/>
    </row>
    <row r="2550">
      <c r="A2550" s="9"/>
    </row>
    <row r="2551">
      <c r="A2551" s="9"/>
    </row>
    <row r="2552">
      <c r="A2552" s="9"/>
    </row>
    <row r="2553">
      <c r="A2553" s="9"/>
    </row>
    <row r="2554">
      <c r="A2554" s="9"/>
    </row>
    <row r="2555">
      <c r="A2555" s="9"/>
    </row>
    <row r="2556">
      <c r="A2556" s="9"/>
    </row>
    <row r="2557">
      <c r="A2557" s="9"/>
    </row>
    <row r="2558">
      <c r="A2558" s="9"/>
    </row>
    <row r="2559">
      <c r="A2559" s="9"/>
    </row>
    <row r="2560">
      <c r="A2560" s="9"/>
    </row>
    <row r="2561">
      <c r="A2561" s="9"/>
    </row>
    <row r="2562">
      <c r="A2562" s="9"/>
    </row>
    <row r="2563">
      <c r="A2563" s="9"/>
    </row>
    <row r="2564">
      <c r="A2564" s="9"/>
    </row>
    <row r="2565">
      <c r="A2565" s="9"/>
    </row>
    <row r="2566">
      <c r="A2566" s="9"/>
    </row>
    <row r="2567">
      <c r="A2567" s="9"/>
    </row>
    <row r="2568">
      <c r="A2568" s="9"/>
    </row>
    <row r="2569">
      <c r="A2569" s="9"/>
    </row>
    <row r="2570">
      <c r="A2570" s="9"/>
    </row>
    <row r="2571">
      <c r="A2571" s="9"/>
    </row>
    <row r="2572">
      <c r="A2572" s="9"/>
    </row>
    <row r="2573">
      <c r="A2573" s="9"/>
    </row>
    <row r="2574">
      <c r="A2574" s="9"/>
    </row>
    <row r="2575">
      <c r="A2575" s="9"/>
    </row>
    <row r="2576">
      <c r="A2576" s="9"/>
    </row>
    <row r="2577">
      <c r="A2577" s="9"/>
    </row>
    <row r="2578">
      <c r="A2578" s="9"/>
    </row>
    <row r="2579">
      <c r="A2579" s="9"/>
    </row>
    <row r="2580">
      <c r="A2580" s="9"/>
    </row>
    <row r="2581">
      <c r="A2581" s="9"/>
    </row>
    <row r="2582">
      <c r="A2582" s="9"/>
    </row>
    <row r="2583">
      <c r="A2583" s="9"/>
    </row>
    <row r="2584">
      <c r="A2584" s="9"/>
    </row>
    <row r="2585">
      <c r="A2585" s="9"/>
    </row>
    <row r="2586">
      <c r="A2586" s="9"/>
    </row>
    <row r="2587">
      <c r="A2587" s="9"/>
    </row>
    <row r="2588">
      <c r="A2588" s="9"/>
    </row>
    <row r="2589">
      <c r="A2589" s="9"/>
    </row>
    <row r="2590">
      <c r="A2590" s="9"/>
    </row>
    <row r="2591">
      <c r="A2591" s="9"/>
    </row>
    <row r="2592">
      <c r="A2592" s="9"/>
    </row>
    <row r="2593">
      <c r="A2593" s="9"/>
    </row>
    <row r="2594">
      <c r="A2594" s="9"/>
    </row>
    <row r="2595">
      <c r="A2595" s="9"/>
    </row>
    <row r="2596">
      <c r="A2596" s="9"/>
    </row>
    <row r="2597">
      <c r="A2597" s="9"/>
    </row>
    <row r="2598">
      <c r="A2598" s="9"/>
    </row>
    <row r="2599">
      <c r="A2599" s="9"/>
    </row>
    <row r="2600">
      <c r="A2600" s="9"/>
    </row>
    <row r="2601">
      <c r="A2601" s="9"/>
    </row>
    <row r="2602">
      <c r="A2602" s="9"/>
    </row>
    <row r="2603">
      <c r="A2603" s="9"/>
    </row>
    <row r="2604">
      <c r="A2604" s="9"/>
    </row>
    <row r="2605">
      <c r="A2605" s="9"/>
    </row>
    <row r="2606">
      <c r="A2606" s="9"/>
    </row>
    <row r="2607">
      <c r="A2607" s="9"/>
    </row>
    <row r="2608">
      <c r="A2608" s="9"/>
    </row>
    <row r="2609">
      <c r="A2609" s="9"/>
    </row>
    <row r="2610">
      <c r="A2610" s="9"/>
    </row>
    <row r="2611">
      <c r="A2611" s="9"/>
    </row>
    <row r="2612">
      <c r="A2612" s="9"/>
    </row>
    <row r="2613">
      <c r="A2613" s="9"/>
    </row>
    <row r="2614">
      <c r="A2614" s="9"/>
    </row>
    <row r="2615">
      <c r="A2615" s="9"/>
    </row>
    <row r="2616">
      <c r="A2616" s="9"/>
    </row>
    <row r="2617">
      <c r="A2617" s="9"/>
    </row>
    <row r="2618">
      <c r="A2618" s="9"/>
    </row>
    <row r="2619">
      <c r="A2619" s="9"/>
    </row>
    <row r="2620">
      <c r="A2620" s="9"/>
    </row>
    <row r="2621">
      <c r="A2621" s="9"/>
    </row>
    <row r="2622">
      <c r="A2622" s="9"/>
    </row>
    <row r="2623">
      <c r="A2623" s="9"/>
    </row>
    <row r="2624">
      <c r="A2624" s="9"/>
    </row>
    <row r="2625">
      <c r="A2625" s="9"/>
    </row>
    <row r="2626">
      <c r="A2626" s="9"/>
    </row>
    <row r="2627">
      <c r="A2627" s="9"/>
    </row>
    <row r="2628">
      <c r="A2628" s="9"/>
    </row>
    <row r="2629">
      <c r="A2629" s="9"/>
    </row>
    <row r="2630">
      <c r="A2630" s="9"/>
    </row>
    <row r="2631">
      <c r="A2631" s="9"/>
    </row>
    <row r="2632">
      <c r="A2632" s="9"/>
    </row>
    <row r="2633">
      <c r="A2633" s="9"/>
    </row>
    <row r="2634">
      <c r="A2634" s="9"/>
    </row>
    <row r="2635">
      <c r="A2635" s="9"/>
    </row>
    <row r="2636">
      <c r="A2636" s="9"/>
    </row>
    <row r="2637">
      <c r="A2637" s="9"/>
    </row>
    <row r="2638">
      <c r="A2638" s="9"/>
    </row>
    <row r="2639">
      <c r="A2639" s="9"/>
    </row>
    <row r="2640">
      <c r="A2640" s="9"/>
    </row>
    <row r="2641">
      <c r="A2641" s="9"/>
    </row>
    <row r="2642">
      <c r="A2642" s="9"/>
    </row>
    <row r="2643">
      <c r="A2643" s="9"/>
    </row>
    <row r="2644">
      <c r="A2644" s="9"/>
    </row>
    <row r="2645">
      <c r="A2645" s="9"/>
    </row>
    <row r="2646">
      <c r="A2646" s="9"/>
    </row>
    <row r="2647">
      <c r="A2647" s="9"/>
    </row>
    <row r="2648">
      <c r="A2648" s="9"/>
    </row>
    <row r="2649">
      <c r="A2649" s="9"/>
    </row>
    <row r="2650">
      <c r="A2650" s="9"/>
    </row>
    <row r="2651">
      <c r="A2651" s="9"/>
    </row>
    <row r="2652">
      <c r="A2652" s="9"/>
    </row>
    <row r="2653">
      <c r="A2653" s="9"/>
    </row>
    <row r="2654">
      <c r="A2654" s="9"/>
    </row>
    <row r="2655">
      <c r="A2655" s="9"/>
    </row>
    <row r="2656">
      <c r="A2656" s="9"/>
    </row>
    <row r="2657">
      <c r="A2657" s="9"/>
    </row>
    <row r="2658">
      <c r="A2658" s="9"/>
    </row>
    <row r="2659">
      <c r="A2659" s="9"/>
    </row>
    <row r="2660">
      <c r="A2660" s="9"/>
    </row>
    <row r="2661">
      <c r="A2661" s="9"/>
    </row>
    <row r="2662">
      <c r="A2662" s="9"/>
    </row>
    <row r="2663">
      <c r="A2663" s="9"/>
    </row>
    <row r="2664">
      <c r="A2664" s="9"/>
    </row>
    <row r="2665">
      <c r="A2665" s="9"/>
    </row>
    <row r="2666">
      <c r="A2666" s="9"/>
    </row>
    <row r="2667">
      <c r="A2667" s="9"/>
    </row>
    <row r="2668">
      <c r="A2668" s="9"/>
    </row>
    <row r="2669">
      <c r="A2669" s="9"/>
    </row>
    <row r="2670">
      <c r="A2670" s="9"/>
    </row>
    <row r="2671">
      <c r="A2671" s="9"/>
    </row>
    <row r="2672">
      <c r="A2672" s="9"/>
    </row>
    <row r="2673">
      <c r="A2673" s="9"/>
    </row>
    <row r="2674">
      <c r="A2674" s="9"/>
    </row>
    <row r="2675">
      <c r="A2675" s="9"/>
    </row>
    <row r="2676">
      <c r="A2676" s="9"/>
    </row>
    <row r="2677">
      <c r="A2677" s="9"/>
    </row>
    <row r="2678">
      <c r="A2678" s="9"/>
    </row>
    <row r="2679">
      <c r="A2679" s="9"/>
    </row>
    <row r="2680">
      <c r="A2680" s="9"/>
    </row>
    <row r="2681">
      <c r="A2681" s="9"/>
    </row>
    <row r="2682">
      <c r="A2682" s="9"/>
    </row>
    <row r="2683">
      <c r="A2683" s="9"/>
    </row>
    <row r="2684">
      <c r="A2684" s="9"/>
    </row>
    <row r="2685">
      <c r="A2685" s="9"/>
    </row>
    <row r="2686">
      <c r="A2686" s="9"/>
    </row>
    <row r="2687">
      <c r="A2687" s="9"/>
    </row>
    <row r="2688">
      <c r="A2688" s="9"/>
    </row>
    <row r="2689">
      <c r="A2689" s="9"/>
    </row>
    <row r="2690">
      <c r="A2690" s="9"/>
    </row>
    <row r="2691">
      <c r="A2691" s="9"/>
    </row>
    <row r="2692">
      <c r="A2692" s="9"/>
    </row>
    <row r="2693">
      <c r="A2693" s="9"/>
    </row>
    <row r="2694">
      <c r="A2694" s="9"/>
    </row>
    <row r="2695">
      <c r="A2695" s="9"/>
    </row>
    <row r="2696">
      <c r="A2696" s="9"/>
    </row>
    <row r="2697">
      <c r="A2697" s="9"/>
    </row>
    <row r="2698">
      <c r="A2698" s="9"/>
    </row>
    <row r="2699">
      <c r="A2699" s="9"/>
    </row>
    <row r="2700">
      <c r="A2700" s="9"/>
    </row>
    <row r="2701">
      <c r="A2701" s="9"/>
    </row>
    <row r="2702">
      <c r="A2702" s="9"/>
    </row>
    <row r="2703">
      <c r="A2703" s="9"/>
    </row>
    <row r="2704">
      <c r="A2704" s="9"/>
    </row>
    <row r="2705">
      <c r="A2705" s="9"/>
    </row>
    <row r="2706">
      <c r="A2706" s="9"/>
    </row>
    <row r="2707">
      <c r="A2707" s="9"/>
    </row>
    <row r="2708">
      <c r="A2708" s="9"/>
    </row>
    <row r="2709">
      <c r="A2709" s="9"/>
    </row>
    <row r="2710">
      <c r="A2710" s="9"/>
    </row>
    <row r="2711">
      <c r="A2711" s="9"/>
    </row>
    <row r="2712">
      <c r="A2712" s="9"/>
    </row>
    <row r="2713">
      <c r="A2713" s="9"/>
    </row>
    <row r="2714">
      <c r="A2714" s="9"/>
    </row>
    <row r="2715">
      <c r="A2715" s="9"/>
    </row>
    <row r="2716">
      <c r="A2716" s="9"/>
    </row>
    <row r="2717">
      <c r="A2717" s="9"/>
    </row>
    <row r="2718">
      <c r="A2718" s="9"/>
    </row>
    <row r="2719">
      <c r="A2719" s="9"/>
    </row>
    <row r="2720">
      <c r="A2720" s="9"/>
    </row>
    <row r="2721">
      <c r="A2721" s="9"/>
    </row>
    <row r="2722">
      <c r="A2722" s="9"/>
    </row>
    <row r="2723">
      <c r="A2723" s="9"/>
    </row>
    <row r="2724">
      <c r="A2724" s="9"/>
    </row>
    <row r="2725">
      <c r="A2725" s="9"/>
    </row>
    <row r="2726">
      <c r="A2726" s="9"/>
    </row>
    <row r="2727">
      <c r="A2727" s="9"/>
    </row>
    <row r="2728">
      <c r="A2728" s="9"/>
    </row>
    <row r="2729">
      <c r="A2729" s="9"/>
    </row>
    <row r="2730">
      <c r="A2730" s="9"/>
    </row>
    <row r="2731">
      <c r="A2731" s="9"/>
    </row>
    <row r="2732">
      <c r="A2732" s="9"/>
    </row>
    <row r="2733">
      <c r="A2733" s="9"/>
    </row>
    <row r="2734">
      <c r="A2734" s="9"/>
    </row>
    <row r="2735">
      <c r="A2735" s="9"/>
    </row>
    <row r="2736">
      <c r="A2736" s="9"/>
    </row>
    <row r="2737">
      <c r="A2737" s="9"/>
    </row>
    <row r="2738">
      <c r="A2738" s="9"/>
    </row>
    <row r="2739">
      <c r="A2739" s="9"/>
    </row>
    <row r="2740">
      <c r="A2740" s="9"/>
    </row>
    <row r="2741">
      <c r="A2741" s="9"/>
    </row>
    <row r="2742">
      <c r="A2742" s="9"/>
    </row>
    <row r="2743">
      <c r="A2743" s="9"/>
    </row>
    <row r="2744">
      <c r="A2744" s="9"/>
    </row>
    <row r="2745">
      <c r="A2745" s="9"/>
    </row>
    <row r="2746">
      <c r="A2746" s="9"/>
    </row>
    <row r="2747">
      <c r="A2747" s="9"/>
    </row>
    <row r="2748">
      <c r="A2748" s="9"/>
    </row>
    <row r="2749">
      <c r="A2749" s="9"/>
    </row>
    <row r="2750">
      <c r="A2750" s="9"/>
    </row>
    <row r="2751">
      <c r="A2751" s="9"/>
    </row>
    <row r="2752">
      <c r="A2752" s="9"/>
    </row>
    <row r="2753">
      <c r="A2753" s="9"/>
    </row>
    <row r="2754">
      <c r="A2754" s="9"/>
    </row>
    <row r="2755">
      <c r="A2755" s="9"/>
    </row>
    <row r="2756">
      <c r="A2756" s="9"/>
    </row>
    <row r="2757">
      <c r="A2757" s="9"/>
    </row>
    <row r="2758">
      <c r="A2758" s="9"/>
    </row>
    <row r="2759">
      <c r="A2759" s="9"/>
    </row>
    <row r="2760">
      <c r="A2760" s="9"/>
    </row>
    <row r="2761">
      <c r="A2761" s="9"/>
    </row>
    <row r="2762">
      <c r="A2762" s="9"/>
    </row>
    <row r="2763">
      <c r="A2763" s="9"/>
    </row>
    <row r="2764">
      <c r="A2764" s="9"/>
    </row>
    <row r="2765">
      <c r="A2765" s="9"/>
    </row>
    <row r="2766">
      <c r="A2766" s="9"/>
    </row>
    <row r="2767">
      <c r="A2767" s="9"/>
    </row>
    <row r="2768">
      <c r="A2768" s="9"/>
    </row>
    <row r="2769">
      <c r="A2769" s="9"/>
    </row>
    <row r="2770">
      <c r="A2770" s="9"/>
    </row>
    <row r="2771">
      <c r="A2771" s="9"/>
    </row>
    <row r="2772">
      <c r="A2772" s="9"/>
    </row>
    <row r="2773">
      <c r="A2773" s="9"/>
    </row>
    <row r="2774">
      <c r="A2774" s="9"/>
    </row>
    <row r="2775">
      <c r="A2775" s="9"/>
    </row>
    <row r="2776">
      <c r="A2776" s="9"/>
    </row>
    <row r="2777">
      <c r="A2777" s="9"/>
    </row>
    <row r="2778">
      <c r="A2778" s="9"/>
    </row>
    <row r="2779">
      <c r="A2779" s="9"/>
    </row>
    <row r="2780">
      <c r="A2780" s="9"/>
    </row>
    <row r="2781">
      <c r="A2781" s="9"/>
    </row>
    <row r="2782">
      <c r="A2782" s="9"/>
    </row>
    <row r="2783">
      <c r="A2783" s="9"/>
    </row>
    <row r="2784">
      <c r="A2784" s="9"/>
    </row>
    <row r="2785">
      <c r="A2785" s="9"/>
    </row>
    <row r="2786">
      <c r="A2786" s="9"/>
    </row>
    <row r="2787">
      <c r="A2787" s="9"/>
    </row>
    <row r="2788">
      <c r="A2788" s="9"/>
    </row>
    <row r="2789">
      <c r="A2789" s="9"/>
    </row>
    <row r="2790">
      <c r="A2790" s="9"/>
    </row>
    <row r="2791">
      <c r="A2791" s="9"/>
    </row>
    <row r="2792">
      <c r="A2792" s="9"/>
    </row>
    <row r="2793">
      <c r="A2793" s="9"/>
    </row>
    <row r="2794">
      <c r="A2794" s="9"/>
    </row>
    <row r="2795">
      <c r="A2795" s="9"/>
    </row>
    <row r="2796">
      <c r="A2796" s="9"/>
    </row>
    <row r="2797">
      <c r="A2797" s="9"/>
    </row>
    <row r="2798">
      <c r="A2798" s="9"/>
    </row>
    <row r="2799">
      <c r="A2799" s="9"/>
    </row>
    <row r="2800">
      <c r="A2800" s="9"/>
    </row>
    <row r="2801">
      <c r="A2801" s="9"/>
    </row>
    <row r="2802">
      <c r="A2802" s="9"/>
    </row>
    <row r="2803">
      <c r="A2803" s="9"/>
    </row>
    <row r="2804">
      <c r="A2804" s="9"/>
    </row>
    <row r="2805">
      <c r="A2805" s="9"/>
    </row>
    <row r="2806">
      <c r="A2806" s="9"/>
    </row>
    <row r="2807">
      <c r="A2807" s="9"/>
    </row>
    <row r="2808">
      <c r="A2808" s="9"/>
    </row>
    <row r="2809">
      <c r="A2809" s="9"/>
    </row>
    <row r="2810">
      <c r="A2810" s="9"/>
    </row>
    <row r="2811">
      <c r="A2811" s="9"/>
    </row>
    <row r="2812">
      <c r="A2812" s="9"/>
    </row>
    <row r="2813">
      <c r="A2813" s="9"/>
    </row>
    <row r="2814">
      <c r="A2814" s="9"/>
    </row>
    <row r="2815">
      <c r="A2815" s="9"/>
    </row>
    <row r="2816">
      <c r="A2816" s="9"/>
    </row>
    <row r="2817">
      <c r="A2817" s="9"/>
    </row>
    <row r="2818">
      <c r="A2818" s="9"/>
    </row>
    <row r="2819">
      <c r="A2819" s="9"/>
    </row>
    <row r="2820">
      <c r="A2820" s="9"/>
    </row>
    <row r="2821">
      <c r="A2821" s="9"/>
    </row>
    <row r="2822">
      <c r="A2822" s="9"/>
    </row>
    <row r="2823">
      <c r="A2823" s="9"/>
    </row>
    <row r="2824">
      <c r="A2824" s="9"/>
    </row>
    <row r="2825">
      <c r="A2825" s="9"/>
    </row>
    <row r="2826">
      <c r="A2826" s="9"/>
    </row>
    <row r="2827">
      <c r="A2827" s="9"/>
    </row>
    <row r="2828">
      <c r="A2828" s="9"/>
    </row>
    <row r="2829">
      <c r="A2829" s="9"/>
    </row>
    <row r="2830">
      <c r="A2830" s="9"/>
    </row>
    <row r="2831">
      <c r="A2831" s="9"/>
    </row>
    <row r="2832">
      <c r="A2832" s="9"/>
    </row>
    <row r="2833">
      <c r="A2833" s="9"/>
    </row>
    <row r="2834">
      <c r="A2834" s="9"/>
    </row>
    <row r="2835">
      <c r="A2835" s="9"/>
    </row>
    <row r="2836">
      <c r="A2836" s="9"/>
    </row>
    <row r="2837">
      <c r="A2837" s="9"/>
    </row>
    <row r="2838">
      <c r="A2838" s="9"/>
    </row>
    <row r="2839">
      <c r="A2839" s="9"/>
    </row>
    <row r="2840">
      <c r="A2840" s="9"/>
    </row>
    <row r="2841">
      <c r="A2841" s="9"/>
    </row>
    <row r="2842">
      <c r="A2842" s="9"/>
    </row>
    <row r="2843">
      <c r="A2843" s="9"/>
    </row>
    <row r="2844">
      <c r="A2844" s="9"/>
    </row>
    <row r="2845">
      <c r="A2845" s="9"/>
    </row>
    <row r="2846">
      <c r="A2846" s="9"/>
    </row>
    <row r="2847">
      <c r="A2847" s="9"/>
    </row>
    <row r="2848">
      <c r="A2848" s="9"/>
    </row>
    <row r="2849">
      <c r="A2849" s="9"/>
    </row>
    <row r="2850">
      <c r="A2850" s="9"/>
    </row>
    <row r="2851">
      <c r="A2851" s="9"/>
    </row>
    <row r="2852">
      <c r="A2852" s="9"/>
    </row>
    <row r="2853">
      <c r="A2853" s="9"/>
    </row>
    <row r="2854">
      <c r="A2854" s="9"/>
    </row>
    <row r="2855">
      <c r="A2855" s="9"/>
    </row>
    <row r="2856">
      <c r="A2856" s="9"/>
    </row>
    <row r="2857">
      <c r="A2857" s="9"/>
    </row>
    <row r="2858">
      <c r="A2858" s="9"/>
    </row>
    <row r="2859">
      <c r="A2859" s="9"/>
    </row>
    <row r="2860">
      <c r="A2860" s="9"/>
    </row>
    <row r="2861">
      <c r="A2861" s="9"/>
    </row>
    <row r="2862">
      <c r="A2862" s="9"/>
    </row>
    <row r="2863">
      <c r="A2863" s="9"/>
    </row>
    <row r="2864">
      <c r="A2864" s="9"/>
    </row>
    <row r="2865">
      <c r="A2865" s="9"/>
    </row>
    <row r="2866">
      <c r="A2866" s="9"/>
    </row>
    <row r="2867">
      <c r="A2867" s="9"/>
    </row>
    <row r="2868">
      <c r="A2868" s="9"/>
    </row>
    <row r="2869">
      <c r="A2869" s="9"/>
    </row>
    <row r="2870">
      <c r="A2870" s="9"/>
    </row>
    <row r="2871">
      <c r="A2871" s="9"/>
    </row>
    <row r="2872">
      <c r="A2872" s="9"/>
    </row>
    <row r="2873">
      <c r="A2873" s="9"/>
    </row>
    <row r="2874">
      <c r="A2874" s="9"/>
    </row>
    <row r="2875">
      <c r="A2875" s="9"/>
    </row>
    <row r="2876">
      <c r="A2876" s="9"/>
    </row>
    <row r="2877">
      <c r="A2877" s="9"/>
    </row>
    <row r="2878">
      <c r="A2878" s="9"/>
    </row>
    <row r="2879">
      <c r="A2879" s="9"/>
    </row>
    <row r="2880">
      <c r="A2880" s="9"/>
    </row>
    <row r="2881">
      <c r="A2881" s="9"/>
    </row>
    <row r="2882">
      <c r="A2882" s="9"/>
    </row>
    <row r="2883">
      <c r="A2883" s="9"/>
    </row>
    <row r="2884">
      <c r="A2884" s="9"/>
    </row>
    <row r="2885">
      <c r="A2885" s="9"/>
    </row>
    <row r="2886">
      <c r="A2886" s="9"/>
    </row>
    <row r="2887">
      <c r="A2887" s="9"/>
    </row>
    <row r="2888">
      <c r="A2888" s="9"/>
    </row>
    <row r="2889">
      <c r="A2889" s="9"/>
    </row>
    <row r="2890">
      <c r="A2890" s="9"/>
    </row>
    <row r="2891">
      <c r="A2891" s="9"/>
    </row>
    <row r="2892">
      <c r="A2892" s="9"/>
    </row>
    <row r="2893">
      <c r="A2893" s="9"/>
    </row>
    <row r="2894">
      <c r="A2894" s="9"/>
    </row>
    <row r="2895">
      <c r="A2895" s="9"/>
    </row>
    <row r="2896">
      <c r="A2896" s="9"/>
    </row>
    <row r="2897">
      <c r="A2897" s="9"/>
    </row>
    <row r="2898">
      <c r="A2898" s="9"/>
    </row>
    <row r="2899">
      <c r="A2899" s="9"/>
    </row>
    <row r="2900">
      <c r="A2900" s="9"/>
    </row>
    <row r="2901">
      <c r="A2901" s="9"/>
    </row>
    <row r="2902">
      <c r="A2902" s="9"/>
    </row>
    <row r="2903">
      <c r="A2903" s="9"/>
    </row>
    <row r="2904">
      <c r="A2904" s="9"/>
    </row>
    <row r="2905">
      <c r="A2905" s="9"/>
    </row>
    <row r="2906">
      <c r="A2906" s="9"/>
    </row>
    <row r="2907">
      <c r="A2907" s="9"/>
    </row>
    <row r="2908">
      <c r="A2908" s="9"/>
    </row>
    <row r="2909">
      <c r="A2909" s="9"/>
    </row>
    <row r="2910">
      <c r="A2910" s="9"/>
    </row>
    <row r="2911">
      <c r="A2911" s="9"/>
    </row>
    <row r="2912">
      <c r="A2912" s="9"/>
    </row>
    <row r="2913">
      <c r="A2913" s="9"/>
    </row>
    <row r="2914">
      <c r="A2914" s="9"/>
    </row>
    <row r="2915">
      <c r="A2915" s="9"/>
    </row>
    <row r="2916">
      <c r="A2916" s="9"/>
    </row>
    <row r="2917">
      <c r="A2917" s="9"/>
    </row>
    <row r="2918">
      <c r="A2918" s="9"/>
    </row>
    <row r="2919">
      <c r="A2919" s="9"/>
    </row>
    <row r="2920">
      <c r="A2920" s="9"/>
    </row>
    <row r="2921">
      <c r="A2921" s="9"/>
    </row>
    <row r="2922">
      <c r="A2922" s="9"/>
    </row>
    <row r="2923">
      <c r="A2923" s="9"/>
    </row>
    <row r="2924">
      <c r="A2924" s="9"/>
    </row>
    <row r="2925">
      <c r="A2925" s="9"/>
    </row>
    <row r="2926">
      <c r="A2926" s="9"/>
    </row>
    <row r="2927">
      <c r="A2927" s="9"/>
    </row>
    <row r="2928">
      <c r="A2928" s="9"/>
    </row>
    <row r="2929">
      <c r="A2929" s="9"/>
    </row>
    <row r="2930">
      <c r="A2930" s="9"/>
    </row>
    <row r="2931">
      <c r="A2931" s="9"/>
    </row>
    <row r="2932">
      <c r="A2932" s="9"/>
    </row>
    <row r="2933">
      <c r="A2933" s="9"/>
    </row>
    <row r="2934">
      <c r="A2934" s="9"/>
    </row>
    <row r="2935">
      <c r="A2935" s="9"/>
    </row>
    <row r="2936">
      <c r="A2936" s="9"/>
    </row>
    <row r="2937">
      <c r="A2937" s="9"/>
    </row>
    <row r="2938">
      <c r="A2938" s="9"/>
    </row>
    <row r="2939">
      <c r="A2939" s="9"/>
    </row>
    <row r="2940">
      <c r="A2940" s="9"/>
    </row>
    <row r="2941">
      <c r="A2941" s="9"/>
    </row>
    <row r="2942">
      <c r="A2942" s="9"/>
    </row>
    <row r="2943">
      <c r="A2943" s="9"/>
    </row>
    <row r="2944">
      <c r="A2944" s="9"/>
    </row>
    <row r="2945">
      <c r="A2945" s="9"/>
    </row>
    <row r="2946">
      <c r="A2946" s="9"/>
    </row>
    <row r="2947">
      <c r="A2947" s="9"/>
    </row>
    <row r="2948">
      <c r="A2948" s="9"/>
    </row>
    <row r="2949">
      <c r="A2949" s="9"/>
    </row>
    <row r="2950">
      <c r="A2950" s="9"/>
    </row>
    <row r="2951">
      <c r="A2951" s="9"/>
    </row>
    <row r="2952">
      <c r="A2952" s="9"/>
    </row>
    <row r="2953">
      <c r="A2953" s="9"/>
    </row>
    <row r="2954">
      <c r="A2954" s="9"/>
    </row>
    <row r="2955">
      <c r="A2955" s="9"/>
    </row>
    <row r="2956">
      <c r="A2956" s="9"/>
    </row>
    <row r="2957">
      <c r="A2957" s="9"/>
    </row>
    <row r="2958">
      <c r="A2958" s="9"/>
    </row>
    <row r="2959">
      <c r="A2959" s="9"/>
    </row>
    <row r="2960">
      <c r="A2960" s="9"/>
    </row>
    <row r="2961">
      <c r="A2961" s="9"/>
    </row>
    <row r="2962">
      <c r="A2962" s="9"/>
    </row>
    <row r="2963">
      <c r="A2963" s="9"/>
    </row>
    <row r="2964">
      <c r="A2964" s="9"/>
    </row>
    <row r="2965">
      <c r="A2965" s="9"/>
    </row>
    <row r="2966">
      <c r="A2966" s="9"/>
    </row>
    <row r="2967">
      <c r="A2967" s="9"/>
    </row>
    <row r="2968">
      <c r="A2968" s="9"/>
    </row>
    <row r="2969">
      <c r="A2969" s="9"/>
    </row>
    <row r="2970">
      <c r="A2970" s="9"/>
    </row>
    <row r="2971">
      <c r="A2971" s="9"/>
    </row>
    <row r="2972">
      <c r="A2972" s="9"/>
    </row>
    <row r="2973">
      <c r="A2973" s="9"/>
    </row>
    <row r="2974">
      <c r="A2974" s="9"/>
    </row>
    <row r="2975">
      <c r="A2975" s="9"/>
    </row>
    <row r="2976">
      <c r="A2976" s="9"/>
    </row>
    <row r="2977">
      <c r="A2977" s="9"/>
    </row>
    <row r="2978">
      <c r="A2978" s="9"/>
    </row>
    <row r="2979">
      <c r="A2979" s="9"/>
    </row>
    <row r="2980">
      <c r="A2980" s="9"/>
    </row>
    <row r="2981">
      <c r="A2981" s="9"/>
    </row>
    <row r="2982">
      <c r="A2982" s="9"/>
    </row>
    <row r="2983">
      <c r="A2983" s="9"/>
    </row>
    <row r="2984">
      <c r="A2984" s="9"/>
    </row>
    <row r="2985">
      <c r="A2985" s="9"/>
    </row>
    <row r="2986">
      <c r="A2986" s="9"/>
    </row>
    <row r="2987">
      <c r="A2987" s="9"/>
    </row>
    <row r="2988">
      <c r="A2988" s="9"/>
    </row>
    <row r="2989">
      <c r="A2989" s="9"/>
    </row>
    <row r="2990">
      <c r="A2990" s="9"/>
    </row>
    <row r="2991">
      <c r="A2991" s="9"/>
    </row>
    <row r="2992">
      <c r="A2992" s="9"/>
    </row>
    <row r="2993">
      <c r="A2993" s="9"/>
    </row>
    <row r="2994">
      <c r="A2994" s="9"/>
    </row>
    <row r="2995">
      <c r="A2995" s="9"/>
    </row>
    <row r="2996">
      <c r="A2996" s="9"/>
    </row>
    <row r="2997">
      <c r="A2997" s="9"/>
    </row>
    <row r="2998">
      <c r="A2998" s="9"/>
    </row>
    <row r="2999">
      <c r="A2999" s="9"/>
    </row>
    <row r="3000">
      <c r="A3000" s="9"/>
    </row>
    <row r="3001">
      <c r="A3001" s="9"/>
    </row>
    <row r="3002">
      <c r="A3002" s="9"/>
    </row>
    <row r="3003">
      <c r="A3003" s="9"/>
    </row>
    <row r="3004">
      <c r="A3004" s="9"/>
    </row>
    <row r="3005">
      <c r="A3005" s="9"/>
    </row>
    <row r="3006">
      <c r="A3006" s="9"/>
    </row>
    <row r="3007">
      <c r="A3007" s="9"/>
    </row>
    <row r="3008">
      <c r="A3008" s="9"/>
    </row>
    <row r="3009">
      <c r="A3009" s="9"/>
    </row>
    <row r="3010">
      <c r="A3010" s="9"/>
    </row>
    <row r="3011">
      <c r="A3011" s="9"/>
    </row>
    <row r="3012">
      <c r="A3012" s="9"/>
    </row>
    <row r="3013">
      <c r="A3013" s="9"/>
    </row>
    <row r="3014">
      <c r="A3014" s="9"/>
    </row>
    <row r="3015">
      <c r="A3015" s="9"/>
    </row>
    <row r="3016">
      <c r="A3016" s="9"/>
    </row>
    <row r="3017">
      <c r="A3017" s="9"/>
    </row>
    <row r="3018">
      <c r="A3018" s="9"/>
    </row>
    <row r="3019">
      <c r="A3019" s="9"/>
    </row>
    <row r="3020">
      <c r="A3020" s="9"/>
    </row>
    <row r="3021">
      <c r="A3021" s="9"/>
    </row>
    <row r="3022">
      <c r="A3022" s="9"/>
    </row>
    <row r="3023">
      <c r="A3023" s="9"/>
    </row>
    <row r="3024">
      <c r="A3024" s="9"/>
    </row>
    <row r="3025">
      <c r="A3025" s="9"/>
    </row>
    <row r="3026">
      <c r="A3026" s="9"/>
    </row>
    <row r="3027">
      <c r="A3027" s="9"/>
    </row>
    <row r="3028">
      <c r="A3028" s="9"/>
    </row>
    <row r="3029">
      <c r="A3029" s="9"/>
    </row>
    <row r="3030">
      <c r="A3030" s="9"/>
    </row>
    <row r="3031">
      <c r="A3031" s="9"/>
    </row>
    <row r="3032">
      <c r="A3032" s="9"/>
    </row>
    <row r="3033">
      <c r="A3033" s="9"/>
    </row>
    <row r="3034">
      <c r="A3034" s="9"/>
    </row>
    <row r="3035">
      <c r="A3035" s="9"/>
    </row>
    <row r="3036">
      <c r="A3036" s="9"/>
    </row>
    <row r="3037">
      <c r="A3037" s="9"/>
    </row>
    <row r="3038">
      <c r="A3038" s="9"/>
    </row>
    <row r="3039">
      <c r="A3039" s="9"/>
    </row>
    <row r="3040">
      <c r="A3040" s="9"/>
    </row>
    <row r="3041">
      <c r="A3041" s="9"/>
    </row>
    <row r="3042">
      <c r="A3042" s="9"/>
    </row>
    <row r="3043">
      <c r="A3043" s="9"/>
    </row>
    <row r="3044">
      <c r="A3044" s="9"/>
    </row>
    <row r="3045">
      <c r="A3045" s="9"/>
    </row>
    <row r="3046">
      <c r="A3046" s="9"/>
    </row>
    <row r="3047">
      <c r="A3047" s="9"/>
    </row>
    <row r="3048">
      <c r="A3048" s="9"/>
    </row>
    <row r="3049">
      <c r="A3049" s="9"/>
    </row>
    <row r="3050">
      <c r="A3050" s="9"/>
    </row>
    <row r="3051">
      <c r="A3051" s="9"/>
    </row>
    <row r="3052">
      <c r="A3052" s="9"/>
    </row>
    <row r="3053">
      <c r="A3053" s="9"/>
    </row>
    <row r="3054">
      <c r="A3054" s="9"/>
    </row>
    <row r="3055">
      <c r="A3055" s="9"/>
    </row>
    <row r="3056">
      <c r="A3056" s="9"/>
    </row>
    <row r="3057">
      <c r="A3057" s="9"/>
    </row>
    <row r="3058">
      <c r="A3058" s="9"/>
    </row>
    <row r="3059">
      <c r="A3059" s="9"/>
    </row>
    <row r="3060">
      <c r="A3060" s="9"/>
    </row>
    <row r="3061">
      <c r="A3061" s="9"/>
    </row>
    <row r="3062">
      <c r="A3062" s="9"/>
    </row>
    <row r="3063">
      <c r="A3063" s="9"/>
    </row>
    <row r="3064">
      <c r="A3064" s="9"/>
    </row>
    <row r="3065">
      <c r="A3065" s="9"/>
    </row>
    <row r="3066">
      <c r="A3066" s="9"/>
    </row>
    <row r="3067">
      <c r="A3067" s="9"/>
    </row>
    <row r="3068">
      <c r="A3068" s="9"/>
    </row>
    <row r="3069">
      <c r="A3069" s="9"/>
    </row>
    <row r="3070">
      <c r="A3070" s="9"/>
    </row>
    <row r="3071">
      <c r="A3071" s="9"/>
    </row>
    <row r="3072">
      <c r="A3072" s="9"/>
    </row>
    <row r="3073">
      <c r="A3073" s="9"/>
    </row>
    <row r="3074">
      <c r="A3074" s="9"/>
    </row>
    <row r="3075">
      <c r="A3075" s="9"/>
    </row>
    <row r="3076">
      <c r="A3076" s="9"/>
    </row>
    <row r="3077">
      <c r="A3077" s="9"/>
    </row>
    <row r="3078">
      <c r="A3078" s="9"/>
    </row>
    <row r="3079">
      <c r="A3079" s="9"/>
    </row>
    <row r="3080">
      <c r="A3080" s="9"/>
    </row>
    <row r="3081">
      <c r="A3081" s="9"/>
    </row>
    <row r="3082">
      <c r="A3082" s="9"/>
    </row>
    <row r="3083">
      <c r="A3083" s="9"/>
    </row>
    <row r="3084">
      <c r="A3084" s="9"/>
    </row>
    <row r="3085">
      <c r="A3085" s="9"/>
    </row>
    <row r="3086">
      <c r="A3086" s="9"/>
    </row>
    <row r="3087">
      <c r="A3087" s="9"/>
    </row>
    <row r="3088">
      <c r="A3088" s="9"/>
    </row>
    <row r="3089">
      <c r="A3089" s="9"/>
    </row>
    <row r="3090">
      <c r="A3090" s="9"/>
    </row>
    <row r="3091">
      <c r="A3091" s="9"/>
    </row>
    <row r="3092">
      <c r="A3092" s="9"/>
    </row>
    <row r="3093">
      <c r="A3093" s="9"/>
    </row>
    <row r="3094">
      <c r="A3094" s="9"/>
    </row>
    <row r="3095">
      <c r="A3095" s="9"/>
    </row>
    <row r="3096">
      <c r="A3096" s="9"/>
    </row>
    <row r="3097">
      <c r="A3097" s="9"/>
    </row>
    <row r="3098">
      <c r="A3098" s="9"/>
    </row>
    <row r="3099">
      <c r="A3099" s="9"/>
    </row>
    <row r="3100">
      <c r="A3100" s="9"/>
    </row>
    <row r="3101">
      <c r="A3101" s="9"/>
    </row>
    <row r="3102">
      <c r="A3102" s="9"/>
    </row>
    <row r="3103">
      <c r="A3103" s="9"/>
    </row>
    <row r="3104">
      <c r="A3104" s="9"/>
    </row>
    <row r="3105">
      <c r="A3105" s="9"/>
    </row>
    <row r="3106">
      <c r="A3106" s="9"/>
    </row>
    <row r="3107">
      <c r="A3107" s="9"/>
    </row>
    <row r="3108">
      <c r="A3108" s="9"/>
    </row>
    <row r="3109">
      <c r="A3109" s="9"/>
    </row>
    <row r="3110">
      <c r="A3110" s="9"/>
    </row>
    <row r="3111">
      <c r="A3111" s="9"/>
    </row>
    <row r="3112">
      <c r="A3112" s="9"/>
    </row>
    <row r="3113">
      <c r="A3113" s="9"/>
    </row>
    <row r="3114">
      <c r="A3114" s="9"/>
    </row>
    <row r="3115">
      <c r="A3115" s="9"/>
    </row>
    <row r="3116">
      <c r="A3116" s="9"/>
    </row>
    <row r="3117">
      <c r="A3117" s="9"/>
    </row>
    <row r="3118">
      <c r="A3118" s="9"/>
    </row>
    <row r="3119">
      <c r="A3119" s="9"/>
    </row>
    <row r="3120">
      <c r="A3120" s="9"/>
    </row>
    <row r="3121">
      <c r="A3121" s="9"/>
    </row>
    <row r="3122">
      <c r="A3122" s="9"/>
    </row>
    <row r="3123">
      <c r="A3123" s="9"/>
    </row>
    <row r="3124">
      <c r="A3124" s="9"/>
    </row>
    <row r="3125">
      <c r="A3125" s="9"/>
    </row>
    <row r="3126">
      <c r="A3126" s="9"/>
    </row>
    <row r="3127">
      <c r="A3127" s="9"/>
    </row>
    <row r="3128">
      <c r="A3128" s="9"/>
    </row>
    <row r="3129">
      <c r="A3129" s="9"/>
    </row>
    <row r="3130">
      <c r="A3130" s="9"/>
    </row>
    <row r="3131">
      <c r="A3131" s="9"/>
    </row>
    <row r="3132">
      <c r="A3132" s="9"/>
    </row>
    <row r="3133">
      <c r="A3133" s="9"/>
    </row>
    <row r="3134">
      <c r="A3134" s="9"/>
    </row>
    <row r="3135">
      <c r="A3135" s="9"/>
    </row>
    <row r="3136">
      <c r="A3136" s="9"/>
    </row>
    <row r="3137">
      <c r="A3137" s="9"/>
    </row>
    <row r="3138">
      <c r="A3138" s="9"/>
    </row>
    <row r="3139">
      <c r="A3139" s="9"/>
    </row>
    <row r="3140">
      <c r="A3140" s="9"/>
    </row>
    <row r="3141">
      <c r="A3141" s="9"/>
    </row>
    <row r="3142">
      <c r="A3142" s="9"/>
    </row>
    <row r="3143">
      <c r="A3143" s="9"/>
    </row>
    <row r="3144">
      <c r="A3144" s="9"/>
    </row>
    <row r="3145">
      <c r="A3145" s="9"/>
    </row>
    <row r="3146">
      <c r="A3146" s="9"/>
    </row>
    <row r="3147">
      <c r="A3147" s="9"/>
    </row>
    <row r="3148">
      <c r="A3148" s="9"/>
    </row>
    <row r="3149">
      <c r="A3149" s="9"/>
    </row>
    <row r="3150">
      <c r="A3150" s="9"/>
    </row>
    <row r="3151">
      <c r="A3151" s="9"/>
    </row>
    <row r="3152">
      <c r="A3152" s="9"/>
    </row>
    <row r="3153">
      <c r="A3153" s="9"/>
    </row>
    <row r="3154">
      <c r="A3154" s="9"/>
    </row>
    <row r="3155">
      <c r="A3155" s="9"/>
    </row>
    <row r="3156">
      <c r="A3156" s="9"/>
    </row>
    <row r="3157">
      <c r="A3157" s="9"/>
    </row>
    <row r="3158">
      <c r="A3158" s="9"/>
    </row>
    <row r="3159">
      <c r="A3159" s="9"/>
    </row>
    <row r="3160">
      <c r="A3160" s="9"/>
    </row>
    <row r="3161">
      <c r="A3161" s="9"/>
    </row>
    <row r="3162">
      <c r="A3162" s="9"/>
    </row>
    <row r="3163">
      <c r="A3163" s="9"/>
    </row>
    <row r="3164">
      <c r="A3164" s="9"/>
    </row>
    <row r="3165">
      <c r="A3165" s="9"/>
    </row>
    <row r="3166">
      <c r="A3166" s="9"/>
    </row>
    <row r="3167">
      <c r="A3167" s="9"/>
    </row>
    <row r="3168">
      <c r="A3168" s="9"/>
    </row>
    <row r="3169">
      <c r="A3169" s="9"/>
    </row>
    <row r="3170">
      <c r="A3170" s="9"/>
    </row>
    <row r="3171">
      <c r="A3171" s="9"/>
    </row>
    <row r="3172">
      <c r="A3172" s="9"/>
    </row>
    <row r="3173">
      <c r="A3173" s="9"/>
    </row>
    <row r="3174">
      <c r="A3174" s="9"/>
    </row>
    <row r="3175">
      <c r="A3175" s="9"/>
    </row>
    <row r="3176">
      <c r="A3176" s="9"/>
    </row>
    <row r="3177">
      <c r="A3177" s="9"/>
    </row>
    <row r="3178">
      <c r="A3178" s="9"/>
    </row>
    <row r="3179">
      <c r="A3179" s="9"/>
    </row>
    <row r="3180">
      <c r="A3180" s="9"/>
    </row>
    <row r="3181">
      <c r="A3181" s="9"/>
    </row>
    <row r="3182">
      <c r="A3182" s="9"/>
    </row>
    <row r="3183">
      <c r="A3183" s="9"/>
    </row>
    <row r="3184">
      <c r="A3184" s="9"/>
    </row>
    <row r="3185">
      <c r="A3185" s="9"/>
    </row>
    <row r="3186">
      <c r="A3186" s="9"/>
    </row>
    <row r="3187">
      <c r="A3187" s="9"/>
    </row>
    <row r="3188">
      <c r="A3188" s="9"/>
    </row>
    <row r="3189">
      <c r="A3189" s="9"/>
    </row>
    <row r="3190">
      <c r="A3190" s="9"/>
    </row>
    <row r="3191">
      <c r="A3191" s="9"/>
    </row>
    <row r="3192">
      <c r="A3192" s="9"/>
    </row>
    <row r="3193">
      <c r="A3193" s="9"/>
    </row>
    <row r="3194">
      <c r="A3194" s="9"/>
    </row>
    <row r="3195">
      <c r="A3195" s="9"/>
    </row>
    <row r="3196">
      <c r="A3196" s="9"/>
    </row>
    <row r="3197">
      <c r="A3197" s="9"/>
    </row>
    <row r="3198">
      <c r="A3198" s="9"/>
    </row>
    <row r="3199">
      <c r="A3199" s="9"/>
    </row>
    <row r="3200">
      <c r="A3200" s="9"/>
    </row>
    <row r="3201">
      <c r="A3201" s="9"/>
    </row>
    <row r="3202">
      <c r="A3202" s="9"/>
    </row>
    <row r="3203">
      <c r="A3203" s="9"/>
    </row>
    <row r="3204">
      <c r="A3204" s="9"/>
    </row>
    <row r="3205">
      <c r="A3205" s="9"/>
    </row>
    <row r="3206">
      <c r="A3206" s="9"/>
    </row>
    <row r="3207">
      <c r="A3207" s="9"/>
    </row>
    <row r="3208">
      <c r="A3208" s="9"/>
    </row>
    <row r="3209">
      <c r="A3209" s="9"/>
    </row>
    <row r="3210">
      <c r="A3210" s="9"/>
    </row>
    <row r="3211">
      <c r="A3211" s="9"/>
    </row>
    <row r="3212">
      <c r="A3212" s="9"/>
    </row>
    <row r="3213">
      <c r="A3213" s="9"/>
    </row>
    <row r="3214">
      <c r="A3214" s="9"/>
    </row>
    <row r="3215">
      <c r="A3215" s="9"/>
    </row>
    <row r="3216">
      <c r="A3216" s="9"/>
    </row>
    <row r="3217">
      <c r="A3217" s="9"/>
    </row>
    <row r="3218">
      <c r="A3218" s="9"/>
    </row>
    <row r="3219">
      <c r="A3219" s="9"/>
    </row>
    <row r="3220">
      <c r="A3220" s="9"/>
    </row>
    <row r="3221">
      <c r="A3221" s="9"/>
    </row>
    <row r="3222">
      <c r="A3222" s="9"/>
    </row>
    <row r="3223">
      <c r="A3223" s="9"/>
    </row>
    <row r="3224">
      <c r="A3224" s="9"/>
    </row>
    <row r="3225">
      <c r="A3225" s="9"/>
    </row>
    <row r="3226">
      <c r="A3226" s="9"/>
    </row>
    <row r="3227">
      <c r="A3227" s="9"/>
    </row>
    <row r="3228">
      <c r="A3228" s="9"/>
    </row>
    <row r="3229">
      <c r="A3229" s="9"/>
    </row>
    <row r="3230">
      <c r="A3230" s="9"/>
    </row>
    <row r="3231">
      <c r="A3231" s="9"/>
    </row>
    <row r="3232">
      <c r="A3232" s="9"/>
    </row>
    <row r="3233">
      <c r="A3233" s="9"/>
    </row>
    <row r="3234">
      <c r="A3234" s="9"/>
    </row>
    <row r="3235">
      <c r="A3235" s="9"/>
    </row>
    <row r="3236">
      <c r="A3236" s="9"/>
    </row>
    <row r="3237">
      <c r="A3237" s="9"/>
    </row>
    <row r="3238">
      <c r="A3238" s="9"/>
    </row>
    <row r="3239">
      <c r="A3239" s="9"/>
    </row>
    <row r="3240">
      <c r="A3240" s="9"/>
    </row>
    <row r="3241">
      <c r="A3241" s="9"/>
    </row>
    <row r="3242">
      <c r="A3242" s="9"/>
    </row>
    <row r="3243">
      <c r="A3243" s="9"/>
    </row>
    <row r="3244">
      <c r="A3244" s="9"/>
    </row>
    <row r="3245">
      <c r="A3245" s="9"/>
    </row>
    <row r="3246">
      <c r="A3246" s="9"/>
    </row>
    <row r="3247">
      <c r="A3247" s="9"/>
    </row>
    <row r="3248">
      <c r="A3248" s="9"/>
    </row>
    <row r="3249">
      <c r="A3249" s="9"/>
    </row>
    <row r="3250">
      <c r="A3250" s="9"/>
    </row>
    <row r="3251">
      <c r="A3251" s="9"/>
    </row>
    <row r="3252">
      <c r="A3252" s="9"/>
    </row>
    <row r="3253">
      <c r="A3253" s="9"/>
    </row>
    <row r="3254">
      <c r="A3254" s="9"/>
    </row>
    <row r="3255">
      <c r="A3255" s="9"/>
    </row>
    <row r="3256">
      <c r="A3256" s="9"/>
    </row>
    <row r="3257">
      <c r="A3257" s="9"/>
    </row>
    <row r="3258">
      <c r="A3258" s="9"/>
    </row>
    <row r="3259">
      <c r="A3259" s="9"/>
    </row>
    <row r="3260">
      <c r="A3260" s="9"/>
    </row>
    <row r="3261">
      <c r="A3261" s="9"/>
    </row>
    <row r="3262">
      <c r="A3262" s="9"/>
    </row>
    <row r="3263">
      <c r="A3263" s="9"/>
    </row>
    <row r="3264">
      <c r="A3264" s="9"/>
    </row>
    <row r="3265">
      <c r="A3265" s="9"/>
    </row>
    <row r="3266">
      <c r="A3266" s="9"/>
    </row>
    <row r="3267">
      <c r="A3267" s="9"/>
    </row>
    <row r="3268">
      <c r="A3268" s="9"/>
    </row>
    <row r="3269">
      <c r="A3269" s="9"/>
    </row>
    <row r="3270">
      <c r="A3270" s="9"/>
    </row>
    <row r="3271">
      <c r="A3271" s="9"/>
    </row>
    <row r="3272">
      <c r="A3272" s="9"/>
    </row>
    <row r="3273">
      <c r="A3273" s="9"/>
    </row>
    <row r="3274">
      <c r="A3274" s="9"/>
    </row>
    <row r="3275">
      <c r="A3275" s="9"/>
    </row>
    <row r="3276">
      <c r="A3276" s="9"/>
    </row>
    <row r="3277">
      <c r="A3277" s="9"/>
    </row>
    <row r="3278">
      <c r="A3278" s="9"/>
    </row>
    <row r="3279">
      <c r="A3279" s="9"/>
    </row>
    <row r="3280">
      <c r="A3280" s="9"/>
    </row>
    <row r="3281">
      <c r="A3281" s="9"/>
    </row>
    <row r="3282">
      <c r="A3282" s="9"/>
    </row>
    <row r="3283">
      <c r="A3283" s="9"/>
    </row>
    <row r="3284">
      <c r="A3284" s="9"/>
    </row>
    <row r="3285">
      <c r="A3285" s="9"/>
    </row>
    <row r="3286">
      <c r="A3286" s="9"/>
    </row>
    <row r="3287">
      <c r="A3287" s="9"/>
    </row>
    <row r="3288">
      <c r="A3288" s="9"/>
    </row>
    <row r="3289">
      <c r="A3289" s="9"/>
    </row>
    <row r="3290">
      <c r="A3290" s="9"/>
    </row>
    <row r="3291">
      <c r="A3291" s="9"/>
    </row>
    <row r="3292">
      <c r="A3292" s="9"/>
    </row>
    <row r="3293">
      <c r="A3293" s="9"/>
    </row>
    <row r="3294">
      <c r="A3294" s="9"/>
    </row>
    <row r="3295">
      <c r="A3295" s="9"/>
    </row>
    <row r="3296">
      <c r="A3296" s="9"/>
    </row>
    <row r="3297">
      <c r="A3297" s="9"/>
    </row>
    <row r="3298">
      <c r="A3298" s="9"/>
    </row>
    <row r="3299">
      <c r="A3299" s="9"/>
    </row>
    <row r="3300">
      <c r="A3300" s="9"/>
    </row>
    <row r="3301">
      <c r="A3301" s="9"/>
    </row>
    <row r="3302">
      <c r="A3302" s="9"/>
    </row>
    <row r="3303">
      <c r="A3303" s="9"/>
    </row>
    <row r="3304">
      <c r="A3304" s="9"/>
    </row>
    <row r="3305">
      <c r="A3305" s="9"/>
    </row>
    <row r="3306">
      <c r="A3306" s="9"/>
    </row>
    <row r="3307">
      <c r="A3307" s="9"/>
    </row>
    <row r="3308">
      <c r="A3308" s="9"/>
    </row>
    <row r="3309">
      <c r="A3309" s="9"/>
    </row>
    <row r="3310">
      <c r="A3310" s="9"/>
    </row>
    <row r="3311">
      <c r="A3311" s="9"/>
    </row>
    <row r="3312">
      <c r="A3312" s="9"/>
    </row>
    <row r="3313">
      <c r="A3313" s="9"/>
    </row>
    <row r="3314">
      <c r="A3314" s="9"/>
    </row>
    <row r="3315">
      <c r="A3315" s="9"/>
    </row>
    <row r="3316">
      <c r="A3316" s="9"/>
    </row>
    <row r="3317">
      <c r="A3317" s="9"/>
    </row>
    <row r="3318">
      <c r="A3318" s="9"/>
    </row>
    <row r="3319">
      <c r="A3319" s="9"/>
    </row>
    <row r="3320">
      <c r="A3320" s="9"/>
    </row>
    <row r="3321">
      <c r="A3321" s="9"/>
    </row>
    <row r="3322">
      <c r="A3322" s="9"/>
    </row>
    <row r="3323">
      <c r="A3323" s="9"/>
    </row>
    <row r="3324">
      <c r="A3324" s="9"/>
    </row>
    <row r="3325">
      <c r="A3325" s="9"/>
    </row>
    <row r="3326">
      <c r="A3326" s="9"/>
    </row>
    <row r="3327">
      <c r="A3327" s="9"/>
    </row>
    <row r="3328">
      <c r="A3328" s="9"/>
    </row>
    <row r="3329">
      <c r="A3329" s="9"/>
    </row>
    <row r="3330">
      <c r="A3330" s="9"/>
    </row>
    <row r="3331">
      <c r="A3331" s="9"/>
    </row>
    <row r="3332">
      <c r="A3332" s="9"/>
    </row>
    <row r="3333">
      <c r="A3333" s="9"/>
    </row>
    <row r="3334">
      <c r="A3334" s="9"/>
    </row>
    <row r="3335">
      <c r="A3335" s="9"/>
    </row>
    <row r="3336">
      <c r="A3336" s="9"/>
    </row>
    <row r="3337">
      <c r="A3337" s="9"/>
    </row>
    <row r="3338">
      <c r="A3338" s="9"/>
    </row>
    <row r="3339">
      <c r="A3339" s="9"/>
    </row>
    <row r="3340">
      <c r="A3340" s="9"/>
    </row>
    <row r="3341">
      <c r="A3341" s="9"/>
    </row>
    <row r="3342">
      <c r="A3342" s="9"/>
    </row>
    <row r="3343">
      <c r="A3343" s="9"/>
    </row>
    <row r="3344">
      <c r="A3344" s="9"/>
    </row>
    <row r="3345">
      <c r="A3345" s="9"/>
    </row>
    <row r="3346">
      <c r="A3346" s="9"/>
    </row>
    <row r="3347">
      <c r="A3347" s="9"/>
    </row>
    <row r="3348">
      <c r="A3348" s="9"/>
    </row>
    <row r="3349">
      <c r="A3349" s="9"/>
    </row>
    <row r="3350">
      <c r="A3350" s="9"/>
    </row>
    <row r="3351">
      <c r="A3351" s="9"/>
    </row>
    <row r="3352">
      <c r="A3352" s="9"/>
    </row>
    <row r="3353">
      <c r="A3353" s="9"/>
    </row>
    <row r="3354">
      <c r="A3354" s="9"/>
    </row>
    <row r="3355">
      <c r="A3355" s="9"/>
    </row>
    <row r="3356">
      <c r="A3356" s="9"/>
    </row>
    <row r="3357">
      <c r="A3357" s="9"/>
    </row>
    <row r="3358">
      <c r="A3358" s="9"/>
    </row>
    <row r="3359">
      <c r="A3359" s="9"/>
    </row>
    <row r="3360">
      <c r="A3360" s="9"/>
    </row>
    <row r="3361">
      <c r="A3361" s="9"/>
    </row>
    <row r="3362">
      <c r="A3362" s="9"/>
    </row>
    <row r="3363">
      <c r="A3363" s="9"/>
    </row>
    <row r="3364">
      <c r="A3364" s="9"/>
    </row>
    <row r="3365">
      <c r="A3365" s="9"/>
    </row>
    <row r="3366">
      <c r="A3366" s="9"/>
    </row>
    <row r="3367">
      <c r="A3367" s="9"/>
    </row>
    <row r="3368">
      <c r="A3368" s="9"/>
    </row>
    <row r="3369">
      <c r="A3369" s="9"/>
    </row>
    <row r="3370">
      <c r="A3370" s="9"/>
    </row>
    <row r="3371">
      <c r="A3371" s="9"/>
    </row>
    <row r="3372">
      <c r="A3372" s="9"/>
    </row>
    <row r="3373">
      <c r="A3373" s="9"/>
    </row>
    <row r="3374">
      <c r="A3374" s="9"/>
    </row>
    <row r="3375">
      <c r="A3375" s="9"/>
    </row>
    <row r="3376">
      <c r="A3376" s="9"/>
    </row>
    <row r="3377">
      <c r="A3377" s="9"/>
    </row>
    <row r="3378">
      <c r="A3378" s="9"/>
    </row>
    <row r="3379">
      <c r="A3379" s="9"/>
    </row>
    <row r="3380">
      <c r="A3380" s="9"/>
    </row>
    <row r="3381">
      <c r="A3381" s="9"/>
    </row>
    <row r="3382">
      <c r="A3382" s="9"/>
    </row>
    <row r="3383">
      <c r="A3383" s="9"/>
    </row>
    <row r="3384">
      <c r="A3384" s="9"/>
    </row>
    <row r="3385">
      <c r="A3385" s="9"/>
    </row>
    <row r="3386">
      <c r="A3386" s="9"/>
    </row>
    <row r="3387">
      <c r="A3387" s="9"/>
    </row>
    <row r="3388">
      <c r="A3388" s="9"/>
    </row>
    <row r="3389">
      <c r="A3389" s="9"/>
    </row>
    <row r="3390">
      <c r="A3390" s="9"/>
    </row>
    <row r="3391">
      <c r="A3391" s="9"/>
    </row>
    <row r="3392">
      <c r="A3392" s="9"/>
    </row>
    <row r="3393">
      <c r="A3393" s="9"/>
    </row>
    <row r="3394">
      <c r="A3394" s="9"/>
    </row>
    <row r="3395">
      <c r="A3395" s="9"/>
    </row>
    <row r="3396">
      <c r="A3396" s="9"/>
    </row>
    <row r="3397">
      <c r="A3397" s="9"/>
    </row>
    <row r="3398">
      <c r="A3398" s="9"/>
    </row>
    <row r="3399">
      <c r="A3399" s="9"/>
    </row>
    <row r="3400">
      <c r="A3400" s="9"/>
    </row>
    <row r="3401">
      <c r="A3401" s="9"/>
    </row>
    <row r="3402">
      <c r="A3402" s="9"/>
    </row>
    <row r="3403">
      <c r="A3403" s="9"/>
    </row>
    <row r="3404">
      <c r="A3404" s="9"/>
    </row>
    <row r="3405">
      <c r="A3405" s="9"/>
    </row>
    <row r="3406">
      <c r="A3406" s="9"/>
    </row>
    <row r="3407">
      <c r="A3407" s="9"/>
    </row>
    <row r="3408">
      <c r="A3408" s="9"/>
    </row>
    <row r="3409">
      <c r="A3409" s="9"/>
    </row>
    <row r="3410">
      <c r="A3410" s="9"/>
    </row>
    <row r="3411">
      <c r="A3411" s="9"/>
    </row>
    <row r="3412">
      <c r="A3412" s="9"/>
    </row>
    <row r="3413">
      <c r="A3413" s="9"/>
    </row>
    <row r="3414">
      <c r="A3414" s="9"/>
    </row>
    <row r="3415">
      <c r="A3415" s="9"/>
    </row>
    <row r="3416">
      <c r="A3416" s="9"/>
    </row>
    <row r="3417">
      <c r="A3417" s="9"/>
    </row>
    <row r="3418">
      <c r="A3418" s="9"/>
    </row>
    <row r="3419">
      <c r="A3419" s="9"/>
    </row>
    <row r="3420">
      <c r="A3420" s="9"/>
    </row>
    <row r="3421">
      <c r="A3421" s="9"/>
    </row>
    <row r="3422">
      <c r="A3422" s="9"/>
    </row>
    <row r="3423">
      <c r="A3423" s="9"/>
    </row>
    <row r="3424">
      <c r="A3424" s="9"/>
    </row>
    <row r="3425">
      <c r="A3425" s="9"/>
    </row>
    <row r="3426">
      <c r="A3426" s="9"/>
    </row>
    <row r="3427">
      <c r="A3427" s="9"/>
    </row>
    <row r="3428">
      <c r="A3428" s="9"/>
    </row>
    <row r="3429">
      <c r="A3429" s="9"/>
    </row>
    <row r="3430">
      <c r="A3430" s="9"/>
    </row>
    <row r="3431">
      <c r="A3431" s="9"/>
    </row>
    <row r="3432">
      <c r="A3432" s="9"/>
    </row>
    <row r="3433">
      <c r="A3433" s="9"/>
    </row>
    <row r="3434">
      <c r="A3434" s="9"/>
    </row>
    <row r="3435">
      <c r="A3435" s="9"/>
    </row>
    <row r="3436">
      <c r="A3436" s="9"/>
    </row>
    <row r="3437">
      <c r="A3437" s="9"/>
    </row>
    <row r="3438">
      <c r="A3438" s="9"/>
    </row>
    <row r="3439">
      <c r="A3439" s="9"/>
    </row>
    <row r="3440">
      <c r="A3440" s="9"/>
    </row>
    <row r="3441">
      <c r="A3441" s="9"/>
    </row>
    <row r="3442">
      <c r="A3442" s="9"/>
    </row>
    <row r="3443">
      <c r="A3443" s="9"/>
    </row>
    <row r="3444">
      <c r="A3444" s="9"/>
    </row>
    <row r="3445">
      <c r="A3445" s="9"/>
    </row>
    <row r="3446">
      <c r="A3446" s="9"/>
    </row>
    <row r="3447">
      <c r="A3447" s="9"/>
    </row>
    <row r="3448">
      <c r="A3448" s="9"/>
    </row>
    <row r="3449">
      <c r="A3449" s="9"/>
    </row>
    <row r="3450">
      <c r="A3450" s="9"/>
    </row>
    <row r="3451">
      <c r="A3451" s="9"/>
    </row>
    <row r="3452">
      <c r="A3452" s="9"/>
    </row>
    <row r="3453">
      <c r="A3453" s="9"/>
    </row>
    <row r="3454">
      <c r="A3454" s="9"/>
    </row>
    <row r="3455">
      <c r="A3455" s="9"/>
    </row>
    <row r="3456">
      <c r="A3456" s="9"/>
    </row>
    <row r="3457">
      <c r="A3457" s="9"/>
    </row>
    <row r="3458">
      <c r="A3458" s="9"/>
    </row>
    <row r="3459">
      <c r="A3459" s="9"/>
    </row>
    <row r="3460">
      <c r="A3460" s="9"/>
    </row>
    <row r="3461">
      <c r="A3461" s="9"/>
    </row>
    <row r="3462">
      <c r="A3462" s="9"/>
    </row>
    <row r="3463">
      <c r="A3463" s="9"/>
    </row>
    <row r="3464">
      <c r="A3464" s="9"/>
    </row>
    <row r="3465">
      <c r="A3465" s="9"/>
    </row>
    <row r="3466">
      <c r="A3466" s="9"/>
    </row>
    <row r="3467">
      <c r="A3467" s="9"/>
    </row>
    <row r="3468">
      <c r="A3468" s="9"/>
    </row>
    <row r="3469">
      <c r="A3469" s="9"/>
    </row>
    <row r="3470">
      <c r="A3470" s="9"/>
    </row>
    <row r="3471">
      <c r="A3471" s="9"/>
    </row>
    <row r="3472">
      <c r="A3472" s="9"/>
    </row>
    <row r="3473">
      <c r="A3473" s="9"/>
    </row>
    <row r="3474">
      <c r="A3474" s="9"/>
    </row>
    <row r="3475">
      <c r="A3475" s="9"/>
    </row>
    <row r="3476">
      <c r="A3476" s="9"/>
    </row>
    <row r="3477">
      <c r="A3477" s="9"/>
    </row>
    <row r="3478">
      <c r="A3478" s="9"/>
    </row>
    <row r="3479">
      <c r="A3479" s="9"/>
    </row>
    <row r="3480">
      <c r="A3480" s="9"/>
    </row>
    <row r="3481">
      <c r="A3481" s="9"/>
    </row>
    <row r="3482">
      <c r="A3482" s="9"/>
    </row>
    <row r="3483">
      <c r="A3483" s="9"/>
    </row>
    <row r="3484">
      <c r="A3484" s="9"/>
    </row>
    <row r="3485">
      <c r="A3485" s="9"/>
    </row>
    <row r="3486">
      <c r="A3486" s="9"/>
    </row>
    <row r="3487">
      <c r="A3487" s="9"/>
    </row>
    <row r="3488">
      <c r="A3488" s="9"/>
    </row>
    <row r="3489">
      <c r="A3489" s="9"/>
    </row>
    <row r="3490">
      <c r="A3490" s="9"/>
    </row>
    <row r="3491">
      <c r="A3491" s="9"/>
    </row>
    <row r="3492">
      <c r="A3492" s="9"/>
    </row>
    <row r="3493">
      <c r="A3493" s="9"/>
    </row>
    <row r="3494">
      <c r="A3494" s="9"/>
    </row>
    <row r="3495">
      <c r="A3495" s="9"/>
    </row>
    <row r="3496">
      <c r="A3496" s="9"/>
    </row>
    <row r="3497">
      <c r="A3497" s="9"/>
    </row>
    <row r="3498">
      <c r="A3498" s="9"/>
    </row>
    <row r="3499">
      <c r="A3499" s="9"/>
    </row>
    <row r="3500">
      <c r="A3500" s="9"/>
    </row>
    <row r="3501">
      <c r="A3501" s="9"/>
    </row>
    <row r="3502">
      <c r="A3502" s="9"/>
    </row>
    <row r="3503">
      <c r="A3503" s="9"/>
    </row>
    <row r="3504">
      <c r="A3504" s="9"/>
    </row>
    <row r="3505">
      <c r="A3505" s="9"/>
    </row>
    <row r="3506">
      <c r="A3506" s="9"/>
    </row>
    <row r="3507">
      <c r="A3507" s="9"/>
    </row>
    <row r="3508">
      <c r="A3508" s="9"/>
    </row>
    <row r="3509">
      <c r="A3509" s="9"/>
    </row>
    <row r="3510">
      <c r="A3510" s="9"/>
    </row>
    <row r="3511">
      <c r="A3511" s="9"/>
    </row>
    <row r="3512">
      <c r="A3512" s="9"/>
    </row>
    <row r="3513">
      <c r="A3513" s="9"/>
    </row>
    <row r="3514">
      <c r="A3514" s="9"/>
    </row>
    <row r="3515">
      <c r="A3515" s="9"/>
    </row>
    <row r="3516">
      <c r="A3516" s="9"/>
    </row>
    <row r="3517">
      <c r="A3517" s="9"/>
    </row>
    <row r="3518">
      <c r="A3518" s="9"/>
    </row>
    <row r="3519">
      <c r="A3519" s="9"/>
    </row>
    <row r="3520">
      <c r="A3520" s="9"/>
    </row>
    <row r="3521">
      <c r="A3521" s="9"/>
    </row>
    <row r="3522">
      <c r="A3522" s="9"/>
    </row>
    <row r="3523">
      <c r="A3523" s="9"/>
    </row>
    <row r="3524">
      <c r="A3524" s="9"/>
    </row>
    <row r="3525">
      <c r="A3525" s="9"/>
    </row>
    <row r="3526">
      <c r="A3526" s="9"/>
    </row>
    <row r="3527">
      <c r="A3527" s="9"/>
    </row>
    <row r="3528">
      <c r="A3528" s="9"/>
    </row>
    <row r="3529">
      <c r="A3529" s="9"/>
    </row>
    <row r="3530">
      <c r="A3530" s="9"/>
    </row>
    <row r="3531">
      <c r="A3531" s="9"/>
    </row>
    <row r="3532">
      <c r="A3532" s="9"/>
    </row>
    <row r="3533">
      <c r="A3533" s="9"/>
    </row>
    <row r="3534">
      <c r="A3534" s="9"/>
    </row>
    <row r="3535">
      <c r="A3535" s="9"/>
    </row>
    <row r="3536">
      <c r="A3536" s="9"/>
    </row>
    <row r="3537">
      <c r="A3537" s="9"/>
    </row>
    <row r="3538">
      <c r="A3538" s="9"/>
    </row>
    <row r="3539">
      <c r="A3539" s="9"/>
    </row>
    <row r="3540">
      <c r="A3540" s="9"/>
    </row>
    <row r="3541">
      <c r="A3541" s="9"/>
    </row>
    <row r="3542">
      <c r="A3542" s="9"/>
    </row>
    <row r="3543">
      <c r="A3543" s="9"/>
    </row>
    <row r="3544">
      <c r="A3544" s="9"/>
    </row>
    <row r="3545">
      <c r="A3545" s="9"/>
    </row>
    <row r="3546">
      <c r="A3546" s="9"/>
    </row>
    <row r="3547">
      <c r="A3547" s="9"/>
    </row>
    <row r="3548">
      <c r="A3548" s="9"/>
    </row>
    <row r="3549">
      <c r="A3549" s="9"/>
    </row>
    <row r="3550">
      <c r="A3550" s="9"/>
    </row>
    <row r="3551">
      <c r="A3551" s="9"/>
    </row>
    <row r="3552">
      <c r="A3552" s="9"/>
    </row>
    <row r="3553">
      <c r="A3553" s="9"/>
    </row>
    <row r="3554">
      <c r="A3554" s="9"/>
    </row>
    <row r="3555">
      <c r="A3555" s="9"/>
    </row>
    <row r="3556">
      <c r="A3556" s="9"/>
    </row>
    <row r="3557">
      <c r="A3557" s="9"/>
    </row>
    <row r="3558">
      <c r="A3558" s="9"/>
    </row>
    <row r="3559">
      <c r="A3559" s="9"/>
    </row>
    <row r="3560">
      <c r="A3560" s="9"/>
    </row>
    <row r="3561">
      <c r="A3561" s="9"/>
    </row>
    <row r="3562">
      <c r="A3562" s="9"/>
    </row>
    <row r="3563">
      <c r="A3563" s="9"/>
    </row>
    <row r="3564">
      <c r="A3564" s="9"/>
    </row>
    <row r="3565">
      <c r="A3565" s="9"/>
    </row>
    <row r="3566">
      <c r="A3566" s="9"/>
    </row>
    <row r="3567">
      <c r="A3567" s="9"/>
    </row>
    <row r="3568">
      <c r="A3568" s="9"/>
    </row>
    <row r="3569">
      <c r="A3569" s="9"/>
    </row>
    <row r="3570">
      <c r="A3570" s="9"/>
    </row>
    <row r="3571">
      <c r="A3571" s="9"/>
    </row>
    <row r="3572">
      <c r="A3572" s="9"/>
    </row>
    <row r="3573">
      <c r="A3573" s="9"/>
    </row>
    <row r="3574">
      <c r="A3574" s="9"/>
    </row>
    <row r="3575">
      <c r="A3575" s="9"/>
    </row>
    <row r="3576">
      <c r="A3576" s="9"/>
    </row>
    <row r="3577">
      <c r="A3577" s="9"/>
    </row>
    <row r="3578">
      <c r="A3578" s="9"/>
    </row>
    <row r="3579">
      <c r="A3579" s="9"/>
    </row>
    <row r="3580">
      <c r="A3580" s="9"/>
    </row>
    <row r="3581">
      <c r="A3581" s="9"/>
    </row>
    <row r="3582">
      <c r="A3582" s="9"/>
    </row>
    <row r="3583">
      <c r="A3583" s="9"/>
    </row>
    <row r="3584">
      <c r="A3584" s="9"/>
    </row>
    <row r="3585">
      <c r="A3585" s="9"/>
    </row>
    <row r="3586">
      <c r="A3586" s="9"/>
    </row>
    <row r="3587">
      <c r="A3587" s="9"/>
    </row>
    <row r="3588">
      <c r="A3588" s="9"/>
    </row>
    <row r="3589">
      <c r="A3589" s="9"/>
    </row>
    <row r="3590">
      <c r="A3590" s="9"/>
    </row>
    <row r="3591">
      <c r="A3591" s="9"/>
    </row>
    <row r="3592">
      <c r="A3592" s="9"/>
    </row>
    <row r="3593">
      <c r="A3593" s="9"/>
    </row>
    <row r="3594">
      <c r="A3594" s="9"/>
    </row>
    <row r="3595">
      <c r="A3595" s="9"/>
    </row>
    <row r="3596">
      <c r="A3596" s="9"/>
    </row>
    <row r="3597">
      <c r="A3597" s="9"/>
    </row>
    <row r="3598">
      <c r="A3598" s="9"/>
    </row>
    <row r="3599">
      <c r="A3599" s="9"/>
    </row>
    <row r="3600">
      <c r="A3600" s="9"/>
    </row>
    <row r="3601">
      <c r="A3601" s="9"/>
    </row>
    <row r="3602">
      <c r="A3602" s="9"/>
    </row>
    <row r="3603">
      <c r="A3603" s="9"/>
    </row>
    <row r="3604">
      <c r="A3604" s="9"/>
    </row>
    <row r="3605">
      <c r="A3605" s="9"/>
    </row>
    <row r="3606">
      <c r="A3606" s="9"/>
    </row>
    <row r="3607">
      <c r="A3607" s="9"/>
    </row>
    <row r="3608">
      <c r="A3608" s="9"/>
    </row>
    <row r="3609">
      <c r="A3609" s="9"/>
    </row>
    <row r="3610">
      <c r="A3610" s="9"/>
    </row>
    <row r="3611">
      <c r="A3611" s="9"/>
    </row>
    <row r="3612">
      <c r="A3612" s="9"/>
    </row>
    <row r="3613">
      <c r="A3613" s="9"/>
    </row>
    <row r="3614">
      <c r="A3614" s="9"/>
    </row>
    <row r="3615">
      <c r="A3615" s="9"/>
    </row>
    <row r="3616">
      <c r="A3616" s="9"/>
    </row>
    <row r="3617">
      <c r="A3617" s="9"/>
    </row>
    <row r="3618">
      <c r="A3618" s="9"/>
    </row>
    <row r="3619">
      <c r="A3619" s="9"/>
    </row>
    <row r="3620">
      <c r="A3620" s="9"/>
    </row>
    <row r="3621">
      <c r="A3621" s="9"/>
    </row>
    <row r="3622">
      <c r="A3622" s="9"/>
    </row>
    <row r="3623">
      <c r="A3623" s="9"/>
    </row>
    <row r="3624">
      <c r="A3624" s="9"/>
    </row>
    <row r="3625">
      <c r="A3625" s="9"/>
    </row>
    <row r="3626">
      <c r="A3626" s="9"/>
    </row>
    <row r="3627">
      <c r="A3627" s="9"/>
    </row>
    <row r="3628">
      <c r="A3628" s="9"/>
    </row>
    <row r="3629">
      <c r="A3629" s="9"/>
    </row>
    <row r="3630">
      <c r="A3630" s="9"/>
    </row>
    <row r="3631">
      <c r="A3631" s="9"/>
    </row>
    <row r="3632">
      <c r="A3632" s="9"/>
    </row>
    <row r="3633">
      <c r="A3633" s="9"/>
    </row>
    <row r="3634">
      <c r="A3634" s="9"/>
    </row>
    <row r="3635">
      <c r="A3635" s="9"/>
    </row>
    <row r="3636">
      <c r="A3636" s="9"/>
    </row>
    <row r="3637">
      <c r="A3637" s="9"/>
    </row>
    <row r="3638">
      <c r="A3638" s="9"/>
    </row>
    <row r="3639">
      <c r="A3639" s="9"/>
    </row>
    <row r="3640">
      <c r="A3640" s="9"/>
    </row>
    <row r="3641">
      <c r="A3641" s="9"/>
    </row>
    <row r="3642">
      <c r="A3642" s="9"/>
    </row>
    <row r="3643">
      <c r="A3643" s="9"/>
    </row>
    <row r="3644">
      <c r="A3644" s="9"/>
    </row>
    <row r="3645">
      <c r="A3645" s="9"/>
    </row>
    <row r="3646">
      <c r="A3646" s="9"/>
    </row>
    <row r="3647">
      <c r="A3647" s="9"/>
    </row>
    <row r="3648">
      <c r="A3648" s="9"/>
    </row>
    <row r="3649">
      <c r="A3649" s="9"/>
    </row>
    <row r="3650">
      <c r="A3650" s="9"/>
    </row>
    <row r="3651">
      <c r="A3651" s="9"/>
    </row>
    <row r="3652">
      <c r="A3652" s="9"/>
    </row>
    <row r="3653">
      <c r="A3653" s="9"/>
    </row>
    <row r="3654">
      <c r="A3654" s="9"/>
    </row>
    <row r="3655">
      <c r="A3655" s="9"/>
    </row>
    <row r="3656">
      <c r="A3656" s="9"/>
    </row>
    <row r="3657">
      <c r="A3657" s="9"/>
    </row>
    <row r="3658">
      <c r="A3658" s="9"/>
    </row>
    <row r="3659">
      <c r="A3659" s="9"/>
    </row>
    <row r="3660">
      <c r="A3660" s="9"/>
    </row>
    <row r="3661">
      <c r="A3661" s="9"/>
    </row>
    <row r="3662">
      <c r="A3662" s="9"/>
    </row>
    <row r="3663">
      <c r="A3663" s="9"/>
    </row>
    <row r="3664">
      <c r="A3664" s="9"/>
    </row>
    <row r="3665">
      <c r="A3665" s="9"/>
    </row>
    <row r="3666">
      <c r="A3666" s="9"/>
    </row>
    <row r="3667">
      <c r="A3667" s="9"/>
    </row>
    <row r="3668">
      <c r="A3668" s="9"/>
    </row>
    <row r="3669">
      <c r="A3669" s="9"/>
    </row>
    <row r="3670">
      <c r="A3670" s="9"/>
    </row>
    <row r="3671">
      <c r="A3671" s="9"/>
    </row>
    <row r="3672">
      <c r="A3672" s="9"/>
    </row>
    <row r="3673">
      <c r="A3673" s="9"/>
    </row>
    <row r="3674">
      <c r="A3674" s="9"/>
    </row>
    <row r="3675">
      <c r="A3675" s="9"/>
    </row>
    <row r="3676">
      <c r="A3676" s="9"/>
    </row>
    <row r="3677">
      <c r="A3677" s="9"/>
    </row>
    <row r="3678">
      <c r="A3678" s="9"/>
    </row>
    <row r="3679">
      <c r="A3679" s="9"/>
    </row>
    <row r="3680">
      <c r="A3680" s="9"/>
    </row>
    <row r="3681">
      <c r="A3681" s="9"/>
    </row>
    <row r="3682">
      <c r="A3682" s="9"/>
    </row>
    <row r="3683">
      <c r="A3683" s="9"/>
    </row>
    <row r="3684">
      <c r="A3684" s="9"/>
    </row>
    <row r="3685">
      <c r="A3685" s="9"/>
    </row>
    <row r="3686">
      <c r="A3686" s="9"/>
    </row>
    <row r="3687">
      <c r="A3687" s="9"/>
    </row>
    <row r="3688">
      <c r="A3688" s="9"/>
    </row>
    <row r="3689">
      <c r="A3689" s="9"/>
    </row>
    <row r="3690">
      <c r="A3690" s="9"/>
    </row>
    <row r="3691">
      <c r="A3691" s="9"/>
    </row>
    <row r="3692">
      <c r="A3692" s="9"/>
    </row>
    <row r="3693">
      <c r="A3693" s="9"/>
    </row>
    <row r="3694">
      <c r="A3694" s="9"/>
    </row>
    <row r="3695">
      <c r="A3695" s="9"/>
    </row>
    <row r="3696">
      <c r="A3696" s="9"/>
    </row>
    <row r="3697">
      <c r="A3697" s="9"/>
    </row>
    <row r="3698">
      <c r="A3698" s="9"/>
    </row>
    <row r="3699">
      <c r="A3699" s="9"/>
    </row>
    <row r="3700">
      <c r="A3700" s="9"/>
    </row>
    <row r="3701">
      <c r="A3701" s="9"/>
    </row>
    <row r="3702">
      <c r="A3702" s="9"/>
    </row>
    <row r="3703">
      <c r="A3703" s="9"/>
    </row>
    <row r="3704">
      <c r="A3704" s="9"/>
    </row>
    <row r="3705">
      <c r="A3705" s="9"/>
    </row>
    <row r="3706">
      <c r="A3706" s="9"/>
    </row>
    <row r="3707">
      <c r="A3707" s="9"/>
    </row>
    <row r="3708">
      <c r="A3708" s="9"/>
    </row>
    <row r="3709">
      <c r="A3709" s="9"/>
    </row>
    <row r="3710">
      <c r="A3710" s="9"/>
    </row>
    <row r="3711">
      <c r="A3711" s="9"/>
    </row>
    <row r="3712">
      <c r="A3712" s="9"/>
    </row>
    <row r="3713">
      <c r="A3713" s="9"/>
    </row>
    <row r="3714">
      <c r="A3714" s="9"/>
    </row>
    <row r="3715">
      <c r="A3715" s="9"/>
    </row>
    <row r="3716">
      <c r="A3716" s="9"/>
    </row>
    <row r="3717">
      <c r="A3717" s="9"/>
    </row>
    <row r="3718">
      <c r="A3718" s="9"/>
    </row>
    <row r="3719">
      <c r="A3719" s="9"/>
    </row>
    <row r="3720">
      <c r="A3720" s="9"/>
    </row>
    <row r="3721">
      <c r="A3721" s="9"/>
    </row>
    <row r="3722">
      <c r="A3722" s="9"/>
    </row>
    <row r="3723">
      <c r="A3723" s="9"/>
    </row>
    <row r="3724">
      <c r="A3724" s="9"/>
    </row>
    <row r="3725">
      <c r="A3725" s="9"/>
    </row>
    <row r="3726">
      <c r="A3726" s="9"/>
    </row>
    <row r="3727">
      <c r="A3727" s="9"/>
    </row>
    <row r="3728">
      <c r="A3728" s="9"/>
    </row>
    <row r="3729">
      <c r="A3729" s="9"/>
    </row>
    <row r="3730">
      <c r="A3730" s="9"/>
    </row>
    <row r="3731">
      <c r="A3731" s="9"/>
    </row>
    <row r="3732">
      <c r="A3732" s="9"/>
    </row>
    <row r="3733">
      <c r="A3733" s="9"/>
    </row>
    <row r="3734">
      <c r="A3734" s="9"/>
    </row>
    <row r="3735">
      <c r="A3735" s="9"/>
    </row>
    <row r="3736">
      <c r="A3736" s="9"/>
    </row>
    <row r="3737">
      <c r="A3737" s="9"/>
    </row>
    <row r="3738">
      <c r="A3738" s="9"/>
    </row>
    <row r="3739">
      <c r="A3739" s="9"/>
    </row>
    <row r="3740">
      <c r="A3740" s="9"/>
    </row>
    <row r="3741">
      <c r="A3741" s="9"/>
    </row>
    <row r="3742">
      <c r="A3742" s="9"/>
    </row>
    <row r="3743">
      <c r="A3743" s="9"/>
    </row>
    <row r="3744">
      <c r="A3744" s="9"/>
    </row>
    <row r="3745">
      <c r="A3745" s="9"/>
    </row>
    <row r="3746">
      <c r="A3746" s="9"/>
    </row>
    <row r="3747">
      <c r="A3747" s="9"/>
    </row>
    <row r="3748">
      <c r="A3748" s="9"/>
    </row>
    <row r="3749">
      <c r="A3749" s="9"/>
    </row>
    <row r="3750">
      <c r="A3750" s="9"/>
    </row>
    <row r="3751">
      <c r="A3751" s="9"/>
    </row>
    <row r="3752">
      <c r="A3752" s="9"/>
    </row>
    <row r="3753">
      <c r="A3753" s="9"/>
    </row>
    <row r="3754">
      <c r="A3754" s="9"/>
    </row>
    <row r="3755">
      <c r="A3755" s="9"/>
    </row>
    <row r="3756">
      <c r="A3756" s="9"/>
    </row>
    <row r="3757">
      <c r="A3757" s="9"/>
    </row>
    <row r="3758">
      <c r="A3758" s="9"/>
    </row>
    <row r="3759">
      <c r="A3759" s="9"/>
    </row>
    <row r="3760">
      <c r="A3760" s="9"/>
    </row>
    <row r="3761">
      <c r="A3761" s="9"/>
    </row>
    <row r="3762">
      <c r="A3762" s="9"/>
    </row>
    <row r="3763">
      <c r="A3763" s="9"/>
    </row>
    <row r="3764">
      <c r="A3764" s="9"/>
    </row>
    <row r="3765">
      <c r="A3765" s="9"/>
    </row>
    <row r="3766">
      <c r="A3766" s="9"/>
    </row>
    <row r="3767">
      <c r="A3767" s="9"/>
    </row>
    <row r="3768">
      <c r="A3768" s="9"/>
    </row>
    <row r="3769">
      <c r="A3769" s="9"/>
    </row>
    <row r="3770">
      <c r="A3770" s="9"/>
    </row>
    <row r="3771">
      <c r="A3771" s="9"/>
    </row>
    <row r="3772">
      <c r="A3772" s="9"/>
    </row>
    <row r="3773">
      <c r="A3773" s="9"/>
    </row>
    <row r="3774">
      <c r="A3774" s="9"/>
    </row>
    <row r="3775">
      <c r="A3775" s="9"/>
    </row>
    <row r="3776">
      <c r="A3776" s="9"/>
    </row>
    <row r="3777">
      <c r="A3777" s="9"/>
    </row>
    <row r="3778">
      <c r="A3778" s="9"/>
    </row>
    <row r="3779">
      <c r="A3779" s="9"/>
    </row>
    <row r="3780">
      <c r="A3780" s="9"/>
    </row>
    <row r="3781">
      <c r="A3781" s="9"/>
    </row>
    <row r="3782">
      <c r="A3782" s="9"/>
    </row>
    <row r="3783">
      <c r="A3783" s="9"/>
    </row>
    <row r="3784">
      <c r="A3784" s="9"/>
    </row>
    <row r="3785">
      <c r="A3785" s="9"/>
    </row>
    <row r="3786">
      <c r="A3786" s="9"/>
    </row>
    <row r="3787">
      <c r="A3787" s="9"/>
    </row>
    <row r="3788">
      <c r="A3788" s="9"/>
    </row>
    <row r="3789">
      <c r="A3789" s="9"/>
    </row>
    <row r="3790">
      <c r="A3790" s="9"/>
    </row>
    <row r="3791">
      <c r="A3791" s="9"/>
    </row>
    <row r="3792">
      <c r="A3792" s="9"/>
    </row>
    <row r="3793">
      <c r="A3793" s="9"/>
    </row>
    <row r="3794">
      <c r="A3794" s="9"/>
    </row>
    <row r="3795">
      <c r="A3795" s="9"/>
    </row>
    <row r="3796">
      <c r="A3796" s="9"/>
    </row>
    <row r="3797">
      <c r="A3797" s="9"/>
    </row>
    <row r="3798">
      <c r="A3798" s="9"/>
    </row>
    <row r="3799">
      <c r="A3799" s="9"/>
    </row>
    <row r="3800">
      <c r="A3800" s="9"/>
    </row>
    <row r="3801">
      <c r="A38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7" t="s">
        <v>28</v>
      </c>
      <c r="B1" s="6">
        <f>AVERAGEIF(Raw_data!P:P,"Baseline",Raw_data!O:O)</f>
        <v>45.18926347</v>
      </c>
    </row>
    <row r="2">
      <c r="A2" s="7" t="s">
        <v>39</v>
      </c>
      <c r="B2" s="6">
        <f>AVERAGEIF(Raw_data!P:P,"Post-Shift",Raw_data!O:O)</f>
        <v>46.95646324</v>
      </c>
    </row>
    <row r="3">
      <c r="A3" s="7" t="s">
        <v>42</v>
      </c>
      <c r="B3" s="6">
        <f>(B1-B2)/B1</f>
        <v>-0.03910662908</v>
      </c>
    </row>
    <row r="4">
      <c r="A4" s="7" t="s">
        <v>46</v>
      </c>
      <c r="B4" s="3">
        <f>(B2-B1)/B1*100</f>
        <v>3.910662908</v>
      </c>
    </row>
    <row r="5">
      <c r="A5" s="7" t="s">
        <v>48</v>
      </c>
      <c r="B5" s="6">
        <f>IFERROR(__xludf.DUMMYFUNCTION("TTEST(FILTER(Raw_data!O:O,Raw_data!P:P=""Baseline""),FILTER(Raw_data!O:O,Raw_data!P:P=""Post-Shift""),2,2)"),0.4694727937159613)</f>
        <v>0.4694727937</v>
      </c>
    </row>
    <row r="6">
      <c r="A6" s="7" t="s">
        <v>50</v>
      </c>
      <c r="B6" s="3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